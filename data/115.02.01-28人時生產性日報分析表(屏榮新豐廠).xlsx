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607CB2CF-72C8-4D87-B5E0-B7A9B4178E8A}" xr6:coauthVersionLast="47" xr6:coauthVersionMax="47" xr10:uidLastSave="{00000000-0000-0000-0000-000000000000}"/>
  <bookViews>
    <workbookView xWindow="-120" yWindow="-120" windowWidth="29040" windowHeight="15720" tabRatio="679" xr2:uid="{00000000-000D-0000-FFFF-FFFF00000000}"/>
  </bookViews>
  <sheets>
    <sheet name="0228" sheetId="61" r:id="rId1"/>
    <sheet name="0228 4度C" sheetId="62" r:id="rId2"/>
    <sheet name="0227" sheetId="59" r:id="rId3"/>
    <sheet name="0227 4度C" sheetId="60" r:id="rId4"/>
    <sheet name="0226" sheetId="57" r:id="rId5"/>
    <sheet name="0226 4度C" sheetId="58" r:id="rId6"/>
    <sheet name="0225" sheetId="55" r:id="rId7"/>
    <sheet name="0225 4度C" sheetId="56" r:id="rId8"/>
    <sheet name="0224" sheetId="53" r:id="rId9"/>
    <sheet name="0224 4度C" sheetId="54" r:id="rId10"/>
    <sheet name="0223" sheetId="51" r:id="rId11"/>
    <sheet name="0223 4度C" sheetId="52" r:id="rId12"/>
    <sheet name="0222" sheetId="47" r:id="rId13"/>
    <sheet name="0222 4度C" sheetId="48" r:id="rId14"/>
    <sheet name="0221" sheetId="45" r:id="rId15"/>
    <sheet name="0221 4度C" sheetId="46" r:id="rId16"/>
    <sheet name="0220" sheetId="43" r:id="rId17"/>
    <sheet name="0220 4度C" sheetId="44" r:id="rId18"/>
    <sheet name="0219" sheetId="41" r:id="rId19"/>
    <sheet name="0219 4度C" sheetId="42" r:id="rId20"/>
    <sheet name="0218" sheetId="39" r:id="rId21"/>
    <sheet name="0218 4度C" sheetId="40" r:id="rId22"/>
    <sheet name="0217" sheetId="37" r:id="rId23"/>
    <sheet name="0217 4度C" sheetId="38" r:id="rId24"/>
    <sheet name="0216" sheetId="35" r:id="rId25"/>
    <sheet name="0216 4度C" sheetId="36" r:id="rId26"/>
    <sheet name="0215" sheetId="33" r:id="rId27"/>
    <sheet name="0215 4度C" sheetId="34" r:id="rId28"/>
    <sheet name="0214" sheetId="31" r:id="rId29"/>
    <sheet name="0214 4度C" sheetId="32" r:id="rId30"/>
    <sheet name="0213" sheetId="27" r:id="rId31"/>
    <sheet name="0213 4度C" sheetId="28" r:id="rId32"/>
    <sheet name="0212" sheetId="25" r:id="rId33"/>
    <sheet name="0212 4度C" sheetId="26" r:id="rId34"/>
    <sheet name="0211" sheetId="23" r:id="rId35"/>
    <sheet name="0211 4度C" sheetId="24" r:id="rId36"/>
    <sheet name="0210" sheetId="21" r:id="rId37"/>
    <sheet name="0210 4度C" sheetId="22" r:id="rId38"/>
    <sheet name="0209" sheetId="17" r:id="rId39"/>
    <sheet name="0209 4度C" sheetId="18" r:id="rId40"/>
    <sheet name="0208" sheetId="15" r:id="rId41"/>
    <sheet name="0208 4度C" sheetId="16" r:id="rId42"/>
    <sheet name="0207" sheetId="13" r:id="rId43"/>
    <sheet name="0207 4度C" sheetId="14" r:id="rId44"/>
    <sheet name="0206" sheetId="11" r:id="rId45"/>
    <sheet name="0206 4度C" sheetId="12" r:id="rId46"/>
    <sheet name="0205" sheetId="9" r:id="rId47"/>
    <sheet name="0205 4度C" sheetId="10" r:id="rId48"/>
    <sheet name="0204" sheetId="7" r:id="rId49"/>
    <sheet name="0204 4度C" sheetId="8" r:id="rId50"/>
    <sheet name="0203" sheetId="5" r:id="rId51"/>
    <sheet name="0203 4度C" sheetId="6" r:id="rId52"/>
    <sheet name="0202" sheetId="3" r:id="rId53"/>
    <sheet name="0202 4度C" sheetId="4" r:id="rId54"/>
    <sheet name="0201" sheetId="2" r:id="rId55"/>
    <sheet name="0201 4度C" sheetId="1" r:id="rId56"/>
  </sheets>
  <definedNames>
    <definedName name="_xlnm._FilterDatabase" localSheetId="55" hidden="1">'0201 4度C'!$A$4:$AI$4</definedName>
    <definedName name="_xlnm._FilterDatabase" localSheetId="53" hidden="1">'0202 4度C'!$A$4:$AI$4</definedName>
    <definedName name="_xlnm._FilterDatabase" localSheetId="51" hidden="1">'0203 4度C'!$A$4:$AI$4</definedName>
    <definedName name="_xlnm._FilterDatabase" localSheetId="49" hidden="1">'0204 4度C'!$A$4:$AI$4</definedName>
    <definedName name="_xlnm._FilterDatabase" localSheetId="47" hidden="1">'0205 4度C'!$A$4:$AI$4</definedName>
    <definedName name="_xlnm._FilterDatabase" localSheetId="45" hidden="1">'0206 4度C'!$A$4:$AI$4</definedName>
    <definedName name="_xlnm._FilterDatabase" localSheetId="43" hidden="1">'0207 4度C'!$A$4:$AI$4</definedName>
    <definedName name="_xlnm._FilterDatabase" localSheetId="41" hidden="1">'0208 4度C'!$A$4:$AI$4</definedName>
    <definedName name="_xlnm._FilterDatabase" localSheetId="39" hidden="1">'0209 4度C'!$A$4:$AI$4</definedName>
    <definedName name="_xlnm._FilterDatabase" localSheetId="37" hidden="1">'0210 4度C'!$A$4:$AI$4</definedName>
    <definedName name="_xlnm._FilterDatabase" localSheetId="35" hidden="1">'0211 4度C'!$A$4:$AI$4</definedName>
    <definedName name="_xlnm._FilterDatabase" localSheetId="33" hidden="1">'0212 4度C'!$A$4:$AI$4</definedName>
    <definedName name="_xlnm._FilterDatabase" localSheetId="31" hidden="1">'0213 4度C'!$A$4:$AI$4</definedName>
    <definedName name="_xlnm._FilterDatabase" localSheetId="29" hidden="1">'0214 4度C'!$A$4:$AI$4</definedName>
    <definedName name="_xlnm._FilterDatabase" localSheetId="27" hidden="1">'0215 4度C'!$A$4:$AI$4</definedName>
    <definedName name="_xlnm._FilterDatabase" localSheetId="25" hidden="1">'0216 4度C'!$A$4:$AI$4</definedName>
    <definedName name="_xlnm._FilterDatabase" localSheetId="23" hidden="1">'0217 4度C'!$A$4:$AI$4</definedName>
    <definedName name="_xlnm._FilterDatabase" localSheetId="21" hidden="1">'0218 4度C'!$A$4:$AI$4</definedName>
    <definedName name="_xlnm._FilterDatabase" localSheetId="19" hidden="1">'0219 4度C'!$A$4:$AI$4</definedName>
    <definedName name="_xlnm._FilterDatabase" localSheetId="17" hidden="1">'0220 4度C'!$A$4:$AI$4</definedName>
    <definedName name="_xlnm._FilterDatabase" localSheetId="15" hidden="1">'0221 4度C'!$A$4:$AI$4</definedName>
    <definedName name="_xlnm._FilterDatabase" localSheetId="13" hidden="1">'0222 4度C'!$A$4:$AI$4</definedName>
    <definedName name="_xlnm._FilterDatabase" localSheetId="11" hidden="1">'0223 4度C'!$A$4:$AI$4</definedName>
    <definedName name="_xlnm._FilterDatabase" localSheetId="9" hidden="1">'0224 4度C'!$A$4:$AI$4</definedName>
    <definedName name="_xlnm._FilterDatabase" localSheetId="7" hidden="1">'0225 4度C'!$A$4:$AI$4</definedName>
    <definedName name="_xlnm._FilterDatabase" localSheetId="5" hidden="1">'0226 4度C'!$A$4:$AI$4</definedName>
    <definedName name="_xlnm._FilterDatabase" localSheetId="3" hidden="1">'0227 4度C'!$A$4:$AI$4</definedName>
    <definedName name="_xlnm._FilterDatabase" localSheetId="1" hidden="1">'0228 4度C'!$A$4:$AI$4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5" i="62" l="1"/>
  <c r="Z65" i="62"/>
  <c r="Y65" i="62"/>
  <c r="O65" i="62"/>
  <c r="K65" i="62"/>
  <c r="M13" i="61" s="1"/>
  <c r="V64" i="62"/>
  <c r="U64" i="62"/>
  <c r="O64" i="62"/>
  <c r="M64" i="62"/>
  <c r="AF64" i="62" s="1"/>
  <c r="K64" i="62"/>
  <c r="G64" i="62"/>
  <c r="V63" i="62"/>
  <c r="U63" i="62"/>
  <c r="O63" i="62"/>
  <c r="M63" i="62"/>
  <c r="AF63" i="62" s="1"/>
  <c r="K63" i="62"/>
  <c r="G63" i="62"/>
  <c r="V62" i="62"/>
  <c r="M62" i="62" s="1"/>
  <c r="U62" i="62"/>
  <c r="O62" i="62"/>
  <c r="K62" i="62"/>
  <c r="G62" i="62"/>
  <c r="V61" i="62"/>
  <c r="U61" i="62"/>
  <c r="O61" i="62"/>
  <c r="M61" i="62"/>
  <c r="AF61" i="62" s="1"/>
  <c r="K61" i="62"/>
  <c r="G61" i="62"/>
  <c r="AE60" i="62"/>
  <c r="X60" i="62"/>
  <c r="W60" i="62"/>
  <c r="V60" i="62"/>
  <c r="O60" i="62"/>
  <c r="M60" i="62"/>
  <c r="K60" i="62"/>
  <c r="G60" i="62"/>
  <c r="AD59" i="62"/>
  <c r="Z59" i="62"/>
  <c r="Y59" i="62"/>
  <c r="O59" i="62"/>
  <c r="K59" i="62"/>
  <c r="V58" i="62"/>
  <c r="M58" i="62" s="1"/>
  <c r="U58" i="62"/>
  <c r="O58" i="62"/>
  <c r="K58" i="62"/>
  <c r="G58" i="62"/>
  <c r="V57" i="62"/>
  <c r="U57" i="62"/>
  <c r="O57" i="62"/>
  <c r="M57" i="62"/>
  <c r="AF57" i="62" s="1"/>
  <c r="K57" i="62"/>
  <c r="G57" i="62"/>
  <c r="V56" i="62"/>
  <c r="M56" i="62" s="1"/>
  <c r="U56" i="62"/>
  <c r="O56" i="62"/>
  <c r="K56" i="62"/>
  <c r="G56" i="62"/>
  <c r="V55" i="62"/>
  <c r="U55" i="62"/>
  <c r="O55" i="62"/>
  <c r="N55" i="62"/>
  <c r="Q55" i="62" s="1"/>
  <c r="M55" i="62"/>
  <c r="AF55" i="62" s="1"/>
  <c r="K55" i="62"/>
  <c r="G55" i="62"/>
  <c r="V54" i="62"/>
  <c r="M54" i="62" s="1"/>
  <c r="U54" i="62"/>
  <c r="O54" i="62"/>
  <c r="K54" i="62"/>
  <c r="G54" i="62"/>
  <c r="V53" i="62"/>
  <c r="O53" i="62"/>
  <c r="M53" i="62"/>
  <c r="AF53" i="62" s="1"/>
  <c r="K53" i="62"/>
  <c r="G53" i="62"/>
  <c r="AD52" i="62"/>
  <c r="Z52" i="62"/>
  <c r="Y52" i="62"/>
  <c r="O52" i="62"/>
  <c r="K52" i="62"/>
  <c r="V51" i="62"/>
  <c r="M51" i="62" s="1"/>
  <c r="U51" i="62"/>
  <c r="O51" i="62"/>
  <c r="K51" i="62"/>
  <c r="G51" i="62"/>
  <c r="AF50" i="62"/>
  <c r="AE50" i="62"/>
  <c r="X50" i="62"/>
  <c r="W50" i="62"/>
  <c r="V50" i="62"/>
  <c r="U50" i="62"/>
  <c r="O50" i="62"/>
  <c r="M50" i="62"/>
  <c r="N50" i="62" s="1"/>
  <c r="K50" i="62"/>
  <c r="G50" i="62"/>
  <c r="V49" i="62"/>
  <c r="M49" i="62" s="1"/>
  <c r="U49" i="62"/>
  <c r="O49" i="62"/>
  <c r="K49" i="62"/>
  <c r="G49" i="62"/>
  <c r="V48" i="62"/>
  <c r="U48" i="62"/>
  <c r="O48" i="62"/>
  <c r="N48" i="62"/>
  <c r="Q48" i="62" s="1"/>
  <c r="M48" i="62"/>
  <c r="AF48" i="62" s="1"/>
  <c r="K48" i="62"/>
  <c r="G48" i="62"/>
  <c r="V47" i="62"/>
  <c r="M47" i="62" s="1"/>
  <c r="U47" i="62"/>
  <c r="O47" i="62"/>
  <c r="K47" i="62"/>
  <c r="G47" i="62"/>
  <c r="V46" i="62"/>
  <c r="U46" i="62"/>
  <c r="O46" i="62"/>
  <c r="N46" i="62"/>
  <c r="M46" i="62"/>
  <c r="AF46" i="62" s="1"/>
  <c r="K46" i="62"/>
  <c r="P46" i="62" s="1"/>
  <c r="G46" i="62"/>
  <c r="V45" i="62"/>
  <c r="M45" i="62" s="1"/>
  <c r="U45" i="62"/>
  <c r="O45" i="62"/>
  <c r="K45" i="62"/>
  <c r="G45" i="62"/>
  <c r="V44" i="62"/>
  <c r="U44" i="62"/>
  <c r="O44" i="62"/>
  <c r="M44" i="62"/>
  <c r="AF44" i="62" s="1"/>
  <c r="K44" i="62"/>
  <c r="G44" i="62"/>
  <c r="V43" i="62"/>
  <c r="M43" i="62" s="1"/>
  <c r="O43" i="62"/>
  <c r="K43" i="62"/>
  <c r="G43" i="62"/>
  <c r="AD42" i="62"/>
  <c r="Z42" i="62"/>
  <c r="Y42" i="62"/>
  <c r="O42" i="62"/>
  <c r="K42" i="62"/>
  <c r="V41" i="62"/>
  <c r="M41" i="62" s="1"/>
  <c r="U41" i="62"/>
  <c r="O41" i="62"/>
  <c r="K41" i="62"/>
  <c r="G41" i="62"/>
  <c r="V40" i="62"/>
  <c r="M40" i="62" s="1"/>
  <c r="U40" i="62"/>
  <c r="O40" i="62"/>
  <c r="K40" i="62"/>
  <c r="G40" i="62"/>
  <c r="AF39" i="62"/>
  <c r="AE39" i="62"/>
  <c r="V39" i="62"/>
  <c r="U39" i="62"/>
  <c r="O39" i="62"/>
  <c r="M39" i="62"/>
  <c r="N39" i="62" s="1"/>
  <c r="K39" i="62"/>
  <c r="G39" i="62"/>
  <c r="V38" i="62"/>
  <c r="U38" i="62"/>
  <c r="O38" i="62"/>
  <c r="M38" i="62"/>
  <c r="AF38" i="62" s="1"/>
  <c r="K38" i="62"/>
  <c r="G38" i="62"/>
  <c r="V37" i="62"/>
  <c r="O37" i="62"/>
  <c r="N37" i="62"/>
  <c r="Q37" i="62" s="1"/>
  <c r="M37" i="62"/>
  <c r="AF37" i="62" s="1"/>
  <c r="K37" i="62"/>
  <c r="G37" i="62"/>
  <c r="AD36" i="62"/>
  <c r="Z36" i="62"/>
  <c r="Y36" i="62"/>
  <c r="O36" i="62"/>
  <c r="K36" i="62"/>
  <c r="V35" i="62"/>
  <c r="U35" i="62"/>
  <c r="O35" i="62"/>
  <c r="N35" i="62"/>
  <c r="M35" i="62"/>
  <c r="AF35" i="62" s="1"/>
  <c r="K35" i="62"/>
  <c r="P35" i="62" s="1"/>
  <c r="G35" i="62"/>
  <c r="V34" i="62"/>
  <c r="M34" i="62" s="1"/>
  <c r="U34" i="62"/>
  <c r="O34" i="62"/>
  <c r="K34" i="62"/>
  <c r="G34" i="62"/>
  <c r="V33" i="62"/>
  <c r="U33" i="62"/>
  <c r="O33" i="62"/>
  <c r="M33" i="62"/>
  <c r="AF33" i="62" s="1"/>
  <c r="K33" i="62"/>
  <c r="G33" i="62"/>
  <c r="V32" i="62"/>
  <c r="M32" i="62" s="1"/>
  <c r="U32" i="62"/>
  <c r="O32" i="62"/>
  <c r="K32" i="62"/>
  <c r="G32" i="62"/>
  <c r="X31" i="62"/>
  <c r="W31" i="62"/>
  <c r="V31" i="62"/>
  <c r="M31" i="62" s="1"/>
  <c r="O31" i="62"/>
  <c r="K31" i="62"/>
  <c r="G31" i="62"/>
  <c r="AD30" i="62"/>
  <c r="Z30" i="62"/>
  <c r="Y30" i="62"/>
  <c r="O30" i="62"/>
  <c r="K30" i="62"/>
  <c r="K13" i="61" s="1"/>
  <c r="I6" i="61" s="1"/>
  <c r="V29" i="62"/>
  <c r="U29" i="62"/>
  <c r="O29" i="62"/>
  <c r="M29" i="62"/>
  <c r="AF29" i="62" s="1"/>
  <c r="K29" i="62"/>
  <c r="G29" i="62"/>
  <c r="V28" i="62"/>
  <c r="U28" i="62"/>
  <c r="O28" i="62"/>
  <c r="M28" i="62"/>
  <c r="AF28" i="62" s="1"/>
  <c r="K28" i="62"/>
  <c r="G28" i="62"/>
  <c r="V27" i="62"/>
  <c r="M27" i="62" s="1"/>
  <c r="U27" i="62"/>
  <c r="O27" i="62"/>
  <c r="K27" i="62"/>
  <c r="G27" i="62"/>
  <c r="V26" i="62"/>
  <c r="U26" i="62"/>
  <c r="O26" i="62"/>
  <c r="N26" i="62"/>
  <c r="Q26" i="62" s="1"/>
  <c r="M26" i="62"/>
  <c r="AF26" i="62" s="1"/>
  <c r="K26" i="62"/>
  <c r="G26" i="62"/>
  <c r="X25" i="62"/>
  <c r="W25" i="62"/>
  <c r="V25" i="62"/>
  <c r="M25" i="62" s="1"/>
  <c r="O25" i="62"/>
  <c r="K25" i="62"/>
  <c r="G25" i="62"/>
  <c r="AD24" i="62"/>
  <c r="Z24" i="62"/>
  <c r="Y24" i="62"/>
  <c r="O24" i="62"/>
  <c r="K24" i="62"/>
  <c r="G13" i="61" s="1"/>
  <c r="V23" i="62"/>
  <c r="M23" i="62" s="1"/>
  <c r="U23" i="62"/>
  <c r="O23" i="62"/>
  <c r="K23" i="62"/>
  <c r="G23" i="62"/>
  <c r="V22" i="62"/>
  <c r="U22" i="62"/>
  <c r="O22" i="62"/>
  <c r="M22" i="62"/>
  <c r="AF22" i="62" s="1"/>
  <c r="K22" i="62"/>
  <c r="G22" i="62"/>
  <c r="V21" i="62"/>
  <c r="M21" i="62" s="1"/>
  <c r="U21" i="62"/>
  <c r="O21" i="62"/>
  <c r="K21" i="62"/>
  <c r="G21" i="62"/>
  <c r="V20" i="62"/>
  <c r="M20" i="62" s="1"/>
  <c r="U20" i="62"/>
  <c r="O20" i="62"/>
  <c r="K20" i="62"/>
  <c r="G20" i="62"/>
  <c r="AF19" i="62"/>
  <c r="AE19" i="62"/>
  <c r="V19" i="62"/>
  <c r="O19" i="62"/>
  <c r="M19" i="62"/>
  <c r="N19" i="62" s="1"/>
  <c r="K19" i="62"/>
  <c r="G19" i="62"/>
  <c r="AD18" i="62"/>
  <c r="F21" i="61" s="1"/>
  <c r="Z18" i="62"/>
  <c r="F19" i="61" s="1"/>
  <c r="Y18" i="62"/>
  <c r="F18" i="61" s="1"/>
  <c r="O18" i="62"/>
  <c r="K18" i="62"/>
  <c r="V17" i="62"/>
  <c r="M17" i="62" s="1"/>
  <c r="U17" i="62"/>
  <c r="O17" i="62"/>
  <c r="K17" i="62"/>
  <c r="G17" i="62"/>
  <c r="V16" i="62"/>
  <c r="M16" i="62" s="1"/>
  <c r="U16" i="62"/>
  <c r="O16" i="62"/>
  <c r="K16" i="62"/>
  <c r="G16" i="62"/>
  <c r="AF15" i="62"/>
  <c r="AE15" i="62"/>
  <c r="V15" i="62"/>
  <c r="U15" i="62"/>
  <c r="O15" i="62"/>
  <c r="M15" i="62"/>
  <c r="N15" i="62" s="1"/>
  <c r="K15" i="62"/>
  <c r="G15" i="62"/>
  <c r="V14" i="62"/>
  <c r="O14" i="62"/>
  <c r="M14" i="62"/>
  <c r="AF14" i="62" s="1"/>
  <c r="K14" i="62"/>
  <c r="G14" i="62"/>
  <c r="AD13" i="62"/>
  <c r="Z13" i="62"/>
  <c r="Y13" i="62"/>
  <c r="O13" i="62"/>
  <c r="K13" i="62"/>
  <c r="AF12" i="62"/>
  <c r="V12" i="62"/>
  <c r="U12" i="62"/>
  <c r="O12" i="62"/>
  <c r="M12" i="62"/>
  <c r="AE12" i="62" s="1"/>
  <c r="K12" i="62"/>
  <c r="G12" i="62"/>
  <c r="V11" i="62"/>
  <c r="O11" i="62"/>
  <c r="M11" i="62"/>
  <c r="AF11" i="62" s="1"/>
  <c r="K11" i="62"/>
  <c r="G11" i="62"/>
  <c r="AD10" i="62"/>
  <c r="D21" i="61" s="1"/>
  <c r="Z10" i="62"/>
  <c r="D19" i="61" s="1"/>
  <c r="Y10" i="62"/>
  <c r="O10" i="62"/>
  <c r="K10" i="62"/>
  <c r="V9" i="62"/>
  <c r="U9" i="62"/>
  <c r="O9" i="62"/>
  <c r="N9" i="62"/>
  <c r="Q9" i="62" s="1"/>
  <c r="M9" i="62"/>
  <c r="AF9" i="62" s="1"/>
  <c r="K9" i="62"/>
  <c r="G9" i="62"/>
  <c r="V8" i="62"/>
  <c r="M8" i="62" s="1"/>
  <c r="U8" i="62"/>
  <c r="O8" i="62"/>
  <c r="K8" i="62"/>
  <c r="G8" i="62"/>
  <c r="V7" i="62"/>
  <c r="U7" i="62"/>
  <c r="Q7" i="62"/>
  <c r="O7" i="62"/>
  <c r="N7" i="62"/>
  <c r="P7" i="62" s="1"/>
  <c r="M7" i="62"/>
  <c r="AF7" i="62" s="1"/>
  <c r="K7" i="62"/>
  <c r="G7" i="62"/>
  <c r="V6" i="62"/>
  <c r="M6" i="62" s="1"/>
  <c r="U6" i="62"/>
  <c r="O6" i="62"/>
  <c r="K6" i="62"/>
  <c r="G6" i="62"/>
  <c r="V5" i="62"/>
  <c r="O5" i="62"/>
  <c r="M5" i="62"/>
  <c r="AF5" i="62" s="1"/>
  <c r="K5" i="62"/>
  <c r="G5" i="62"/>
  <c r="F1" i="62" s="1"/>
  <c r="H2" i="62"/>
  <c r="H1" i="62"/>
  <c r="D1" i="62"/>
  <c r="M22" i="61"/>
  <c r="L22" i="61"/>
  <c r="K22" i="61"/>
  <c r="J22" i="61"/>
  <c r="I22" i="61"/>
  <c r="H22" i="61"/>
  <c r="G22" i="61"/>
  <c r="F22" i="61"/>
  <c r="E22" i="61"/>
  <c r="D22" i="61"/>
  <c r="M21" i="61"/>
  <c r="L21" i="61"/>
  <c r="K21" i="61"/>
  <c r="J21" i="61"/>
  <c r="I21" i="61"/>
  <c r="H21" i="61"/>
  <c r="G21" i="61"/>
  <c r="E21" i="61"/>
  <c r="M20" i="61"/>
  <c r="L20" i="61"/>
  <c r="K20" i="61"/>
  <c r="J20" i="61"/>
  <c r="I20" i="61"/>
  <c r="H20" i="61"/>
  <c r="G20" i="61"/>
  <c r="F20" i="61"/>
  <c r="E20" i="61"/>
  <c r="D20" i="61"/>
  <c r="M19" i="61"/>
  <c r="L19" i="61"/>
  <c r="K19" i="61"/>
  <c r="J19" i="61"/>
  <c r="I19" i="61"/>
  <c r="H19" i="61"/>
  <c r="G19" i="61"/>
  <c r="E19" i="61"/>
  <c r="M18" i="61"/>
  <c r="L18" i="61"/>
  <c r="K18" i="61"/>
  <c r="J18" i="61"/>
  <c r="I18" i="61"/>
  <c r="H18" i="61"/>
  <c r="G18" i="61"/>
  <c r="E18" i="61"/>
  <c r="D18" i="61"/>
  <c r="M17" i="61"/>
  <c r="L17" i="61"/>
  <c r="K17" i="61"/>
  <c r="J17" i="61"/>
  <c r="I17" i="61"/>
  <c r="H17" i="61"/>
  <c r="G17" i="61"/>
  <c r="F17" i="61"/>
  <c r="E17" i="61"/>
  <c r="D17" i="61"/>
  <c r="M16" i="61"/>
  <c r="L16" i="61"/>
  <c r="K16" i="61"/>
  <c r="J16" i="61"/>
  <c r="I16" i="61"/>
  <c r="H16" i="61"/>
  <c r="G16" i="61"/>
  <c r="F16" i="61"/>
  <c r="E16" i="61"/>
  <c r="D16" i="61"/>
  <c r="L13" i="61"/>
  <c r="J13" i="61"/>
  <c r="I13" i="61"/>
  <c r="H13" i="61"/>
  <c r="F13" i="61"/>
  <c r="E13" i="61"/>
  <c r="D13" i="61"/>
  <c r="M6" i="61"/>
  <c r="F3" i="61"/>
  <c r="C3" i="61"/>
  <c r="N51" i="62" l="1"/>
  <c r="AF51" i="62"/>
  <c r="AE51" i="62"/>
  <c r="AE16" i="62"/>
  <c r="AF16" i="62"/>
  <c r="N16" i="62"/>
  <c r="AF27" i="62"/>
  <c r="AE27" i="62"/>
  <c r="N27" i="62"/>
  <c r="N20" i="62"/>
  <c r="AF20" i="62"/>
  <c r="AE20" i="62"/>
  <c r="M24" i="62"/>
  <c r="N21" i="62"/>
  <c r="AF21" i="62"/>
  <c r="AE21" i="62"/>
  <c r="F6" i="61"/>
  <c r="E6" i="61"/>
  <c r="G6" i="61"/>
  <c r="N6" i="62"/>
  <c r="AF6" i="62"/>
  <c r="AE6" i="62"/>
  <c r="N34" i="62"/>
  <c r="AF34" i="62"/>
  <c r="AE34" i="62"/>
  <c r="M36" i="62"/>
  <c r="AF31" i="62"/>
  <c r="AE31" i="62"/>
  <c r="N31" i="62"/>
  <c r="N41" i="62"/>
  <c r="AF41" i="62"/>
  <c r="AE41" i="62"/>
  <c r="N45" i="62"/>
  <c r="AF45" i="62"/>
  <c r="AE45" i="62"/>
  <c r="AF62" i="62"/>
  <c r="AE62" i="62"/>
  <c r="N62" i="62"/>
  <c r="M65" i="62"/>
  <c r="N25" i="62"/>
  <c r="AF25" i="62"/>
  <c r="M30" i="62"/>
  <c r="AE25" i="62"/>
  <c r="N17" i="62"/>
  <c r="AF17" i="62"/>
  <c r="AE17" i="62"/>
  <c r="AF49" i="62"/>
  <c r="AE49" i="62"/>
  <c r="N49" i="62"/>
  <c r="Q39" i="62"/>
  <c r="P39" i="62"/>
  <c r="AE56" i="62"/>
  <c r="AF56" i="62"/>
  <c r="N56" i="62"/>
  <c r="N32" i="62"/>
  <c r="AF32" i="62"/>
  <c r="AE32" i="62"/>
  <c r="Q50" i="62"/>
  <c r="P50" i="62"/>
  <c r="Q15" i="62"/>
  <c r="P15" i="62"/>
  <c r="N43" i="62"/>
  <c r="M52" i="62"/>
  <c r="AF43" i="62"/>
  <c r="AE43" i="62"/>
  <c r="Q19" i="62"/>
  <c r="P19" i="62"/>
  <c r="AE47" i="62"/>
  <c r="AF47" i="62"/>
  <c r="N47" i="62"/>
  <c r="I3" i="61"/>
  <c r="F2" i="62"/>
  <c r="AE8" i="62"/>
  <c r="AF8" i="62"/>
  <c r="N8" i="62"/>
  <c r="N54" i="62"/>
  <c r="AF54" i="62"/>
  <c r="AE54" i="62"/>
  <c r="AE40" i="62"/>
  <c r="AF40" i="62"/>
  <c r="N40" i="62"/>
  <c r="N23" i="62"/>
  <c r="AF23" i="62"/>
  <c r="AE23" i="62"/>
  <c r="AE58" i="62"/>
  <c r="AF58" i="62"/>
  <c r="N58" i="62"/>
  <c r="Q58" i="62" s="1"/>
  <c r="M10" i="62"/>
  <c r="N60" i="62"/>
  <c r="Y2" i="62"/>
  <c r="K6" i="61" s="1"/>
  <c r="Z2" i="62"/>
  <c r="L6" i="61" s="1"/>
  <c r="N29" i="62"/>
  <c r="N38" i="62"/>
  <c r="N64" i="62"/>
  <c r="AD2" i="62"/>
  <c r="N6" i="61" s="1"/>
  <c r="N12" i="62"/>
  <c r="N14" i="62"/>
  <c r="M42" i="62"/>
  <c r="M18" i="62"/>
  <c r="N5" i="62"/>
  <c r="N22" i="62"/>
  <c r="N44" i="62"/>
  <c r="N53" i="62"/>
  <c r="AF60" i="62"/>
  <c r="AE14" i="62"/>
  <c r="AE29" i="62"/>
  <c r="AE38" i="62"/>
  <c r="M59" i="62"/>
  <c r="AE64" i="62"/>
  <c r="Q35" i="62"/>
  <c r="Q46" i="62"/>
  <c r="P55" i="62"/>
  <c r="N57" i="62"/>
  <c r="P9" i="62"/>
  <c r="N11" i="62"/>
  <c r="M13" i="62"/>
  <c r="AE22" i="62"/>
  <c r="P26" i="62"/>
  <c r="N28" i="62"/>
  <c r="AE33" i="62"/>
  <c r="P37" i="62"/>
  <c r="P48" i="62"/>
  <c r="AE53" i="62"/>
  <c r="N61" i="62"/>
  <c r="Q61" i="62" s="1"/>
  <c r="N63" i="62"/>
  <c r="N33" i="62"/>
  <c r="AE5" i="62"/>
  <c r="AE44" i="62"/>
  <c r="AE7" i="62"/>
  <c r="AE35" i="62"/>
  <c r="AE46" i="62"/>
  <c r="AE55" i="62"/>
  <c r="AE9" i="62"/>
  <c r="AE26" i="62"/>
  <c r="AE37" i="62"/>
  <c r="AE48" i="62"/>
  <c r="AE57" i="62"/>
  <c r="AE61" i="62"/>
  <c r="AE11" i="62"/>
  <c r="AE28" i="62"/>
  <c r="AE63" i="62"/>
  <c r="P58" i="62"/>
  <c r="P61" i="62"/>
  <c r="AD67" i="60"/>
  <c r="M21" i="59" s="1"/>
  <c r="Z67" i="60"/>
  <c r="Y67" i="60"/>
  <c r="M18" i="59" s="1"/>
  <c r="O67" i="60"/>
  <c r="K67" i="60"/>
  <c r="M13" i="59" s="1"/>
  <c r="V66" i="60"/>
  <c r="M66" i="60" s="1"/>
  <c r="U66" i="60"/>
  <c r="O66" i="60"/>
  <c r="K66" i="60"/>
  <c r="G66" i="60"/>
  <c r="AF65" i="60"/>
  <c r="AE65" i="60"/>
  <c r="V65" i="60"/>
  <c r="U65" i="60"/>
  <c r="O65" i="60"/>
  <c r="M65" i="60"/>
  <c r="N65" i="60" s="1"/>
  <c r="K65" i="60"/>
  <c r="G65" i="60"/>
  <c r="V64" i="60"/>
  <c r="M64" i="60" s="1"/>
  <c r="U64" i="60"/>
  <c r="O64" i="60"/>
  <c r="K64" i="60"/>
  <c r="G64" i="60"/>
  <c r="V63" i="60"/>
  <c r="M63" i="60" s="1"/>
  <c r="U63" i="60"/>
  <c r="O63" i="60"/>
  <c r="K63" i="60"/>
  <c r="G63" i="60"/>
  <c r="X62" i="60"/>
  <c r="W62" i="60"/>
  <c r="V62" i="60"/>
  <c r="O62" i="60"/>
  <c r="M62" i="60"/>
  <c r="N62" i="60" s="1"/>
  <c r="K62" i="60"/>
  <c r="G62" i="60"/>
  <c r="AD61" i="60"/>
  <c r="J21" i="59" s="1"/>
  <c r="Z61" i="60"/>
  <c r="Y61" i="60"/>
  <c r="J18" i="59" s="1"/>
  <c r="O61" i="60"/>
  <c r="K61" i="60"/>
  <c r="V60" i="60"/>
  <c r="M60" i="60" s="1"/>
  <c r="U60" i="60"/>
  <c r="O60" i="60"/>
  <c r="K60" i="60"/>
  <c r="G60" i="60"/>
  <c r="V59" i="60"/>
  <c r="M59" i="60" s="1"/>
  <c r="U59" i="60"/>
  <c r="O59" i="60"/>
  <c r="K59" i="60"/>
  <c r="G59" i="60"/>
  <c r="V58" i="60"/>
  <c r="U58" i="60"/>
  <c r="O58" i="60"/>
  <c r="M58" i="60"/>
  <c r="N58" i="60" s="1"/>
  <c r="K58" i="60"/>
  <c r="G58" i="60"/>
  <c r="V57" i="60"/>
  <c r="M57" i="60" s="1"/>
  <c r="U57" i="60"/>
  <c r="O57" i="60"/>
  <c r="K57" i="60"/>
  <c r="G57" i="60"/>
  <c r="V56" i="60"/>
  <c r="M56" i="60" s="1"/>
  <c r="U56" i="60"/>
  <c r="O56" i="60"/>
  <c r="K56" i="60"/>
  <c r="G56" i="60"/>
  <c r="V55" i="60"/>
  <c r="M55" i="60" s="1"/>
  <c r="O55" i="60"/>
  <c r="K55" i="60"/>
  <c r="G55" i="60"/>
  <c r="AD54" i="60"/>
  <c r="Z54" i="60"/>
  <c r="Y54" i="60"/>
  <c r="O54" i="60"/>
  <c r="K54" i="60"/>
  <c r="V53" i="60"/>
  <c r="U53" i="60"/>
  <c r="O53" i="60"/>
  <c r="M53" i="60"/>
  <c r="AF53" i="60" s="1"/>
  <c r="K53" i="60"/>
  <c r="G53" i="60"/>
  <c r="V52" i="60"/>
  <c r="M52" i="60" s="1"/>
  <c r="AF52" i="60" s="1"/>
  <c r="U52" i="60"/>
  <c r="O52" i="60"/>
  <c r="K52" i="60"/>
  <c r="G52" i="60"/>
  <c r="V51" i="60"/>
  <c r="M51" i="60" s="1"/>
  <c r="U51" i="60"/>
  <c r="O51" i="60"/>
  <c r="K51" i="60"/>
  <c r="G51" i="60"/>
  <c r="V50" i="60"/>
  <c r="M50" i="60" s="1"/>
  <c r="U50" i="60"/>
  <c r="O50" i="60"/>
  <c r="K50" i="60"/>
  <c r="G50" i="60"/>
  <c r="V49" i="60"/>
  <c r="M49" i="60" s="1"/>
  <c r="U49" i="60"/>
  <c r="O49" i="60"/>
  <c r="K49" i="60"/>
  <c r="G49" i="60"/>
  <c r="V48" i="60"/>
  <c r="M48" i="60" s="1"/>
  <c r="U48" i="60"/>
  <c r="O48" i="60"/>
  <c r="K48" i="60"/>
  <c r="G48" i="60"/>
  <c r="V47" i="60"/>
  <c r="M47" i="60" s="1"/>
  <c r="U47" i="60"/>
  <c r="O47" i="60"/>
  <c r="K47" i="60"/>
  <c r="G47" i="60"/>
  <c r="V46" i="60"/>
  <c r="M46" i="60" s="1"/>
  <c r="O46" i="60"/>
  <c r="K46" i="60"/>
  <c r="G46" i="60"/>
  <c r="AD45" i="60"/>
  <c r="H21" i="59" s="1"/>
  <c r="Z45" i="60"/>
  <c r="H19" i="59" s="1"/>
  <c r="Y45" i="60"/>
  <c r="O45" i="60"/>
  <c r="K45" i="60"/>
  <c r="V44" i="60"/>
  <c r="U44" i="60"/>
  <c r="O44" i="60"/>
  <c r="M44" i="60"/>
  <c r="N44" i="60" s="1"/>
  <c r="K44" i="60"/>
  <c r="G44" i="60"/>
  <c r="V43" i="60"/>
  <c r="M43" i="60" s="1"/>
  <c r="U43" i="60"/>
  <c r="O43" i="60"/>
  <c r="K43" i="60"/>
  <c r="G43" i="60"/>
  <c r="X42" i="60"/>
  <c r="W42" i="60"/>
  <c r="V42" i="60"/>
  <c r="M42" i="60" s="1"/>
  <c r="N42" i="60" s="1"/>
  <c r="U42" i="60"/>
  <c r="O42" i="60"/>
  <c r="K42" i="60"/>
  <c r="G42" i="60"/>
  <c r="V41" i="60"/>
  <c r="M41" i="60" s="1"/>
  <c r="U41" i="60"/>
  <c r="O41" i="60"/>
  <c r="K41" i="60"/>
  <c r="G41" i="60"/>
  <c r="V40" i="60"/>
  <c r="M40" i="60" s="1"/>
  <c r="U40" i="60"/>
  <c r="O40" i="60"/>
  <c r="K40" i="60"/>
  <c r="G40" i="60"/>
  <c r="V39" i="60"/>
  <c r="U39" i="60"/>
  <c r="O39" i="60"/>
  <c r="M39" i="60"/>
  <c r="AF39" i="60" s="1"/>
  <c r="K39" i="60"/>
  <c r="G39" i="60"/>
  <c r="V38" i="60"/>
  <c r="M38" i="60" s="1"/>
  <c r="AF38" i="60" s="1"/>
  <c r="U38" i="60"/>
  <c r="O38" i="60"/>
  <c r="K38" i="60"/>
  <c r="G38" i="60"/>
  <c r="V37" i="60"/>
  <c r="O37" i="60"/>
  <c r="M37" i="60"/>
  <c r="AF37" i="60" s="1"/>
  <c r="K37" i="60"/>
  <c r="G37" i="60"/>
  <c r="AD36" i="60"/>
  <c r="L21" i="59" s="1"/>
  <c r="Z36" i="60"/>
  <c r="Y36" i="60"/>
  <c r="O36" i="60"/>
  <c r="K36" i="60"/>
  <c r="V35" i="60"/>
  <c r="M35" i="60" s="1"/>
  <c r="U35" i="60"/>
  <c r="O35" i="60"/>
  <c r="K35" i="60"/>
  <c r="G35" i="60"/>
  <c r="V34" i="60"/>
  <c r="M34" i="60" s="1"/>
  <c r="U34" i="60"/>
  <c r="O34" i="60"/>
  <c r="K34" i="60"/>
  <c r="G34" i="60"/>
  <c r="V33" i="60"/>
  <c r="U33" i="60"/>
  <c r="O33" i="60"/>
  <c r="M33" i="60"/>
  <c r="N33" i="60" s="1"/>
  <c r="K33" i="60"/>
  <c r="G33" i="60"/>
  <c r="V32" i="60"/>
  <c r="M32" i="60" s="1"/>
  <c r="U32" i="60"/>
  <c r="O32" i="60"/>
  <c r="K32" i="60"/>
  <c r="G32" i="60"/>
  <c r="X31" i="60"/>
  <c r="W31" i="60"/>
  <c r="V31" i="60"/>
  <c r="O31" i="60"/>
  <c r="M31" i="60"/>
  <c r="N31" i="60" s="1"/>
  <c r="K31" i="60"/>
  <c r="G31" i="60"/>
  <c r="AD30" i="60"/>
  <c r="K21" i="59" s="1"/>
  <c r="Z30" i="60"/>
  <c r="K19" i="59" s="1"/>
  <c r="Y30" i="60"/>
  <c r="K18" i="59" s="1"/>
  <c r="O30" i="60"/>
  <c r="K30" i="60"/>
  <c r="V29" i="60"/>
  <c r="M29" i="60" s="1"/>
  <c r="U29" i="60"/>
  <c r="O29" i="60"/>
  <c r="K29" i="60"/>
  <c r="G29" i="60"/>
  <c r="V28" i="60"/>
  <c r="M28" i="60" s="1"/>
  <c r="U28" i="60"/>
  <c r="O28" i="60"/>
  <c r="K28" i="60"/>
  <c r="G28" i="60"/>
  <c r="V27" i="60"/>
  <c r="M27" i="60" s="1"/>
  <c r="U27" i="60"/>
  <c r="O27" i="60"/>
  <c r="K27" i="60"/>
  <c r="G27" i="60"/>
  <c r="V26" i="60"/>
  <c r="U26" i="60"/>
  <c r="O26" i="60"/>
  <c r="M26" i="60"/>
  <c r="N26" i="60" s="1"/>
  <c r="K26" i="60"/>
  <c r="G26" i="60"/>
  <c r="X25" i="60"/>
  <c r="W25" i="60"/>
  <c r="V25" i="60"/>
  <c r="M25" i="60" s="1"/>
  <c r="O25" i="60"/>
  <c r="K25" i="60"/>
  <c r="G25" i="60"/>
  <c r="AD24" i="60"/>
  <c r="G21" i="59" s="1"/>
  <c r="Z24" i="60"/>
  <c r="G19" i="59" s="1"/>
  <c r="Y24" i="60"/>
  <c r="O24" i="60"/>
  <c r="K24" i="60"/>
  <c r="V23" i="60"/>
  <c r="M23" i="60" s="1"/>
  <c r="N23" i="60" s="1"/>
  <c r="U23" i="60"/>
  <c r="O23" i="60"/>
  <c r="K23" i="60"/>
  <c r="G23" i="60"/>
  <c r="V22" i="60"/>
  <c r="M22" i="60" s="1"/>
  <c r="U22" i="60"/>
  <c r="O22" i="60"/>
  <c r="K22" i="60"/>
  <c r="G22" i="60"/>
  <c r="V21" i="60"/>
  <c r="M21" i="60" s="1"/>
  <c r="U21" i="60"/>
  <c r="O21" i="60"/>
  <c r="K21" i="60"/>
  <c r="G21" i="60"/>
  <c r="V20" i="60"/>
  <c r="U20" i="60"/>
  <c r="O20" i="60"/>
  <c r="M20" i="60"/>
  <c r="AF20" i="60" s="1"/>
  <c r="K20" i="60"/>
  <c r="G20" i="60"/>
  <c r="V19" i="60"/>
  <c r="O19" i="60"/>
  <c r="M19" i="60"/>
  <c r="AF19" i="60" s="1"/>
  <c r="K19" i="60"/>
  <c r="G19" i="60"/>
  <c r="AD18" i="60"/>
  <c r="F21" i="59" s="1"/>
  <c r="Z18" i="60"/>
  <c r="F19" i="59" s="1"/>
  <c r="Y18" i="60"/>
  <c r="O18" i="60"/>
  <c r="K18" i="60"/>
  <c r="V17" i="60"/>
  <c r="M17" i="60" s="1"/>
  <c r="AF17" i="60" s="1"/>
  <c r="U17" i="60"/>
  <c r="O17" i="60"/>
  <c r="K17" i="60"/>
  <c r="G17" i="60"/>
  <c r="V16" i="60"/>
  <c r="M16" i="60" s="1"/>
  <c r="U16" i="60"/>
  <c r="O16" i="60"/>
  <c r="K16" i="60"/>
  <c r="G16" i="60"/>
  <c r="V15" i="60"/>
  <c r="U15" i="60"/>
  <c r="O15" i="60"/>
  <c r="M15" i="60"/>
  <c r="AE15" i="60" s="1"/>
  <c r="K15" i="60"/>
  <c r="G15" i="60"/>
  <c r="AF14" i="60"/>
  <c r="V14" i="60"/>
  <c r="O14" i="60"/>
  <c r="M14" i="60"/>
  <c r="AE14" i="60" s="1"/>
  <c r="K14" i="60"/>
  <c r="G14" i="60"/>
  <c r="AD13" i="60"/>
  <c r="Z13" i="60"/>
  <c r="Y13" i="60"/>
  <c r="E18" i="59" s="1"/>
  <c r="O13" i="60"/>
  <c r="K13" i="60"/>
  <c r="V12" i="60"/>
  <c r="M12" i="60" s="1"/>
  <c r="U12" i="60"/>
  <c r="O12" i="60"/>
  <c r="K12" i="60"/>
  <c r="G12" i="60"/>
  <c r="V11" i="60"/>
  <c r="M11" i="60" s="1"/>
  <c r="O11" i="60"/>
  <c r="K11" i="60"/>
  <c r="G11" i="60"/>
  <c r="AD10" i="60"/>
  <c r="AD2" i="60" s="1"/>
  <c r="N6" i="59" s="1"/>
  <c r="Z10" i="60"/>
  <c r="D19" i="59" s="1"/>
  <c r="Y10" i="60"/>
  <c r="O10" i="60"/>
  <c r="K10" i="60"/>
  <c r="V9" i="60"/>
  <c r="M9" i="60" s="1"/>
  <c r="U9" i="60"/>
  <c r="O9" i="60"/>
  <c r="K9" i="60"/>
  <c r="G9" i="60"/>
  <c r="V8" i="60"/>
  <c r="U8" i="60"/>
  <c r="O8" i="60"/>
  <c r="M8" i="60"/>
  <c r="N8" i="60" s="1"/>
  <c r="K8" i="60"/>
  <c r="G8" i="60"/>
  <c r="V7" i="60"/>
  <c r="M7" i="60" s="1"/>
  <c r="U7" i="60"/>
  <c r="O7" i="60"/>
  <c r="K7" i="60"/>
  <c r="G7" i="60"/>
  <c r="F1" i="60" s="1"/>
  <c r="I3" i="59" s="1"/>
  <c r="V6" i="60"/>
  <c r="M6" i="60" s="1"/>
  <c r="U6" i="60"/>
  <c r="O6" i="60"/>
  <c r="K6" i="60"/>
  <c r="G6" i="60"/>
  <c r="V5" i="60"/>
  <c r="M5" i="60" s="1"/>
  <c r="O5" i="60"/>
  <c r="K5" i="60"/>
  <c r="G5" i="60"/>
  <c r="H2" i="60"/>
  <c r="H1" i="60"/>
  <c r="D1" i="60"/>
  <c r="F3" i="59" s="1"/>
  <c r="M22" i="59"/>
  <c r="L22" i="59"/>
  <c r="K22" i="59"/>
  <c r="J22" i="59"/>
  <c r="I22" i="59"/>
  <c r="H22" i="59"/>
  <c r="G22" i="59"/>
  <c r="F22" i="59"/>
  <c r="E22" i="59"/>
  <c r="D22" i="59"/>
  <c r="I21" i="59"/>
  <c r="E21" i="59"/>
  <c r="M20" i="59"/>
  <c r="L20" i="59"/>
  <c r="K20" i="59"/>
  <c r="J20" i="59"/>
  <c r="I20" i="59"/>
  <c r="H20" i="59"/>
  <c r="G20" i="59"/>
  <c r="F20" i="59"/>
  <c r="E20" i="59"/>
  <c r="D20" i="59"/>
  <c r="M19" i="59"/>
  <c r="L19" i="59"/>
  <c r="J19" i="59"/>
  <c r="I19" i="59"/>
  <c r="E19" i="59"/>
  <c r="L18" i="59"/>
  <c r="I18" i="59"/>
  <c r="H18" i="59"/>
  <c r="G18" i="59"/>
  <c r="F18" i="59"/>
  <c r="D18" i="59"/>
  <c r="M17" i="59"/>
  <c r="L17" i="59"/>
  <c r="K17" i="59"/>
  <c r="J17" i="59"/>
  <c r="I17" i="59"/>
  <c r="H17" i="59"/>
  <c r="G17" i="59"/>
  <c r="F17" i="59"/>
  <c r="E17" i="59"/>
  <c r="D17" i="59"/>
  <c r="M16" i="59"/>
  <c r="L16" i="59"/>
  <c r="K16" i="59"/>
  <c r="J16" i="59"/>
  <c r="I16" i="59"/>
  <c r="H16" i="59"/>
  <c r="G16" i="59"/>
  <c r="F16" i="59"/>
  <c r="E16" i="59"/>
  <c r="D16" i="59"/>
  <c r="L13" i="59"/>
  <c r="K13" i="59"/>
  <c r="J13" i="59"/>
  <c r="I13" i="59"/>
  <c r="H13" i="59"/>
  <c r="G13" i="59"/>
  <c r="F13" i="59"/>
  <c r="E13" i="59"/>
  <c r="D13" i="59"/>
  <c r="M6" i="59"/>
  <c r="C3" i="59"/>
  <c r="N49" i="60" l="1"/>
  <c r="AF49" i="60"/>
  <c r="AE49" i="60"/>
  <c r="AE34" i="60"/>
  <c r="AF34" i="60"/>
  <c r="AE50" i="60"/>
  <c r="AF50" i="60"/>
  <c r="AE66" i="60"/>
  <c r="AF66" i="60"/>
  <c r="Q5" i="62"/>
  <c r="P5" i="62"/>
  <c r="Q25" i="62"/>
  <c r="P25" i="62"/>
  <c r="Q6" i="62"/>
  <c r="P6" i="62"/>
  <c r="Q28" i="62"/>
  <c r="P28" i="62"/>
  <c r="N18" i="62"/>
  <c r="AF18" i="62"/>
  <c r="AG14" i="62" s="1"/>
  <c r="AE18" i="62"/>
  <c r="AF65" i="62"/>
  <c r="AG60" i="62" s="1"/>
  <c r="AE65" i="62"/>
  <c r="N65" i="62"/>
  <c r="Q11" i="62"/>
  <c r="P11" i="62"/>
  <c r="Q8" i="62"/>
  <c r="P8" i="62"/>
  <c r="Q32" i="62"/>
  <c r="P32" i="62"/>
  <c r="Q64" i="62"/>
  <c r="P64" i="62"/>
  <c r="Q56" i="62"/>
  <c r="P56" i="62"/>
  <c r="P21" i="62"/>
  <c r="Q21" i="62"/>
  <c r="N39" i="60"/>
  <c r="Q39" i="60" s="1"/>
  <c r="AF15" i="60"/>
  <c r="N19" i="60"/>
  <c r="Q19" i="60" s="1"/>
  <c r="P57" i="62"/>
  <c r="Q57" i="62"/>
  <c r="Q38" i="62"/>
  <c r="P38" i="62"/>
  <c r="Q45" i="62"/>
  <c r="P45" i="62"/>
  <c r="AF24" i="62"/>
  <c r="AG19" i="62" s="1"/>
  <c r="AE24" i="62"/>
  <c r="N24" i="62"/>
  <c r="F6" i="59"/>
  <c r="Q29" i="62"/>
  <c r="P29" i="62"/>
  <c r="P14" i="62"/>
  <c r="Q14" i="62"/>
  <c r="P12" i="62"/>
  <c r="Q12" i="62"/>
  <c r="AE33" i="60"/>
  <c r="Q47" i="62"/>
  <c r="P47" i="62"/>
  <c r="P41" i="62"/>
  <c r="Q41" i="62"/>
  <c r="Q20" i="62"/>
  <c r="P20" i="62"/>
  <c r="AE13" i="62"/>
  <c r="N13" i="62"/>
  <c r="AF13" i="62"/>
  <c r="AG11" i="62" s="1"/>
  <c r="Q54" i="62"/>
  <c r="P54" i="62"/>
  <c r="AF33" i="60"/>
  <c r="Q60" i="62"/>
  <c r="P60" i="62"/>
  <c r="Q49" i="62"/>
  <c r="P49" i="62"/>
  <c r="Q31" i="62"/>
  <c r="P31" i="62"/>
  <c r="Q27" i="62"/>
  <c r="P27" i="62"/>
  <c r="Q62" i="62"/>
  <c r="P62" i="62"/>
  <c r="AF59" i="62"/>
  <c r="AG53" i="62" s="1"/>
  <c r="AE59" i="62"/>
  <c r="N59" i="62"/>
  <c r="AF10" i="62"/>
  <c r="AG5" i="62" s="1"/>
  <c r="AE10" i="62"/>
  <c r="N10" i="62"/>
  <c r="N20" i="60"/>
  <c r="Q20" i="60" s="1"/>
  <c r="AF42" i="62"/>
  <c r="AG37" i="62" s="1"/>
  <c r="AE42" i="62"/>
  <c r="N42" i="62"/>
  <c r="AE62" i="60"/>
  <c r="Q33" i="62"/>
  <c r="P33" i="62"/>
  <c r="N36" i="62"/>
  <c r="AE36" i="62"/>
  <c r="AF36" i="62"/>
  <c r="AG31" i="62" s="1"/>
  <c r="P16" i="62"/>
  <c r="Q16" i="62"/>
  <c r="Q63" i="62"/>
  <c r="P63" i="62"/>
  <c r="Q17" i="62"/>
  <c r="P17" i="62"/>
  <c r="AE31" i="60"/>
  <c r="Q53" i="62"/>
  <c r="P53" i="62"/>
  <c r="N52" i="62"/>
  <c r="AF52" i="62"/>
  <c r="AG43" i="62" s="1"/>
  <c r="AE52" i="62"/>
  <c r="Q34" i="62"/>
  <c r="P34" i="62"/>
  <c r="AF31" i="60"/>
  <c r="Q44" i="62"/>
  <c r="P44" i="62"/>
  <c r="Q23" i="62"/>
  <c r="P23" i="62"/>
  <c r="P43" i="62"/>
  <c r="Q43" i="62"/>
  <c r="AF30" i="62"/>
  <c r="AG25" i="62" s="1"/>
  <c r="AE30" i="62"/>
  <c r="N30" i="62"/>
  <c r="P22" i="62"/>
  <c r="Q22" i="62"/>
  <c r="P40" i="62"/>
  <c r="Q40" i="62"/>
  <c r="Q51" i="62"/>
  <c r="P51" i="62"/>
  <c r="Q62" i="60"/>
  <c r="P62" i="60"/>
  <c r="N7" i="60"/>
  <c r="AF7" i="60"/>
  <c r="AE7" i="60"/>
  <c r="AF16" i="60"/>
  <c r="AE16" i="60"/>
  <c r="N16" i="60"/>
  <c r="M18" i="60"/>
  <c r="N29" i="60"/>
  <c r="AF29" i="60"/>
  <c r="AE29" i="60"/>
  <c r="N41" i="60"/>
  <c r="AF41" i="60"/>
  <c r="AE41" i="60"/>
  <c r="N12" i="60"/>
  <c r="AF12" i="60"/>
  <c r="AE12" i="60"/>
  <c r="N25" i="60"/>
  <c r="AF25" i="60"/>
  <c r="M30" i="60"/>
  <c r="AE25" i="60"/>
  <c r="N43" i="60"/>
  <c r="AF43" i="60"/>
  <c r="AE43" i="60"/>
  <c r="AF5" i="60"/>
  <c r="M10" i="60"/>
  <c r="AE5" i="60"/>
  <c r="N5" i="60"/>
  <c r="N27" i="60"/>
  <c r="AF27" i="60"/>
  <c r="AE27" i="60"/>
  <c r="N48" i="60"/>
  <c r="AF48" i="60"/>
  <c r="AE48" i="60"/>
  <c r="Q8" i="60"/>
  <c r="P8" i="60"/>
  <c r="AF35" i="60"/>
  <c r="AE35" i="60"/>
  <c r="N35" i="60"/>
  <c r="Q42" i="60"/>
  <c r="P42" i="60"/>
  <c r="N63" i="60"/>
  <c r="AF63" i="60"/>
  <c r="M67" i="60"/>
  <c r="AE63" i="60"/>
  <c r="I6" i="59"/>
  <c r="AF21" i="60"/>
  <c r="AE21" i="60"/>
  <c r="N21" i="60"/>
  <c r="Q49" i="60"/>
  <c r="P49" i="60"/>
  <c r="N57" i="60"/>
  <c r="AF57" i="60"/>
  <c r="AE57" i="60"/>
  <c r="Q26" i="60"/>
  <c r="P26" i="60"/>
  <c r="AF6" i="60"/>
  <c r="AE6" i="60"/>
  <c r="N6" i="60"/>
  <c r="N28" i="60"/>
  <c r="AF28" i="60"/>
  <c r="AE28" i="60"/>
  <c r="N32" i="60"/>
  <c r="AF32" i="60"/>
  <c r="M36" i="60"/>
  <c r="AE32" i="60"/>
  <c r="AF40" i="60"/>
  <c r="AE40" i="60"/>
  <c r="N40" i="60"/>
  <c r="AF55" i="60"/>
  <c r="AE55" i="60"/>
  <c r="M61" i="60"/>
  <c r="N55" i="60"/>
  <c r="N64" i="60"/>
  <c r="AF64" i="60"/>
  <c r="AE64" i="60"/>
  <c r="N9" i="60"/>
  <c r="AF9" i="60"/>
  <c r="AE9" i="60"/>
  <c r="N11" i="60"/>
  <c r="M13" i="60"/>
  <c r="AF11" i="60"/>
  <c r="AE11" i="60"/>
  <c r="N60" i="60"/>
  <c r="AF60" i="60"/>
  <c r="AE60" i="60"/>
  <c r="Q31" i="60"/>
  <c r="P31" i="60"/>
  <c r="Q58" i="60"/>
  <c r="P58" i="60"/>
  <c r="N47" i="60"/>
  <c r="AF47" i="60"/>
  <c r="AE47" i="60"/>
  <c r="N22" i="60"/>
  <c r="AF22" i="60"/>
  <c r="AE22" i="60"/>
  <c r="Q33" i="60"/>
  <c r="P33" i="60"/>
  <c r="AF51" i="60"/>
  <c r="AE51" i="60"/>
  <c r="N51" i="60"/>
  <c r="Q65" i="60"/>
  <c r="P65" i="60"/>
  <c r="AF56" i="60"/>
  <c r="AE56" i="60"/>
  <c r="N56" i="60"/>
  <c r="Q23" i="60"/>
  <c r="P23" i="60"/>
  <c r="Q44" i="60"/>
  <c r="P44" i="60"/>
  <c r="M54" i="60"/>
  <c r="N46" i="60"/>
  <c r="AF46" i="60"/>
  <c r="AE46" i="60"/>
  <c r="N59" i="60"/>
  <c r="AF59" i="60"/>
  <c r="AE59" i="60"/>
  <c r="N37" i="60"/>
  <c r="N38" i="60"/>
  <c r="N53" i="60"/>
  <c r="N17" i="60"/>
  <c r="P20" i="60"/>
  <c r="P39" i="60"/>
  <c r="N52" i="60"/>
  <c r="AF62" i="60"/>
  <c r="D21" i="59"/>
  <c r="F2" i="60"/>
  <c r="AE8" i="60"/>
  <c r="AE23" i="60"/>
  <c r="AE26" i="60"/>
  <c r="AE44" i="60"/>
  <c r="AE58" i="60"/>
  <c r="AF8" i="60"/>
  <c r="N14" i="60"/>
  <c r="N15" i="60"/>
  <c r="AF23" i="60"/>
  <c r="AF26" i="60"/>
  <c r="N34" i="60"/>
  <c r="AF44" i="60"/>
  <c r="N50" i="60"/>
  <c r="AF58" i="60"/>
  <c r="N66" i="60"/>
  <c r="Y2" i="60"/>
  <c r="K6" i="59" s="1"/>
  <c r="AE42" i="60"/>
  <c r="Z2" i="60"/>
  <c r="L6" i="59" s="1"/>
  <c r="AE19" i="60"/>
  <c r="AE20" i="60"/>
  <c r="M24" i="60"/>
  <c r="AE39" i="60"/>
  <c r="AF42" i="60"/>
  <c r="M45" i="60"/>
  <c r="AE37" i="60"/>
  <c r="AE38" i="60"/>
  <c r="AE53" i="60"/>
  <c r="AE17" i="60"/>
  <c r="AE52" i="60"/>
  <c r="E6" i="59"/>
  <c r="G6" i="59"/>
  <c r="AD68" i="58"/>
  <c r="Z68" i="58"/>
  <c r="Y68" i="58"/>
  <c r="O68" i="58"/>
  <c r="K68" i="58"/>
  <c r="AF67" i="58"/>
  <c r="V67" i="58"/>
  <c r="U67" i="58"/>
  <c r="O67" i="58"/>
  <c r="M67" i="58"/>
  <c r="AE67" i="58" s="1"/>
  <c r="K67" i="58"/>
  <c r="V66" i="58"/>
  <c r="M66" i="58" s="1"/>
  <c r="U66" i="58"/>
  <c r="O66" i="58"/>
  <c r="K66" i="58"/>
  <c r="V65" i="58"/>
  <c r="M65" i="58" s="1"/>
  <c r="U65" i="58"/>
  <c r="O65" i="58"/>
  <c r="K65" i="58"/>
  <c r="V64" i="58"/>
  <c r="M64" i="58" s="1"/>
  <c r="U64" i="58"/>
  <c r="O64" i="58"/>
  <c r="K64" i="58"/>
  <c r="X63" i="58"/>
  <c r="W63" i="58"/>
  <c r="V63" i="58"/>
  <c r="M63" i="58" s="1"/>
  <c r="O63" i="58"/>
  <c r="K63" i="58"/>
  <c r="AD62" i="58"/>
  <c r="J21" i="57" s="1"/>
  <c r="Z62" i="58"/>
  <c r="J19" i="57" s="1"/>
  <c r="Y62" i="58"/>
  <c r="O62" i="58"/>
  <c r="K62" i="58"/>
  <c r="V61" i="58"/>
  <c r="U61" i="58"/>
  <c r="O61" i="58"/>
  <c r="M61" i="58"/>
  <c r="AF61" i="58" s="1"/>
  <c r="K61" i="58"/>
  <c r="V60" i="58"/>
  <c r="M60" i="58" s="1"/>
  <c r="AF60" i="58" s="1"/>
  <c r="U60" i="58"/>
  <c r="O60" i="58"/>
  <c r="K60" i="58"/>
  <c r="V59" i="58"/>
  <c r="M59" i="58" s="1"/>
  <c r="U59" i="58"/>
  <c r="O59" i="58"/>
  <c r="K59" i="58"/>
  <c r="V58" i="58"/>
  <c r="M58" i="58" s="1"/>
  <c r="U58" i="58"/>
  <c r="O58" i="58"/>
  <c r="K58" i="58"/>
  <c r="V57" i="58"/>
  <c r="M57" i="58" s="1"/>
  <c r="U57" i="58"/>
  <c r="O57" i="58"/>
  <c r="K57" i="58"/>
  <c r="V56" i="58"/>
  <c r="M56" i="58" s="1"/>
  <c r="O56" i="58"/>
  <c r="K56" i="58"/>
  <c r="AD55" i="58"/>
  <c r="Z55" i="58"/>
  <c r="I19" i="57" s="1"/>
  <c r="Y55" i="58"/>
  <c r="O55" i="58"/>
  <c r="K55" i="58"/>
  <c r="V54" i="58"/>
  <c r="U54" i="58"/>
  <c r="O54" i="58"/>
  <c r="M54" i="58"/>
  <c r="AF54" i="58" s="1"/>
  <c r="K54" i="58"/>
  <c r="V53" i="58"/>
  <c r="M53" i="58" s="1"/>
  <c r="AF53" i="58" s="1"/>
  <c r="U53" i="58"/>
  <c r="O53" i="58"/>
  <c r="K53" i="58"/>
  <c r="V52" i="58"/>
  <c r="U52" i="58"/>
  <c r="O52" i="58"/>
  <c r="M52" i="58"/>
  <c r="AE52" i="58" s="1"/>
  <c r="K52" i="58"/>
  <c r="V51" i="58"/>
  <c r="M51" i="58" s="1"/>
  <c r="U51" i="58"/>
  <c r="O51" i="58"/>
  <c r="K51" i="58"/>
  <c r="V50" i="58"/>
  <c r="M50" i="58" s="1"/>
  <c r="U50" i="58"/>
  <c r="O50" i="58"/>
  <c r="K50" i="58"/>
  <c r="V49" i="58"/>
  <c r="M49" i="58" s="1"/>
  <c r="U49" i="58"/>
  <c r="O49" i="58"/>
  <c r="K49" i="58"/>
  <c r="V48" i="58"/>
  <c r="U48" i="58"/>
  <c r="O48" i="58"/>
  <c r="M48" i="58"/>
  <c r="AF48" i="58" s="1"/>
  <c r="K48" i="58"/>
  <c r="V47" i="58"/>
  <c r="M47" i="58" s="1"/>
  <c r="O47" i="58"/>
  <c r="K47" i="58"/>
  <c r="AD46" i="58"/>
  <c r="Z46" i="58"/>
  <c r="H19" i="57" s="1"/>
  <c r="Y46" i="58"/>
  <c r="H18" i="57" s="1"/>
  <c r="O46" i="58"/>
  <c r="K46" i="58"/>
  <c r="V45" i="58"/>
  <c r="M45" i="58" s="1"/>
  <c r="U45" i="58"/>
  <c r="O45" i="58"/>
  <c r="K45" i="58"/>
  <c r="V44" i="58"/>
  <c r="M44" i="58" s="1"/>
  <c r="U44" i="58"/>
  <c r="O44" i="58"/>
  <c r="K44" i="58"/>
  <c r="X43" i="58"/>
  <c r="W43" i="58"/>
  <c r="V43" i="58"/>
  <c r="M43" i="58" s="1"/>
  <c r="U43" i="58"/>
  <c r="O43" i="58"/>
  <c r="K43" i="58"/>
  <c r="V42" i="58"/>
  <c r="M42" i="58" s="1"/>
  <c r="U42" i="58"/>
  <c r="O42" i="58"/>
  <c r="K42" i="58"/>
  <c r="V41" i="58"/>
  <c r="M41" i="58" s="1"/>
  <c r="U41" i="58"/>
  <c r="O41" i="58"/>
  <c r="K41" i="58"/>
  <c r="V40" i="58"/>
  <c r="U40" i="58"/>
  <c r="O40" i="58"/>
  <c r="M40" i="58"/>
  <c r="AF40" i="58" s="1"/>
  <c r="K40" i="58"/>
  <c r="V39" i="58"/>
  <c r="U39" i="58"/>
  <c r="O39" i="58"/>
  <c r="M39" i="58"/>
  <c r="AF39" i="58" s="1"/>
  <c r="K39" i="58"/>
  <c r="V38" i="58"/>
  <c r="O38" i="58"/>
  <c r="M38" i="58"/>
  <c r="AF38" i="58" s="1"/>
  <c r="K38" i="58"/>
  <c r="AD37" i="58"/>
  <c r="L21" i="57" s="1"/>
  <c r="Z37" i="58"/>
  <c r="Y37" i="58"/>
  <c r="L18" i="57" s="1"/>
  <c r="O37" i="58"/>
  <c r="K37" i="58"/>
  <c r="V36" i="58"/>
  <c r="M36" i="58" s="1"/>
  <c r="U36" i="58"/>
  <c r="O36" i="58"/>
  <c r="K36" i="58"/>
  <c r="V35" i="58"/>
  <c r="M35" i="58" s="1"/>
  <c r="U35" i="58"/>
  <c r="O35" i="58"/>
  <c r="K35" i="58"/>
  <c r="V34" i="58"/>
  <c r="M34" i="58" s="1"/>
  <c r="U34" i="58"/>
  <c r="O34" i="58"/>
  <c r="K34" i="58"/>
  <c r="V33" i="58"/>
  <c r="M33" i="58" s="1"/>
  <c r="AF33" i="58" s="1"/>
  <c r="U33" i="58"/>
  <c r="O33" i="58"/>
  <c r="K33" i="58"/>
  <c r="X32" i="58"/>
  <c r="W32" i="58"/>
  <c r="V32" i="58"/>
  <c r="M32" i="58" s="1"/>
  <c r="O32" i="58"/>
  <c r="K32" i="58"/>
  <c r="AD31" i="58"/>
  <c r="Z31" i="58"/>
  <c r="K19" i="57" s="1"/>
  <c r="Y31" i="58"/>
  <c r="O31" i="58"/>
  <c r="K31" i="58"/>
  <c r="K13" i="57" s="1"/>
  <c r="I6" i="57" s="1"/>
  <c r="V30" i="58"/>
  <c r="M30" i="58" s="1"/>
  <c r="AF30" i="58" s="1"/>
  <c r="U30" i="58"/>
  <c r="O30" i="58"/>
  <c r="K30" i="58"/>
  <c r="V29" i="58"/>
  <c r="M29" i="58" s="1"/>
  <c r="U29" i="58"/>
  <c r="O29" i="58"/>
  <c r="K29" i="58"/>
  <c r="V28" i="58"/>
  <c r="M28" i="58" s="1"/>
  <c r="U28" i="58"/>
  <c r="O28" i="58"/>
  <c r="K28" i="58"/>
  <c r="V27" i="58"/>
  <c r="M27" i="58" s="1"/>
  <c r="U27" i="58"/>
  <c r="O27" i="58"/>
  <c r="K27" i="58"/>
  <c r="X26" i="58"/>
  <c r="W26" i="58"/>
  <c r="V26" i="58"/>
  <c r="M26" i="58" s="1"/>
  <c r="O26" i="58"/>
  <c r="K26" i="58"/>
  <c r="AD25" i="58"/>
  <c r="Z25" i="58"/>
  <c r="G19" i="57" s="1"/>
  <c r="Y25" i="58"/>
  <c r="G18" i="57" s="1"/>
  <c r="O25" i="58"/>
  <c r="K25" i="58"/>
  <c r="V24" i="58"/>
  <c r="M24" i="58" s="1"/>
  <c r="U24" i="58"/>
  <c r="O24" i="58"/>
  <c r="K24" i="58"/>
  <c r="V23" i="58"/>
  <c r="U23" i="58"/>
  <c r="O23" i="58"/>
  <c r="M23" i="58"/>
  <c r="AF23" i="58" s="1"/>
  <c r="K23" i="58"/>
  <c r="V22" i="58"/>
  <c r="U22" i="58"/>
  <c r="O22" i="58"/>
  <c r="M22" i="58"/>
  <c r="AF22" i="58" s="1"/>
  <c r="K22" i="58"/>
  <c r="V21" i="58"/>
  <c r="M21" i="58" s="1"/>
  <c r="U21" i="58"/>
  <c r="O21" i="58"/>
  <c r="K21" i="58"/>
  <c r="V20" i="58"/>
  <c r="M20" i="58" s="1"/>
  <c r="O20" i="58"/>
  <c r="K20" i="58"/>
  <c r="AD19" i="58"/>
  <c r="Z19" i="58"/>
  <c r="F19" i="57" s="1"/>
  <c r="Y19" i="58"/>
  <c r="O19" i="58"/>
  <c r="K19" i="58"/>
  <c r="F13" i="57" s="1"/>
  <c r="V18" i="58"/>
  <c r="M18" i="58" s="1"/>
  <c r="U18" i="58"/>
  <c r="O18" i="58"/>
  <c r="K18" i="58"/>
  <c r="V17" i="58"/>
  <c r="M17" i="58" s="1"/>
  <c r="U17" i="58"/>
  <c r="O17" i="58"/>
  <c r="K17" i="58"/>
  <c r="V16" i="58"/>
  <c r="U16" i="58"/>
  <c r="O16" i="58"/>
  <c r="M16" i="58"/>
  <c r="AF16" i="58" s="1"/>
  <c r="K16" i="58"/>
  <c r="V15" i="58"/>
  <c r="U15" i="58"/>
  <c r="O15" i="58"/>
  <c r="M15" i="58"/>
  <c r="AF15" i="58" s="1"/>
  <c r="K15" i="58"/>
  <c r="V14" i="58"/>
  <c r="O14" i="58"/>
  <c r="M14" i="58"/>
  <c r="AF14" i="58" s="1"/>
  <c r="K14" i="58"/>
  <c r="AD13" i="58"/>
  <c r="Z13" i="58"/>
  <c r="Y13" i="58"/>
  <c r="O13" i="58"/>
  <c r="K13" i="58"/>
  <c r="V12" i="58"/>
  <c r="M12" i="58" s="1"/>
  <c r="U12" i="58"/>
  <c r="O12" i="58"/>
  <c r="K12" i="58"/>
  <c r="V11" i="58"/>
  <c r="M11" i="58" s="1"/>
  <c r="O11" i="58"/>
  <c r="K11" i="58"/>
  <c r="AD10" i="58"/>
  <c r="D21" i="57" s="1"/>
  <c r="Z10" i="58"/>
  <c r="D19" i="57" s="1"/>
  <c r="Y10" i="58"/>
  <c r="D18" i="57" s="1"/>
  <c r="O10" i="58"/>
  <c r="K10" i="58"/>
  <c r="V9" i="58"/>
  <c r="M9" i="58" s="1"/>
  <c r="U9" i="58"/>
  <c r="O9" i="58"/>
  <c r="K9" i="58"/>
  <c r="V8" i="58"/>
  <c r="M8" i="58" s="1"/>
  <c r="AF8" i="58" s="1"/>
  <c r="U8" i="58"/>
  <c r="O8" i="58"/>
  <c r="K8" i="58"/>
  <c r="V7" i="58"/>
  <c r="M7" i="58" s="1"/>
  <c r="AF7" i="58" s="1"/>
  <c r="U7" i="58"/>
  <c r="O7" i="58"/>
  <c r="K7" i="58"/>
  <c r="V6" i="58"/>
  <c r="U6" i="58"/>
  <c r="O6" i="58"/>
  <c r="M6" i="58"/>
  <c r="AE6" i="58" s="1"/>
  <c r="K6" i="58"/>
  <c r="AF5" i="58"/>
  <c r="AE5" i="58"/>
  <c r="V5" i="58"/>
  <c r="O5" i="58"/>
  <c r="M5" i="58"/>
  <c r="K5" i="58"/>
  <c r="H2" i="58"/>
  <c r="H1" i="58"/>
  <c r="F1" i="58"/>
  <c r="D1" i="58"/>
  <c r="F3" i="57" s="1"/>
  <c r="M22" i="57"/>
  <c r="L22" i="57"/>
  <c r="K22" i="57"/>
  <c r="J22" i="57"/>
  <c r="I22" i="57"/>
  <c r="H22" i="57"/>
  <c r="G22" i="57"/>
  <c r="F22" i="57"/>
  <c r="E22" i="57"/>
  <c r="D22" i="57"/>
  <c r="M21" i="57"/>
  <c r="K21" i="57"/>
  <c r="I21" i="57"/>
  <c r="H21" i="57"/>
  <c r="G21" i="57"/>
  <c r="F21" i="57"/>
  <c r="E21" i="57"/>
  <c r="M20" i="57"/>
  <c r="L20" i="57"/>
  <c r="K20" i="57"/>
  <c r="J20" i="57"/>
  <c r="I20" i="57"/>
  <c r="H20" i="57"/>
  <c r="G20" i="57"/>
  <c r="F20" i="57"/>
  <c r="E20" i="57"/>
  <c r="D20" i="57"/>
  <c r="M19" i="57"/>
  <c r="L19" i="57"/>
  <c r="E19" i="57"/>
  <c r="M18" i="57"/>
  <c r="K18" i="57"/>
  <c r="J18" i="57"/>
  <c r="I18" i="57"/>
  <c r="F18" i="57"/>
  <c r="E18" i="57"/>
  <c r="M17" i="57"/>
  <c r="L17" i="57"/>
  <c r="K17" i="57"/>
  <c r="J17" i="57"/>
  <c r="I17" i="57"/>
  <c r="H17" i="57"/>
  <c r="G17" i="57"/>
  <c r="F17" i="57"/>
  <c r="E17" i="57"/>
  <c r="D17" i="57"/>
  <c r="M16" i="57"/>
  <c r="L16" i="57"/>
  <c r="K16" i="57"/>
  <c r="J16" i="57"/>
  <c r="I16" i="57"/>
  <c r="H16" i="57"/>
  <c r="G16" i="57"/>
  <c r="F16" i="57"/>
  <c r="E16" i="57"/>
  <c r="D16" i="57"/>
  <c r="M13" i="57"/>
  <c r="L13" i="57"/>
  <c r="J13" i="57"/>
  <c r="I13" i="57"/>
  <c r="H13" i="57"/>
  <c r="G13" i="57"/>
  <c r="E13" i="57"/>
  <c r="D13" i="57"/>
  <c r="M6" i="57"/>
  <c r="C3" i="57"/>
  <c r="AE21" i="58" l="1"/>
  <c r="AF21" i="58"/>
  <c r="M25" i="58"/>
  <c r="AF20" i="58"/>
  <c r="AE20" i="58"/>
  <c r="AE29" i="58"/>
  <c r="AF29" i="58"/>
  <c r="AE59" i="58"/>
  <c r="AF59" i="58"/>
  <c r="AE45" i="58"/>
  <c r="AF45" i="58"/>
  <c r="Q59" i="62"/>
  <c r="R53" i="62" s="1"/>
  <c r="P59" i="62"/>
  <c r="J14" i="61"/>
  <c r="J15" i="61" s="1"/>
  <c r="Q18" i="62"/>
  <c r="R14" i="62" s="1"/>
  <c r="F14" i="61"/>
  <c r="F15" i="61" s="1"/>
  <c r="P18" i="62"/>
  <c r="K14" i="61"/>
  <c r="P30" i="62"/>
  <c r="Q30" i="62"/>
  <c r="R25" i="62" s="1"/>
  <c r="F2" i="58"/>
  <c r="Q24" i="62"/>
  <c r="R19" i="62" s="1"/>
  <c r="G14" i="61"/>
  <c r="G15" i="61" s="1"/>
  <c r="P24" i="62"/>
  <c r="Y2" i="58"/>
  <c r="K6" i="57" s="1"/>
  <c r="H14" i="61"/>
  <c r="H15" i="61" s="1"/>
  <c r="P42" i="62"/>
  <c r="Q42" i="62"/>
  <c r="R37" i="62" s="1"/>
  <c r="P19" i="60"/>
  <c r="G6" i="57"/>
  <c r="N38" i="58"/>
  <c r="Q38" i="58" s="1"/>
  <c r="M10" i="58"/>
  <c r="L14" i="61"/>
  <c r="L15" i="61" s="1"/>
  <c r="Q36" i="62"/>
  <c r="R31" i="62" s="1"/>
  <c r="P36" i="62"/>
  <c r="I3" i="57"/>
  <c r="N14" i="58"/>
  <c r="Q14" i="58" s="1"/>
  <c r="AF52" i="58"/>
  <c r="AD2" i="58"/>
  <c r="N6" i="57" s="1"/>
  <c r="Q52" i="62"/>
  <c r="R43" i="62" s="1"/>
  <c r="P52" i="62"/>
  <c r="I14" i="61"/>
  <c r="I15" i="61" s="1"/>
  <c r="D14" i="61"/>
  <c r="Q10" i="62"/>
  <c r="R5" i="62" s="1"/>
  <c r="P10" i="62"/>
  <c r="D2" i="62"/>
  <c r="Q13" i="62"/>
  <c r="R11" i="62" s="1"/>
  <c r="E14" i="61"/>
  <c r="E15" i="61" s="1"/>
  <c r="P13" i="62"/>
  <c r="Q65" i="62"/>
  <c r="R60" i="62" s="1"/>
  <c r="M14" i="61"/>
  <c r="M15" i="61" s="1"/>
  <c r="P65" i="62"/>
  <c r="AF6" i="58"/>
  <c r="Q47" i="60"/>
  <c r="P47" i="60"/>
  <c r="Q66" i="60"/>
  <c r="P66" i="60"/>
  <c r="Q38" i="60"/>
  <c r="P38" i="60"/>
  <c r="Q6" i="60"/>
  <c r="P6" i="60"/>
  <c r="Q37" i="60"/>
  <c r="P37" i="60"/>
  <c r="Q56" i="60"/>
  <c r="P56" i="60"/>
  <c r="Q22" i="60"/>
  <c r="P22" i="60"/>
  <c r="Q43" i="60"/>
  <c r="P43" i="60"/>
  <c r="Q50" i="60"/>
  <c r="P50" i="60"/>
  <c r="N13" i="60"/>
  <c r="AF13" i="60"/>
  <c r="AG11" i="60" s="1"/>
  <c r="AE13" i="60"/>
  <c r="Q40" i="60"/>
  <c r="P40" i="60"/>
  <c r="Q29" i="60"/>
  <c r="P29" i="60"/>
  <c r="Q11" i="60"/>
  <c r="P11" i="60"/>
  <c r="Q63" i="60"/>
  <c r="P63" i="60"/>
  <c r="Q25" i="60"/>
  <c r="P25" i="60"/>
  <c r="AF18" i="60"/>
  <c r="AG14" i="60" s="1"/>
  <c r="AE18" i="60"/>
  <c r="N18" i="60"/>
  <c r="Q34" i="60"/>
  <c r="P34" i="60"/>
  <c r="P59" i="60"/>
  <c r="Q59" i="60"/>
  <c r="Q16" i="60"/>
  <c r="P16" i="60"/>
  <c r="N24" i="60"/>
  <c r="AF24" i="60"/>
  <c r="AG19" i="60" s="1"/>
  <c r="AE24" i="60"/>
  <c r="Q52" i="60"/>
  <c r="P52" i="60"/>
  <c r="Q51" i="60"/>
  <c r="P51" i="60"/>
  <c r="P9" i="60"/>
  <c r="Q9" i="60"/>
  <c r="AF36" i="60"/>
  <c r="AG31" i="60" s="1"/>
  <c r="AE36" i="60"/>
  <c r="N36" i="60"/>
  <c r="P27" i="60"/>
  <c r="Q27" i="60"/>
  <c r="N45" i="60"/>
  <c r="AF45" i="60"/>
  <c r="AG37" i="60" s="1"/>
  <c r="AE45" i="60"/>
  <c r="Q48" i="60"/>
  <c r="P48" i="60"/>
  <c r="Q15" i="60"/>
  <c r="P15" i="60"/>
  <c r="Q46" i="60"/>
  <c r="P46" i="60"/>
  <c r="Q57" i="60"/>
  <c r="P57" i="60"/>
  <c r="Q5" i="60"/>
  <c r="P5" i="60"/>
  <c r="Q14" i="60"/>
  <c r="P14" i="60"/>
  <c r="AF54" i="60"/>
  <c r="AG46" i="60" s="1"/>
  <c r="AE54" i="60"/>
  <c r="N54" i="60"/>
  <c r="Q32" i="60"/>
  <c r="P32" i="60"/>
  <c r="Q35" i="60"/>
  <c r="P35" i="60"/>
  <c r="Q12" i="60"/>
  <c r="P12" i="60"/>
  <c r="Q64" i="60"/>
  <c r="P64" i="60"/>
  <c r="N10" i="60"/>
  <c r="AF10" i="60"/>
  <c r="AG5" i="60" s="1"/>
  <c r="AE10" i="60"/>
  <c r="Q7" i="60"/>
  <c r="P7" i="60"/>
  <c r="AF67" i="60"/>
  <c r="AG62" i="60" s="1"/>
  <c r="AE67" i="60"/>
  <c r="N67" i="60"/>
  <c r="Q17" i="60"/>
  <c r="P17" i="60"/>
  <c r="Q55" i="60"/>
  <c r="P55" i="60"/>
  <c r="Q21" i="60"/>
  <c r="P21" i="60"/>
  <c r="N30" i="60"/>
  <c r="AF30" i="60"/>
  <c r="AG25" i="60" s="1"/>
  <c r="AE30" i="60"/>
  <c r="Q53" i="60"/>
  <c r="P53" i="60"/>
  <c r="Q60" i="60"/>
  <c r="P60" i="60"/>
  <c r="N61" i="60"/>
  <c r="AF61" i="60"/>
  <c r="AG55" i="60" s="1"/>
  <c r="AE61" i="60"/>
  <c r="Q28" i="60"/>
  <c r="P28" i="60"/>
  <c r="Q41" i="60"/>
  <c r="P41" i="60"/>
  <c r="N9" i="58"/>
  <c r="AF9" i="58"/>
  <c r="AE9" i="58"/>
  <c r="N18" i="58"/>
  <c r="AF18" i="58"/>
  <c r="AE18" i="58"/>
  <c r="N35" i="58"/>
  <c r="AF35" i="58"/>
  <c r="AE35" i="58"/>
  <c r="N43" i="58"/>
  <c r="AF43" i="58"/>
  <c r="AE43" i="58"/>
  <c r="N66" i="58"/>
  <c r="AF66" i="58"/>
  <c r="AE66" i="58"/>
  <c r="N10" i="58"/>
  <c r="AE10" i="58"/>
  <c r="AF10" i="58"/>
  <c r="AG5" i="58" s="1"/>
  <c r="N17" i="58"/>
  <c r="AF17" i="58"/>
  <c r="AE17" i="58"/>
  <c r="AF32" i="58"/>
  <c r="AE32" i="58"/>
  <c r="M37" i="58"/>
  <c r="N32" i="58"/>
  <c r="N27" i="58"/>
  <c r="AF27" i="58"/>
  <c r="AE27" i="58"/>
  <c r="N50" i="58"/>
  <c r="AF50" i="58"/>
  <c r="AE50" i="58"/>
  <c r="N63" i="58"/>
  <c r="AF63" i="58"/>
  <c r="AE63" i="58"/>
  <c r="M68" i="58"/>
  <c r="N26" i="58"/>
  <c r="AE26" i="58"/>
  <c r="AF26" i="58"/>
  <c r="M31" i="58"/>
  <c r="N36" i="58"/>
  <c r="AF36" i="58"/>
  <c r="AE36" i="58"/>
  <c r="N41" i="58"/>
  <c r="AF41" i="58"/>
  <c r="AE41" i="58"/>
  <c r="N64" i="58"/>
  <c r="AF64" i="58"/>
  <c r="AE64" i="58"/>
  <c r="N12" i="58"/>
  <c r="AF12" i="58"/>
  <c r="AE12" i="58"/>
  <c r="N58" i="58"/>
  <c r="AF58" i="58"/>
  <c r="AE58" i="58"/>
  <c r="N28" i="58"/>
  <c r="AF28" i="58"/>
  <c r="AE28" i="58"/>
  <c r="N51" i="58"/>
  <c r="AF51" i="58"/>
  <c r="AE51" i="58"/>
  <c r="M62" i="58"/>
  <c r="N56" i="58"/>
  <c r="AE56" i="58"/>
  <c r="AF56" i="58"/>
  <c r="N11" i="58"/>
  <c r="M13" i="58"/>
  <c r="AE11" i="58"/>
  <c r="AF11" i="58"/>
  <c r="M55" i="58"/>
  <c r="N44" i="58"/>
  <c r="AF44" i="58"/>
  <c r="AE44" i="58"/>
  <c r="N49" i="58"/>
  <c r="AF49" i="58"/>
  <c r="AE49" i="58"/>
  <c r="N57" i="58"/>
  <c r="AF57" i="58"/>
  <c r="AE57" i="58"/>
  <c r="N25" i="58"/>
  <c r="AE25" i="58"/>
  <c r="AF25" i="58"/>
  <c r="AG20" i="58" s="1"/>
  <c r="N24" i="58"/>
  <c r="AF24" i="58"/>
  <c r="AE24" i="58"/>
  <c r="N34" i="58"/>
  <c r="AF34" i="58"/>
  <c r="AE34" i="58"/>
  <c r="N42" i="58"/>
  <c r="AF42" i="58"/>
  <c r="AE42" i="58"/>
  <c r="N65" i="58"/>
  <c r="AF65" i="58"/>
  <c r="AE65" i="58"/>
  <c r="E6" i="57"/>
  <c r="F6" i="57"/>
  <c r="N7" i="58"/>
  <c r="N15" i="58"/>
  <c r="N22" i="58"/>
  <c r="N30" i="58"/>
  <c r="N39" i="58"/>
  <c r="N53" i="58"/>
  <c r="N60" i="58"/>
  <c r="N8" i="58"/>
  <c r="N16" i="58"/>
  <c r="N23" i="58"/>
  <c r="N33" i="58"/>
  <c r="N40" i="58"/>
  <c r="N48" i="58"/>
  <c r="N54" i="58"/>
  <c r="N61" i="58"/>
  <c r="Z2" i="58"/>
  <c r="L6" i="57" s="1"/>
  <c r="M46" i="58"/>
  <c r="N47" i="58"/>
  <c r="N6" i="58"/>
  <c r="N21" i="58"/>
  <c r="N29" i="58"/>
  <c r="N45" i="58"/>
  <c r="N52" i="58"/>
  <c r="N59" i="58"/>
  <c r="N67" i="58"/>
  <c r="N5" i="58"/>
  <c r="P14" i="58"/>
  <c r="M19" i="58"/>
  <c r="N20" i="58"/>
  <c r="P38" i="58"/>
  <c r="AE8" i="58"/>
  <c r="AE16" i="58"/>
  <c r="AE23" i="58"/>
  <c r="AE33" i="58"/>
  <c r="AE40" i="58"/>
  <c r="AE48" i="58"/>
  <c r="AE54" i="58"/>
  <c r="AE61" i="58"/>
  <c r="AE47" i="58"/>
  <c r="AE7" i="58"/>
  <c r="AE15" i="58"/>
  <c r="AE22" i="58"/>
  <c r="AE30" i="58"/>
  <c r="AE39" i="58"/>
  <c r="AF47" i="58"/>
  <c r="AE53" i="58"/>
  <c r="AE60" i="58"/>
  <c r="AE14" i="58"/>
  <c r="AE38" i="58"/>
  <c r="AD75" i="56"/>
  <c r="Z75" i="56"/>
  <c r="Y75" i="56"/>
  <c r="O75" i="56"/>
  <c r="K75" i="56"/>
  <c r="V74" i="56"/>
  <c r="M74" i="56" s="1"/>
  <c r="N74" i="56" s="1"/>
  <c r="U74" i="56"/>
  <c r="O74" i="56"/>
  <c r="K74" i="56"/>
  <c r="G74" i="56"/>
  <c r="X73" i="56"/>
  <c r="W73" i="56"/>
  <c r="V73" i="56"/>
  <c r="M73" i="56" s="1"/>
  <c r="U73" i="56"/>
  <c r="O73" i="56"/>
  <c r="K73" i="56"/>
  <c r="G73" i="56"/>
  <c r="V72" i="56"/>
  <c r="U72" i="56"/>
  <c r="O72" i="56"/>
  <c r="M72" i="56"/>
  <c r="N72" i="56" s="1"/>
  <c r="P72" i="56" s="1"/>
  <c r="K72" i="56"/>
  <c r="G72" i="56"/>
  <c r="V71" i="56"/>
  <c r="M71" i="56" s="1"/>
  <c r="U71" i="56"/>
  <c r="O71" i="56"/>
  <c r="K71" i="56"/>
  <c r="G71" i="56"/>
  <c r="V70" i="56"/>
  <c r="M70" i="56" s="1"/>
  <c r="N70" i="56" s="1"/>
  <c r="U70" i="56"/>
  <c r="O70" i="56"/>
  <c r="K70" i="56"/>
  <c r="G70" i="56"/>
  <c r="X69" i="56"/>
  <c r="W69" i="56"/>
  <c r="V69" i="56"/>
  <c r="M69" i="56" s="1"/>
  <c r="N69" i="56" s="1"/>
  <c r="O69" i="56"/>
  <c r="K69" i="56"/>
  <c r="G69" i="56"/>
  <c r="AD68" i="56"/>
  <c r="Z68" i="56"/>
  <c r="Y68" i="56"/>
  <c r="O68" i="56"/>
  <c r="K68" i="56"/>
  <c r="V67" i="56"/>
  <c r="M67" i="56" s="1"/>
  <c r="AE67" i="56" s="1"/>
  <c r="U67" i="56"/>
  <c r="O67" i="56"/>
  <c r="K67" i="56"/>
  <c r="G67" i="56"/>
  <c r="AF66" i="56"/>
  <c r="V66" i="56"/>
  <c r="U66" i="56"/>
  <c r="O66" i="56"/>
  <c r="N66" i="56"/>
  <c r="M66" i="56"/>
  <c r="AE66" i="56" s="1"/>
  <c r="K66" i="56"/>
  <c r="G66" i="56"/>
  <c r="V65" i="56"/>
  <c r="M65" i="56" s="1"/>
  <c r="U65" i="56"/>
  <c r="O65" i="56"/>
  <c r="K65" i="56"/>
  <c r="G65" i="56"/>
  <c r="V64" i="56"/>
  <c r="M64" i="56" s="1"/>
  <c r="U64" i="56"/>
  <c r="O64" i="56"/>
  <c r="K64" i="56"/>
  <c r="G64" i="56"/>
  <c r="V63" i="56"/>
  <c r="M63" i="56" s="1"/>
  <c r="U63" i="56"/>
  <c r="O63" i="56"/>
  <c r="K63" i="56"/>
  <c r="G63" i="56"/>
  <c r="V62" i="56"/>
  <c r="O62" i="56"/>
  <c r="N62" i="56"/>
  <c r="Q62" i="56" s="1"/>
  <c r="M62" i="56"/>
  <c r="AF62" i="56" s="1"/>
  <c r="K62" i="56"/>
  <c r="G62" i="56"/>
  <c r="AD61" i="56"/>
  <c r="Z61" i="56"/>
  <c r="Y61" i="56"/>
  <c r="O61" i="56"/>
  <c r="K61" i="56"/>
  <c r="V60" i="56"/>
  <c r="U60" i="56"/>
  <c r="O60" i="56"/>
  <c r="M60" i="56"/>
  <c r="K60" i="56"/>
  <c r="G60" i="56"/>
  <c r="V59" i="56"/>
  <c r="M59" i="56" s="1"/>
  <c r="U59" i="56"/>
  <c r="O59" i="56"/>
  <c r="K59" i="56"/>
  <c r="G59" i="56"/>
  <c r="V58" i="56"/>
  <c r="M58" i="56" s="1"/>
  <c r="U58" i="56"/>
  <c r="O58" i="56"/>
  <c r="K58" i="56"/>
  <c r="G58" i="56"/>
  <c r="V57" i="56"/>
  <c r="M57" i="56" s="1"/>
  <c r="U57" i="56"/>
  <c r="O57" i="56"/>
  <c r="K57" i="56"/>
  <c r="G57" i="56"/>
  <c r="V56" i="56"/>
  <c r="U56" i="56"/>
  <c r="O56" i="56"/>
  <c r="M56" i="56"/>
  <c r="N56" i="56" s="1"/>
  <c r="P56" i="56" s="1"/>
  <c r="K56" i="56"/>
  <c r="G56" i="56"/>
  <c r="V55" i="56"/>
  <c r="U55" i="56"/>
  <c r="O55" i="56"/>
  <c r="M55" i="56"/>
  <c r="K55" i="56"/>
  <c r="G55" i="56"/>
  <c r="V54" i="56"/>
  <c r="M54" i="56" s="1"/>
  <c r="N54" i="56" s="1"/>
  <c r="U54" i="56"/>
  <c r="O54" i="56"/>
  <c r="K54" i="56"/>
  <c r="G54" i="56"/>
  <c r="V53" i="56"/>
  <c r="M53" i="56" s="1"/>
  <c r="N53" i="56" s="1"/>
  <c r="U53" i="56"/>
  <c r="O53" i="56"/>
  <c r="K53" i="56"/>
  <c r="G53" i="56"/>
  <c r="V52" i="56"/>
  <c r="O52" i="56"/>
  <c r="N52" i="56"/>
  <c r="P52" i="56" s="1"/>
  <c r="M52" i="56"/>
  <c r="AF52" i="56" s="1"/>
  <c r="K52" i="56"/>
  <c r="G52" i="56"/>
  <c r="AD51" i="56"/>
  <c r="H21" i="55" s="1"/>
  <c r="Z51" i="56"/>
  <c r="H19" i="55" s="1"/>
  <c r="Y51" i="56"/>
  <c r="O51" i="56"/>
  <c r="K51" i="56"/>
  <c r="V50" i="56"/>
  <c r="M50" i="56" s="1"/>
  <c r="U50" i="56"/>
  <c r="O50" i="56"/>
  <c r="K50" i="56"/>
  <c r="G50" i="56"/>
  <c r="V49" i="56"/>
  <c r="M49" i="56" s="1"/>
  <c r="AE49" i="56" s="1"/>
  <c r="U49" i="56"/>
  <c r="O49" i="56"/>
  <c r="K49" i="56"/>
  <c r="G49" i="56"/>
  <c r="V48" i="56"/>
  <c r="M48" i="56" s="1"/>
  <c r="AE48" i="56" s="1"/>
  <c r="U48" i="56"/>
  <c r="O48" i="56"/>
  <c r="K48" i="56"/>
  <c r="G48" i="56"/>
  <c r="AF47" i="56"/>
  <c r="V47" i="56"/>
  <c r="U47" i="56"/>
  <c r="O47" i="56"/>
  <c r="M47" i="56"/>
  <c r="N47" i="56" s="1"/>
  <c r="P47" i="56" s="1"/>
  <c r="K47" i="56"/>
  <c r="G47" i="56"/>
  <c r="X46" i="56"/>
  <c r="W46" i="56"/>
  <c r="V46" i="56"/>
  <c r="U46" i="56"/>
  <c r="O46" i="56"/>
  <c r="M46" i="56"/>
  <c r="N46" i="56" s="1"/>
  <c r="K46" i="56"/>
  <c r="G46" i="56"/>
  <c r="V45" i="56"/>
  <c r="M45" i="56" s="1"/>
  <c r="U45" i="56"/>
  <c r="O45" i="56"/>
  <c r="K45" i="56"/>
  <c r="G45" i="56"/>
  <c r="V44" i="56"/>
  <c r="U44" i="56"/>
  <c r="O44" i="56"/>
  <c r="M44" i="56"/>
  <c r="K44" i="56"/>
  <c r="G44" i="56"/>
  <c r="V43" i="56"/>
  <c r="M43" i="56" s="1"/>
  <c r="U43" i="56"/>
  <c r="O43" i="56"/>
  <c r="K43" i="56"/>
  <c r="G43" i="56"/>
  <c r="V42" i="56"/>
  <c r="M42" i="56" s="1"/>
  <c r="N42" i="56" s="1"/>
  <c r="Q42" i="56" s="1"/>
  <c r="U42" i="56"/>
  <c r="O42" i="56"/>
  <c r="K42" i="56"/>
  <c r="G42" i="56"/>
  <c r="V41" i="56"/>
  <c r="O41" i="56"/>
  <c r="M41" i="56"/>
  <c r="K41" i="56"/>
  <c r="G41" i="56"/>
  <c r="AD40" i="56"/>
  <c r="Z40" i="56"/>
  <c r="Y40" i="56"/>
  <c r="L18" i="55" s="1"/>
  <c r="O40" i="56"/>
  <c r="K40" i="56"/>
  <c r="V39" i="56"/>
  <c r="M39" i="56" s="1"/>
  <c r="U39" i="56"/>
  <c r="O39" i="56"/>
  <c r="K39" i="56"/>
  <c r="G39" i="56"/>
  <c r="X38" i="56"/>
  <c r="W38" i="56"/>
  <c r="V38" i="56"/>
  <c r="U38" i="56"/>
  <c r="O38" i="56"/>
  <c r="N38" i="56"/>
  <c r="Q38" i="56" s="1"/>
  <c r="M38" i="56"/>
  <c r="AF38" i="56" s="1"/>
  <c r="K38" i="56"/>
  <c r="G38" i="56"/>
  <c r="V37" i="56"/>
  <c r="M37" i="56" s="1"/>
  <c r="U37" i="56"/>
  <c r="O37" i="56"/>
  <c r="K37" i="56"/>
  <c r="G37" i="56"/>
  <c r="AE36" i="56"/>
  <c r="V36" i="56"/>
  <c r="U36" i="56"/>
  <c r="O36" i="56"/>
  <c r="N36" i="56"/>
  <c r="Q36" i="56" s="1"/>
  <c r="M36" i="56"/>
  <c r="AF36" i="56" s="1"/>
  <c r="K36" i="56"/>
  <c r="G36" i="56"/>
  <c r="V35" i="56"/>
  <c r="M35" i="56" s="1"/>
  <c r="U35" i="56"/>
  <c r="O35" i="56"/>
  <c r="N35" i="56"/>
  <c r="Q35" i="56" s="1"/>
  <c r="K35" i="56"/>
  <c r="G35" i="56"/>
  <c r="X34" i="56"/>
  <c r="W34" i="56"/>
  <c r="V34" i="56"/>
  <c r="O34" i="56"/>
  <c r="M34" i="56"/>
  <c r="K34" i="56"/>
  <c r="G34" i="56"/>
  <c r="AD33" i="56"/>
  <c r="K21" i="55" s="1"/>
  <c r="Z33" i="56"/>
  <c r="Y33" i="56"/>
  <c r="O33" i="56"/>
  <c r="K33" i="56"/>
  <c r="V32" i="56"/>
  <c r="U32" i="56"/>
  <c r="O32" i="56"/>
  <c r="M32" i="56"/>
  <c r="K32" i="56"/>
  <c r="G32" i="56"/>
  <c r="AE31" i="56"/>
  <c r="X31" i="56"/>
  <c r="W31" i="56"/>
  <c r="V31" i="56"/>
  <c r="U31" i="56"/>
  <c r="O31" i="56"/>
  <c r="M31" i="56"/>
  <c r="AF31" i="56" s="1"/>
  <c r="K31" i="56"/>
  <c r="G31" i="56"/>
  <c r="V30" i="56"/>
  <c r="M30" i="56" s="1"/>
  <c r="AF30" i="56" s="1"/>
  <c r="U30" i="56"/>
  <c r="O30" i="56"/>
  <c r="K30" i="56"/>
  <c r="G30" i="56"/>
  <c r="V29" i="56"/>
  <c r="U29" i="56"/>
  <c r="O29" i="56"/>
  <c r="M29" i="56"/>
  <c r="N29" i="56" s="1"/>
  <c r="K29" i="56"/>
  <c r="G29" i="56"/>
  <c r="V28" i="56"/>
  <c r="M28" i="56" s="1"/>
  <c r="N28" i="56" s="1"/>
  <c r="Q28" i="56" s="1"/>
  <c r="U28" i="56"/>
  <c r="P28" i="56"/>
  <c r="O28" i="56"/>
  <c r="K28" i="56"/>
  <c r="G28" i="56"/>
  <c r="X27" i="56"/>
  <c r="W27" i="56"/>
  <c r="V27" i="56"/>
  <c r="M27" i="56" s="1"/>
  <c r="N27" i="56" s="1"/>
  <c r="O27" i="56"/>
  <c r="K27" i="56"/>
  <c r="G27" i="56"/>
  <c r="AD26" i="56"/>
  <c r="Z26" i="56"/>
  <c r="Y26" i="56"/>
  <c r="O26" i="56"/>
  <c r="K26" i="56"/>
  <c r="V25" i="56"/>
  <c r="U25" i="56"/>
  <c r="O25" i="56"/>
  <c r="M25" i="56"/>
  <c r="K25" i="56"/>
  <c r="G25" i="56"/>
  <c r="AE24" i="56"/>
  <c r="V24" i="56"/>
  <c r="U24" i="56"/>
  <c r="O24" i="56"/>
  <c r="N24" i="56"/>
  <c r="M24" i="56"/>
  <c r="AF24" i="56" s="1"/>
  <c r="K24" i="56"/>
  <c r="G24" i="56"/>
  <c r="V23" i="56"/>
  <c r="M23" i="56" s="1"/>
  <c r="U23" i="56"/>
  <c r="O23" i="56"/>
  <c r="N23" i="56"/>
  <c r="Q23" i="56" s="1"/>
  <c r="K23" i="56"/>
  <c r="G23" i="56"/>
  <c r="V22" i="56"/>
  <c r="M22" i="56" s="1"/>
  <c r="U22" i="56"/>
  <c r="O22" i="56"/>
  <c r="K22" i="56"/>
  <c r="G22" i="56"/>
  <c r="V21" i="56"/>
  <c r="O21" i="56"/>
  <c r="M21" i="56"/>
  <c r="N21" i="56" s="1"/>
  <c r="P21" i="56" s="1"/>
  <c r="K21" i="56"/>
  <c r="G21" i="56"/>
  <c r="AD20" i="56"/>
  <c r="F21" i="55" s="1"/>
  <c r="Z20" i="56"/>
  <c r="Y20" i="56"/>
  <c r="O20" i="56"/>
  <c r="K20" i="56"/>
  <c r="F13" i="55" s="1"/>
  <c r="AF19" i="56"/>
  <c r="V19" i="56"/>
  <c r="M19" i="56" s="1"/>
  <c r="N19" i="56" s="1"/>
  <c r="U19" i="56"/>
  <c r="O19" i="56"/>
  <c r="K19" i="56"/>
  <c r="G19" i="56"/>
  <c r="V18" i="56"/>
  <c r="U18" i="56"/>
  <c r="O18" i="56"/>
  <c r="M18" i="56"/>
  <c r="N18" i="56" s="1"/>
  <c r="K18" i="56"/>
  <c r="G18" i="56"/>
  <c r="V17" i="56"/>
  <c r="M17" i="56" s="1"/>
  <c r="U17" i="56"/>
  <c r="O17" i="56"/>
  <c r="K17" i="56"/>
  <c r="G17" i="56"/>
  <c r="V16" i="56"/>
  <c r="U16" i="56"/>
  <c r="O16" i="56"/>
  <c r="M16" i="56"/>
  <c r="N16" i="56" s="1"/>
  <c r="K16" i="56"/>
  <c r="G16" i="56"/>
  <c r="V15" i="56"/>
  <c r="O15" i="56"/>
  <c r="M15" i="56"/>
  <c r="AF15" i="56" s="1"/>
  <c r="K15" i="56"/>
  <c r="G15" i="56"/>
  <c r="AD14" i="56"/>
  <c r="Z14" i="56"/>
  <c r="Y14" i="56"/>
  <c r="O14" i="56"/>
  <c r="K14" i="56"/>
  <c r="V13" i="56"/>
  <c r="M13" i="56" s="1"/>
  <c r="AE13" i="56" s="1"/>
  <c r="U13" i="56"/>
  <c r="O13" i="56"/>
  <c r="K13" i="56"/>
  <c r="G13" i="56"/>
  <c r="V12" i="56"/>
  <c r="M12" i="56" s="1"/>
  <c r="O12" i="56"/>
  <c r="K12" i="56"/>
  <c r="G12" i="56"/>
  <c r="AD11" i="56"/>
  <c r="D21" i="55" s="1"/>
  <c r="Z11" i="56"/>
  <c r="D19" i="55" s="1"/>
  <c r="Y11" i="56"/>
  <c r="O11" i="56"/>
  <c r="K11" i="56"/>
  <c r="V10" i="56"/>
  <c r="M10" i="56" s="1"/>
  <c r="U10" i="56"/>
  <c r="O10" i="56"/>
  <c r="K10" i="56"/>
  <c r="G10" i="56"/>
  <c r="V9" i="56"/>
  <c r="U9" i="56"/>
  <c r="O9" i="56"/>
  <c r="M9" i="56"/>
  <c r="AF9" i="56" s="1"/>
  <c r="K9" i="56"/>
  <c r="G9" i="56"/>
  <c r="AF8" i="56"/>
  <c r="V8" i="56"/>
  <c r="U8" i="56"/>
  <c r="O8" i="56"/>
  <c r="N8" i="56"/>
  <c r="P8" i="56" s="1"/>
  <c r="M8" i="56"/>
  <c r="AE8" i="56" s="1"/>
  <c r="K8" i="56"/>
  <c r="G8" i="56"/>
  <c r="V7" i="56"/>
  <c r="U7" i="56"/>
  <c r="O7" i="56"/>
  <c r="M7" i="56"/>
  <c r="K7" i="56"/>
  <c r="G7" i="56"/>
  <c r="V6" i="56"/>
  <c r="M6" i="56" s="1"/>
  <c r="U6" i="56"/>
  <c r="O6" i="56"/>
  <c r="K6" i="56"/>
  <c r="G6" i="56"/>
  <c r="V5" i="56"/>
  <c r="M5" i="56" s="1"/>
  <c r="N5" i="56" s="1"/>
  <c r="P5" i="56" s="1"/>
  <c r="O5" i="56"/>
  <c r="K5" i="56"/>
  <c r="G5" i="56"/>
  <c r="H2" i="56"/>
  <c r="H1" i="56"/>
  <c r="D1" i="56"/>
  <c r="F3" i="55" s="1"/>
  <c r="M22" i="55"/>
  <c r="L22" i="55"/>
  <c r="K22" i="55"/>
  <c r="J22" i="55"/>
  <c r="I22" i="55"/>
  <c r="H22" i="55"/>
  <c r="G22" i="55"/>
  <c r="F22" i="55"/>
  <c r="E22" i="55"/>
  <c r="D22" i="55"/>
  <c r="M21" i="55"/>
  <c r="L21" i="55"/>
  <c r="J21" i="55"/>
  <c r="I21" i="55"/>
  <c r="G21" i="55"/>
  <c r="M20" i="55"/>
  <c r="L20" i="55"/>
  <c r="K20" i="55"/>
  <c r="J20" i="55"/>
  <c r="I20" i="55"/>
  <c r="H20" i="55"/>
  <c r="G20" i="55"/>
  <c r="F20" i="55"/>
  <c r="E20" i="55"/>
  <c r="D20" i="55"/>
  <c r="M19" i="55"/>
  <c r="L19" i="55"/>
  <c r="K19" i="55"/>
  <c r="J19" i="55"/>
  <c r="I19" i="55"/>
  <c r="G19" i="55"/>
  <c r="F19" i="55"/>
  <c r="M18" i="55"/>
  <c r="K18" i="55"/>
  <c r="J18" i="55"/>
  <c r="I18" i="55"/>
  <c r="H18" i="55"/>
  <c r="G18" i="55"/>
  <c r="F18" i="55"/>
  <c r="E18" i="55"/>
  <c r="D18" i="55"/>
  <c r="M17" i="55"/>
  <c r="L17" i="55"/>
  <c r="K17" i="55"/>
  <c r="J17" i="55"/>
  <c r="I17" i="55"/>
  <c r="H17" i="55"/>
  <c r="G17" i="55"/>
  <c r="F17" i="55"/>
  <c r="E17" i="55"/>
  <c r="D17" i="55"/>
  <c r="M16" i="55"/>
  <c r="L16" i="55"/>
  <c r="K16" i="55"/>
  <c r="J16" i="55"/>
  <c r="I16" i="55"/>
  <c r="H16" i="55"/>
  <c r="G16" i="55"/>
  <c r="F16" i="55"/>
  <c r="E16" i="55"/>
  <c r="D16" i="55"/>
  <c r="M13" i="55"/>
  <c r="L13" i="55"/>
  <c r="K13" i="55"/>
  <c r="I6" i="55" s="1"/>
  <c r="J13" i="55"/>
  <c r="I13" i="55"/>
  <c r="H13" i="55"/>
  <c r="G13" i="55"/>
  <c r="E13" i="55"/>
  <c r="D13" i="55"/>
  <c r="M6" i="55"/>
  <c r="C3" i="55"/>
  <c r="AF17" i="56" l="1"/>
  <c r="AE17" i="56"/>
  <c r="N17" i="56"/>
  <c r="Q17" i="56" s="1"/>
  <c r="N73" i="56"/>
  <c r="AF73" i="56"/>
  <c r="AE73" i="56"/>
  <c r="AF6" i="56"/>
  <c r="AE6" i="56"/>
  <c r="M11" i="56"/>
  <c r="N6" i="56"/>
  <c r="AF59" i="56"/>
  <c r="AE59" i="56"/>
  <c r="N59" i="56"/>
  <c r="AF10" i="56"/>
  <c r="AE10" i="56"/>
  <c r="N10" i="56"/>
  <c r="P10" i="56" s="1"/>
  <c r="N22" i="56"/>
  <c r="AF22" i="56"/>
  <c r="AE22" i="56"/>
  <c r="AF45" i="56"/>
  <c r="AE45" i="56"/>
  <c r="N45" i="56"/>
  <c r="Q45" i="56" s="1"/>
  <c r="AF57" i="56"/>
  <c r="AE57" i="56"/>
  <c r="N57" i="56"/>
  <c r="AF43" i="56"/>
  <c r="AE43" i="56"/>
  <c r="N43" i="56"/>
  <c r="Q43" i="56" s="1"/>
  <c r="N12" i="56"/>
  <c r="AF12" i="56"/>
  <c r="AE12" i="56"/>
  <c r="N50" i="56"/>
  <c r="AF50" i="56"/>
  <c r="AE50" i="56"/>
  <c r="N65" i="56"/>
  <c r="P65" i="56" s="1"/>
  <c r="AF65" i="56"/>
  <c r="AE65" i="56"/>
  <c r="Q5" i="56"/>
  <c r="AE38" i="56"/>
  <c r="K15" i="61"/>
  <c r="I8" i="61" s="1"/>
  <c r="I7" i="61"/>
  <c r="AE47" i="56"/>
  <c r="AE56" i="56"/>
  <c r="AF56" i="56"/>
  <c r="N31" i="56"/>
  <c r="Q31" i="56" s="1"/>
  <c r="Q57" i="56"/>
  <c r="AE62" i="56"/>
  <c r="M20" i="56"/>
  <c r="N20" i="56" s="1"/>
  <c r="Q66" i="56"/>
  <c r="N9" i="56"/>
  <c r="Q9" i="56" s="1"/>
  <c r="AE72" i="56"/>
  <c r="AF72" i="56"/>
  <c r="N15" i="56"/>
  <c r="AE29" i="56"/>
  <c r="Q73" i="56"/>
  <c r="AE9" i="56"/>
  <c r="AF29" i="56"/>
  <c r="M51" i="56"/>
  <c r="Q24" i="56"/>
  <c r="D15" i="61"/>
  <c r="F7" i="61"/>
  <c r="E7" i="61"/>
  <c r="G7" i="61"/>
  <c r="AE15" i="56"/>
  <c r="AE21" i="56"/>
  <c r="N30" i="56"/>
  <c r="P30" i="56" s="1"/>
  <c r="AE52" i="56"/>
  <c r="AF21" i="56"/>
  <c r="I14" i="59"/>
  <c r="I15" i="59" s="1"/>
  <c r="Q54" i="60"/>
  <c r="R46" i="60" s="1"/>
  <c r="P54" i="60"/>
  <c r="Q30" i="60"/>
  <c r="R25" i="60" s="1"/>
  <c r="P30" i="60"/>
  <c r="K14" i="59"/>
  <c r="F14" i="59"/>
  <c r="F15" i="59" s="1"/>
  <c r="Q18" i="60"/>
  <c r="R14" i="60" s="1"/>
  <c r="P18" i="60"/>
  <c r="D14" i="59"/>
  <c r="Q10" i="60"/>
  <c r="R5" i="60" s="1"/>
  <c r="P10" i="60"/>
  <c r="D2" i="60"/>
  <c r="Q45" i="60"/>
  <c r="R37" i="60" s="1"/>
  <c r="P45" i="60"/>
  <c r="H14" i="59"/>
  <c r="H15" i="59" s="1"/>
  <c r="E14" i="59"/>
  <c r="E15" i="59" s="1"/>
  <c r="Q13" i="60"/>
  <c r="R11" i="60" s="1"/>
  <c r="P13" i="60"/>
  <c r="Q61" i="60"/>
  <c r="R55" i="60" s="1"/>
  <c r="P61" i="60"/>
  <c r="J14" i="59"/>
  <c r="J15" i="59" s="1"/>
  <c r="Q24" i="60"/>
  <c r="R19" i="60" s="1"/>
  <c r="G14" i="59"/>
  <c r="G15" i="59" s="1"/>
  <c r="P24" i="60"/>
  <c r="M14" i="59"/>
  <c r="M15" i="59" s="1"/>
  <c r="Q67" i="60"/>
  <c r="R62" i="60" s="1"/>
  <c r="P67" i="60"/>
  <c r="Q36" i="60"/>
  <c r="R31" i="60" s="1"/>
  <c r="P36" i="60"/>
  <c r="L14" i="59"/>
  <c r="L15" i="59" s="1"/>
  <c r="Q49" i="58"/>
  <c r="P49" i="58"/>
  <c r="N37" i="58"/>
  <c r="AF37" i="58"/>
  <c r="AG32" i="58" s="1"/>
  <c r="AE37" i="58"/>
  <c r="Q59" i="58"/>
  <c r="P59" i="58"/>
  <c r="Q40" i="58"/>
  <c r="P40" i="58"/>
  <c r="AF68" i="58"/>
  <c r="AG63" i="58" s="1"/>
  <c r="AE68" i="58"/>
  <c r="N68" i="58"/>
  <c r="Q5" i="58"/>
  <c r="P5" i="58"/>
  <c r="Q9" i="58"/>
  <c r="P9" i="58"/>
  <c r="Q67" i="58"/>
  <c r="P67" i="58"/>
  <c r="Q52" i="58"/>
  <c r="P52" i="58"/>
  <c r="Q33" i="58"/>
  <c r="P33" i="58"/>
  <c r="Q24" i="58"/>
  <c r="P24" i="58"/>
  <c r="Q44" i="58"/>
  <c r="P44" i="58"/>
  <c r="Q51" i="58"/>
  <c r="P51" i="58"/>
  <c r="Q64" i="58"/>
  <c r="P64" i="58"/>
  <c r="Q43" i="58"/>
  <c r="P43" i="58"/>
  <c r="P32" i="58"/>
  <c r="Q32" i="58"/>
  <c r="Q7" i="58"/>
  <c r="P7" i="58"/>
  <c r="Q29" i="58"/>
  <c r="P29" i="58"/>
  <c r="Q16" i="58"/>
  <c r="P16" i="58"/>
  <c r="Q63" i="58"/>
  <c r="P63" i="58"/>
  <c r="Q54" i="58"/>
  <c r="P54" i="58"/>
  <c r="Q45" i="58"/>
  <c r="P45" i="58"/>
  <c r="Q21" i="58"/>
  <c r="P21" i="58"/>
  <c r="Q8" i="58"/>
  <c r="P8" i="58"/>
  <c r="P65" i="58"/>
  <c r="Q65" i="58"/>
  <c r="P25" i="58"/>
  <c r="G14" i="57"/>
  <c r="G15" i="57" s="1"/>
  <c r="Q25" i="58"/>
  <c r="R20" i="58" s="1"/>
  <c r="Q28" i="58"/>
  <c r="P28" i="58"/>
  <c r="Q41" i="58"/>
  <c r="P41" i="58"/>
  <c r="Q17" i="58"/>
  <c r="P17" i="58"/>
  <c r="P35" i="58"/>
  <c r="Q35" i="58"/>
  <c r="Q34" i="58"/>
  <c r="P34" i="58"/>
  <c r="Q23" i="58"/>
  <c r="P23" i="58"/>
  <c r="Q6" i="58"/>
  <c r="P6" i="58"/>
  <c r="Q60" i="58"/>
  <c r="P60" i="58"/>
  <c r="N13" i="58"/>
  <c r="AF13" i="58"/>
  <c r="AG11" i="58" s="1"/>
  <c r="AE13" i="58"/>
  <c r="Q15" i="58"/>
  <c r="P15" i="58"/>
  <c r="Q66" i="58"/>
  <c r="P66" i="58"/>
  <c r="Q48" i="58"/>
  <c r="P48" i="58"/>
  <c r="P47" i="58"/>
  <c r="Q47" i="58"/>
  <c r="Q53" i="58"/>
  <c r="P53" i="58"/>
  <c r="Q11" i="58"/>
  <c r="P11" i="58"/>
  <c r="P50" i="58"/>
  <c r="Q50" i="58"/>
  <c r="N62" i="58"/>
  <c r="AF62" i="58"/>
  <c r="AG56" i="58" s="1"/>
  <c r="AE62" i="58"/>
  <c r="N55" i="58"/>
  <c r="AF55" i="58"/>
  <c r="AG47" i="58" s="1"/>
  <c r="AE55" i="58"/>
  <c r="Q20" i="58"/>
  <c r="P20" i="58"/>
  <c r="AF46" i="58"/>
  <c r="AG38" i="58" s="1"/>
  <c r="AE46" i="58"/>
  <c r="N46" i="58"/>
  <c r="Q39" i="58"/>
  <c r="P39" i="58"/>
  <c r="P42" i="58"/>
  <c r="Q42" i="58"/>
  <c r="P57" i="58"/>
  <c r="Q57" i="58"/>
  <c r="Q58" i="58"/>
  <c r="P58" i="58"/>
  <c r="Q36" i="58"/>
  <c r="P36" i="58"/>
  <c r="P10" i="58"/>
  <c r="D14" i="57"/>
  <c r="Q10" i="58"/>
  <c r="R5" i="58" s="1"/>
  <c r="P18" i="58"/>
  <c r="Q18" i="58"/>
  <c r="Q12" i="58"/>
  <c r="P12" i="58"/>
  <c r="Q26" i="58"/>
  <c r="P26" i="58"/>
  <c r="N19" i="58"/>
  <c r="AE19" i="58"/>
  <c r="AF19" i="58"/>
  <c r="AG14" i="58" s="1"/>
  <c r="Q30" i="58"/>
  <c r="P30" i="58"/>
  <c r="AF31" i="58"/>
  <c r="AG26" i="58" s="1"/>
  <c r="AE31" i="58"/>
  <c r="N31" i="58"/>
  <c r="Q61" i="58"/>
  <c r="P61" i="58"/>
  <c r="Q22" i="58"/>
  <c r="P22" i="58"/>
  <c r="Q56" i="58"/>
  <c r="P56" i="58"/>
  <c r="P27" i="58"/>
  <c r="Q27" i="58"/>
  <c r="Q27" i="56"/>
  <c r="P27" i="56"/>
  <c r="Q18" i="56"/>
  <c r="P18" i="56"/>
  <c r="Q16" i="56"/>
  <c r="P16" i="56"/>
  <c r="P53" i="56"/>
  <c r="Q53" i="56"/>
  <c r="Q74" i="56"/>
  <c r="P74" i="56"/>
  <c r="F14" i="55"/>
  <c r="F15" i="55" s="1"/>
  <c r="Q20" i="56"/>
  <c r="R15" i="56" s="1"/>
  <c r="P20" i="56"/>
  <c r="Q69" i="56"/>
  <c r="P69" i="56"/>
  <c r="P46" i="56"/>
  <c r="Q46" i="56"/>
  <c r="E6" i="55"/>
  <c r="G6" i="55"/>
  <c r="F6" i="55"/>
  <c r="AF44" i="56"/>
  <c r="AE44" i="56"/>
  <c r="N63" i="56"/>
  <c r="M68" i="56"/>
  <c r="Q22" i="56"/>
  <c r="P22" i="56"/>
  <c r="AF51" i="56"/>
  <c r="AG41" i="56" s="1"/>
  <c r="AE51" i="56"/>
  <c r="AF46" i="56"/>
  <c r="AE46" i="56"/>
  <c r="AF53" i="56"/>
  <c r="M61" i="56"/>
  <c r="AE53" i="56"/>
  <c r="F1" i="56"/>
  <c r="Q54" i="56"/>
  <c r="P54" i="56"/>
  <c r="AF7" i="56"/>
  <c r="AE7" i="56"/>
  <c r="P23" i="56"/>
  <c r="Q30" i="56"/>
  <c r="AE42" i="56"/>
  <c r="AF42" i="56"/>
  <c r="AE54" i="56"/>
  <c r="Q72" i="56"/>
  <c r="N7" i="56"/>
  <c r="P9" i="56"/>
  <c r="Q47" i="56"/>
  <c r="AF54" i="56"/>
  <c r="AF5" i="56"/>
  <c r="AD2" i="56"/>
  <c r="N6" i="55" s="1"/>
  <c r="E21" i="55"/>
  <c r="AE35" i="56"/>
  <c r="AF35" i="56"/>
  <c r="Q12" i="56"/>
  <c r="P12" i="56"/>
  <c r="AF28" i="56"/>
  <c r="Q21" i="56"/>
  <c r="P35" i="56"/>
  <c r="M26" i="56"/>
  <c r="AF23" i="56"/>
  <c r="AE30" i="56"/>
  <c r="AF60" i="56"/>
  <c r="AE60" i="56"/>
  <c r="AE20" i="56"/>
  <c r="AF20" i="56"/>
  <c r="AG15" i="56" s="1"/>
  <c r="AE34" i="56"/>
  <c r="M40" i="56"/>
  <c r="AF34" i="56"/>
  <c r="N51" i="56"/>
  <c r="Q56" i="56"/>
  <c r="N58" i="56"/>
  <c r="AF58" i="56"/>
  <c r="AF71" i="56"/>
  <c r="AE71" i="56"/>
  <c r="N71" i="56"/>
  <c r="N34" i="56"/>
  <c r="N44" i="56"/>
  <c r="AE58" i="56"/>
  <c r="AE63" i="56"/>
  <c r="AF63" i="56"/>
  <c r="M75" i="56"/>
  <c r="AF69" i="56"/>
  <c r="AE69" i="56"/>
  <c r="AE64" i="56"/>
  <c r="AF64" i="56"/>
  <c r="N64" i="56"/>
  <c r="P62" i="56"/>
  <c r="N67" i="56"/>
  <c r="AF67" i="56"/>
  <c r="Q70" i="56"/>
  <c r="P70" i="56"/>
  <c r="M33" i="56"/>
  <c r="AF27" i="56"/>
  <c r="AE27" i="56"/>
  <c r="AF25" i="56"/>
  <c r="AE25" i="56"/>
  <c r="AF11" i="56"/>
  <c r="AG5" i="56" s="1"/>
  <c r="AE11" i="56"/>
  <c r="N25" i="56"/>
  <c r="AF32" i="56"/>
  <c r="AE32" i="56"/>
  <c r="AF37" i="56"/>
  <c r="AE37" i="56"/>
  <c r="AF39" i="56"/>
  <c r="AE39" i="56"/>
  <c r="N39" i="56"/>
  <c r="P42" i="56"/>
  <c r="N11" i="56"/>
  <c r="AF18" i="56"/>
  <c r="AE18" i="56"/>
  <c r="N32" i="56"/>
  <c r="N37" i="56"/>
  <c r="N49" i="56"/>
  <c r="AF49" i="56"/>
  <c r="AF74" i="56"/>
  <c r="AE74" i="56"/>
  <c r="AF16" i="56"/>
  <c r="AE16" i="56"/>
  <c r="Y2" i="56"/>
  <c r="K6" i="55" s="1"/>
  <c r="AE5" i="56"/>
  <c r="Z2" i="56"/>
  <c r="L6" i="55" s="1"/>
  <c r="E19" i="55"/>
  <c r="AE23" i="56"/>
  <c r="AE55" i="56"/>
  <c r="AF55" i="56"/>
  <c r="N55" i="56"/>
  <c r="AE28" i="56"/>
  <c r="Q65" i="56"/>
  <c r="Q19" i="56"/>
  <c r="P19" i="56"/>
  <c r="N60" i="56"/>
  <c r="AE70" i="56"/>
  <c r="AE19" i="56"/>
  <c r="Q29" i="56"/>
  <c r="P29" i="56"/>
  <c r="AF70" i="56"/>
  <c r="N13" i="56"/>
  <c r="N41" i="56"/>
  <c r="N48" i="56"/>
  <c r="P73" i="56"/>
  <c r="Q8" i="56"/>
  <c r="AF13" i="56"/>
  <c r="P17" i="56"/>
  <c r="P38" i="56"/>
  <c r="AF41" i="56"/>
  <c r="P45" i="56"/>
  <c r="AF48" i="56"/>
  <c r="Q52" i="56"/>
  <c r="Q10" i="56"/>
  <c r="M14" i="56"/>
  <c r="P57" i="56"/>
  <c r="P66" i="56"/>
  <c r="P24" i="56"/>
  <c r="P31" i="56"/>
  <c r="P36" i="56"/>
  <c r="P43" i="56"/>
  <c r="AE41" i="56"/>
  <c r="AD81" i="54"/>
  <c r="Z81" i="54"/>
  <c r="Y81" i="54"/>
  <c r="O81" i="54"/>
  <c r="K81" i="54"/>
  <c r="V80" i="54"/>
  <c r="M80" i="54" s="1"/>
  <c r="U80" i="54"/>
  <c r="O80" i="54"/>
  <c r="K80" i="54"/>
  <c r="G80" i="54"/>
  <c r="X79" i="54"/>
  <c r="W79" i="54"/>
  <c r="V79" i="54"/>
  <c r="M79" i="54" s="1"/>
  <c r="N79" i="54" s="1"/>
  <c r="U79" i="54"/>
  <c r="O79" i="54"/>
  <c r="K79" i="54"/>
  <c r="G79" i="54"/>
  <c r="V78" i="54"/>
  <c r="M78" i="54" s="1"/>
  <c r="N78" i="54" s="1"/>
  <c r="Q78" i="54" s="1"/>
  <c r="U78" i="54"/>
  <c r="O78" i="54"/>
  <c r="K78" i="54"/>
  <c r="G78" i="54"/>
  <c r="V77" i="54"/>
  <c r="U77" i="54"/>
  <c r="O77" i="54"/>
  <c r="N77" i="54"/>
  <c r="M77" i="54"/>
  <c r="K77" i="54"/>
  <c r="G77" i="54"/>
  <c r="AF76" i="54"/>
  <c r="AE76" i="54"/>
  <c r="V76" i="54"/>
  <c r="M76" i="54" s="1"/>
  <c r="N76" i="54" s="1"/>
  <c r="U76" i="54"/>
  <c r="O76" i="54"/>
  <c r="K76" i="54"/>
  <c r="G76" i="54"/>
  <c r="X75" i="54"/>
  <c r="W75" i="54"/>
  <c r="V75" i="54"/>
  <c r="M75" i="54" s="1"/>
  <c r="AE75" i="54" s="1"/>
  <c r="O75" i="54"/>
  <c r="K75" i="54"/>
  <c r="G75" i="54"/>
  <c r="AD74" i="54"/>
  <c r="Z74" i="54"/>
  <c r="Y74" i="54"/>
  <c r="O74" i="54"/>
  <c r="K74" i="54"/>
  <c r="AF73" i="54"/>
  <c r="AE73" i="54"/>
  <c r="V73" i="54"/>
  <c r="M73" i="54" s="1"/>
  <c r="N73" i="54" s="1"/>
  <c r="Q73" i="54" s="1"/>
  <c r="U73" i="54"/>
  <c r="P73" i="54"/>
  <c r="O73" i="54"/>
  <c r="K73" i="54"/>
  <c r="G73" i="54"/>
  <c r="V72" i="54"/>
  <c r="U72" i="54"/>
  <c r="O72" i="54"/>
  <c r="N72" i="54"/>
  <c r="M72" i="54"/>
  <c r="K72" i="54"/>
  <c r="G72" i="54"/>
  <c r="AE71" i="54"/>
  <c r="V71" i="54"/>
  <c r="M71" i="54" s="1"/>
  <c r="N71" i="54" s="1"/>
  <c r="P71" i="54" s="1"/>
  <c r="U71" i="54"/>
  <c r="O71" i="54"/>
  <c r="K71" i="54"/>
  <c r="G71" i="54"/>
  <c r="V70" i="54"/>
  <c r="M70" i="54" s="1"/>
  <c r="N70" i="54" s="1"/>
  <c r="U70" i="54"/>
  <c r="O70" i="54"/>
  <c r="K70" i="54"/>
  <c r="G70" i="54"/>
  <c r="AF69" i="54"/>
  <c r="V69" i="54"/>
  <c r="M69" i="54" s="1"/>
  <c r="N69" i="54" s="1"/>
  <c r="U69" i="54"/>
  <c r="O69" i="54"/>
  <c r="K69" i="54"/>
  <c r="G69" i="54"/>
  <c r="V68" i="54"/>
  <c r="M68" i="54" s="1"/>
  <c r="O68" i="54"/>
  <c r="K68" i="54"/>
  <c r="G68" i="54"/>
  <c r="AD67" i="54"/>
  <c r="I21" i="53" s="1"/>
  <c r="Z67" i="54"/>
  <c r="I19" i="53" s="1"/>
  <c r="Y67" i="54"/>
  <c r="O67" i="54"/>
  <c r="K67" i="54"/>
  <c r="AF66" i="54"/>
  <c r="AE66" i="54"/>
  <c r="V66" i="54"/>
  <c r="U66" i="54"/>
  <c r="O66" i="54"/>
  <c r="N66" i="54"/>
  <c r="Q66" i="54" s="1"/>
  <c r="M66" i="54"/>
  <c r="K66" i="54"/>
  <c r="G66" i="54"/>
  <c r="X65" i="54"/>
  <c r="W65" i="54"/>
  <c r="V65" i="54"/>
  <c r="U65" i="54"/>
  <c r="O65" i="54"/>
  <c r="M65" i="54"/>
  <c r="N65" i="54" s="1"/>
  <c r="K65" i="54"/>
  <c r="G65" i="54"/>
  <c r="V64" i="54"/>
  <c r="M64" i="54" s="1"/>
  <c r="N64" i="54" s="1"/>
  <c r="P64" i="54" s="1"/>
  <c r="U64" i="54"/>
  <c r="O64" i="54"/>
  <c r="K64" i="54"/>
  <c r="G64" i="54"/>
  <c r="V63" i="54"/>
  <c r="U63" i="54"/>
  <c r="O63" i="54"/>
  <c r="M63" i="54"/>
  <c r="N63" i="54" s="1"/>
  <c r="P63" i="54" s="1"/>
  <c r="K63" i="54"/>
  <c r="G63" i="54"/>
  <c r="V62" i="54"/>
  <c r="M62" i="54" s="1"/>
  <c r="N62" i="54" s="1"/>
  <c r="U62" i="54"/>
  <c r="O62" i="54"/>
  <c r="K62" i="54"/>
  <c r="G62" i="54"/>
  <c r="V61" i="54"/>
  <c r="M61" i="54" s="1"/>
  <c r="N61" i="54" s="1"/>
  <c r="Q61" i="54" s="1"/>
  <c r="U61" i="54"/>
  <c r="O61" i="54"/>
  <c r="K61" i="54"/>
  <c r="G61" i="54"/>
  <c r="AF60" i="54"/>
  <c r="V60" i="54"/>
  <c r="U60" i="54"/>
  <c r="O60" i="54"/>
  <c r="M60" i="54"/>
  <c r="AE60" i="54" s="1"/>
  <c r="K60" i="54"/>
  <c r="G60" i="54"/>
  <c r="V59" i="54"/>
  <c r="M59" i="54" s="1"/>
  <c r="U59" i="54"/>
  <c r="O59" i="54"/>
  <c r="K59" i="54"/>
  <c r="G59" i="54"/>
  <c r="V58" i="54"/>
  <c r="M58" i="54" s="1"/>
  <c r="AF58" i="54" s="1"/>
  <c r="U58" i="54"/>
  <c r="O58" i="54"/>
  <c r="K58" i="54"/>
  <c r="G58" i="54"/>
  <c r="AF57" i="54"/>
  <c r="V57" i="54"/>
  <c r="M57" i="54" s="1"/>
  <c r="AE57" i="54" s="1"/>
  <c r="O57" i="54"/>
  <c r="K57" i="54"/>
  <c r="G57" i="54"/>
  <c r="AD56" i="54"/>
  <c r="H21" i="53" s="1"/>
  <c r="Z56" i="54"/>
  <c r="H19" i="53" s="1"/>
  <c r="Y56" i="54"/>
  <c r="H18" i="53" s="1"/>
  <c r="O56" i="54"/>
  <c r="K56" i="54"/>
  <c r="AF55" i="54"/>
  <c r="V55" i="54"/>
  <c r="M55" i="54" s="1"/>
  <c r="N55" i="54" s="1"/>
  <c r="P55" i="54" s="1"/>
  <c r="U55" i="54"/>
  <c r="O55" i="54"/>
  <c r="K55" i="54"/>
  <c r="G55" i="54"/>
  <c r="V54" i="54"/>
  <c r="M54" i="54" s="1"/>
  <c r="N54" i="54" s="1"/>
  <c r="Q54" i="54" s="1"/>
  <c r="U54" i="54"/>
  <c r="O54" i="54"/>
  <c r="K54" i="54"/>
  <c r="G54" i="54"/>
  <c r="AF53" i="54"/>
  <c r="AE53" i="54"/>
  <c r="V53" i="54"/>
  <c r="M53" i="54" s="1"/>
  <c r="N53" i="54" s="1"/>
  <c r="U53" i="54"/>
  <c r="O53" i="54"/>
  <c r="K53" i="54"/>
  <c r="G53" i="54"/>
  <c r="V52" i="54"/>
  <c r="M52" i="54" s="1"/>
  <c r="N52" i="54" s="1"/>
  <c r="Q52" i="54" s="1"/>
  <c r="U52" i="54"/>
  <c r="O52" i="54"/>
  <c r="K52" i="54"/>
  <c r="G52" i="54"/>
  <c r="X51" i="54"/>
  <c r="W51" i="54"/>
  <c r="V51" i="54"/>
  <c r="U51" i="54"/>
  <c r="O51" i="54"/>
  <c r="M51" i="54"/>
  <c r="AE51" i="54" s="1"/>
  <c r="K51" i="54"/>
  <c r="G51" i="54"/>
  <c r="V50" i="54"/>
  <c r="M50" i="54" s="1"/>
  <c r="AE50" i="54" s="1"/>
  <c r="U50" i="54"/>
  <c r="O50" i="54"/>
  <c r="K50" i="54"/>
  <c r="G50" i="54"/>
  <c r="V49" i="54"/>
  <c r="M49" i="54" s="1"/>
  <c r="N49" i="54" s="1"/>
  <c r="U49" i="54"/>
  <c r="O49" i="54"/>
  <c r="K49" i="54"/>
  <c r="G49" i="54"/>
  <c r="AF48" i="54"/>
  <c r="AE48" i="54"/>
  <c r="V48" i="54"/>
  <c r="M48" i="54" s="1"/>
  <c r="N48" i="54" s="1"/>
  <c r="U48" i="54"/>
  <c r="P48" i="54"/>
  <c r="O48" i="54"/>
  <c r="K48" i="54"/>
  <c r="Q48" i="54" s="1"/>
  <c r="G48" i="54"/>
  <c r="V47" i="54"/>
  <c r="U47" i="54"/>
  <c r="O47" i="54"/>
  <c r="M47" i="54"/>
  <c r="N47" i="54" s="1"/>
  <c r="Q47" i="54" s="1"/>
  <c r="K47" i="54"/>
  <c r="G47" i="54"/>
  <c r="AF46" i="54"/>
  <c r="V46" i="54"/>
  <c r="M46" i="54" s="1"/>
  <c r="N46" i="54" s="1"/>
  <c r="O46" i="54"/>
  <c r="K46" i="54"/>
  <c r="G46" i="54"/>
  <c r="AD45" i="54"/>
  <c r="Z45" i="54"/>
  <c r="Y45" i="54"/>
  <c r="L18" i="53" s="1"/>
  <c r="O45" i="54"/>
  <c r="K45" i="54"/>
  <c r="AF44" i="54"/>
  <c r="V44" i="54"/>
  <c r="U44" i="54"/>
  <c r="O44" i="54"/>
  <c r="M44" i="54"/>
  <c r="AE44" i="54" s="1"/>
  <c r="K44" i="54"/>
  <c r="G44" i="54"/>
  <c r="V43" i="54"/>
  <c r="U43" i="54"/>
  <c r="O43" i="54"/>
  <c r="N43" i="54"/>
  <c r="P43" i="54" s="1"/>
  <c r="M43" i="54"/>
  <c r="AF43" i="54" s="1"/>
  <c r="K43" i="54"/>
  <c r="G43" i="54"/>
  <c r="X42" i="54"/>
  <c r="W42" i="54"/>
  <c r="V42" i="54"/>
  <c r="U42" i="54"/>
  <c r="O42" i="54"/>
  <c r="M42" i="54"/>
  <c r="N42" i="54" s="1"/>
  <c r="K42" i="54"/>
  <c r="G42" i="54"/>
  <c r="AF41" i="54"/>
  <c r="AE41" i="54"/>
  <c r="V41" i="54"/>
  <c r="M41" i="54" s="1"/>
  <c r="N41" i="54" s="1"/>
  <c r="U41" i="54"/>
  <c r="Q41" i="54"/>
  <c r="O41" i="54"/>
  <c r="K41" i="54"/>
  <c r="P41" i="54" s="1"/>
  <c r="G41" i="54"/>
  <c r="V40" i="54"/>
  <c r="M40" i="54" s="1"/>
  <c r="N40" i="54" s="1"/>
  <c r="Q40" i="54" s="1"/>
  <c r="U40" i="54"/>
  <c r="O40" i="54"/>
  <c r="K40" i="54"/>
  <c r="G40" i="54"/>
  <c r="AF39" i="54"/>
  <c r="AE39" i="54"/>
  <c r="V39" i="54"/>
  <c r="M39" i="54" s="1"/>
  <c r="N39" i="54" s="1"/>
  <c r="U39" i="54"/>
  <c r="O39" i="54"/>
  <c r="K39" i="54"/>
  <c r="G39" i="54"/>
  <c r="X38" i="54"/>
  <c r="W38" i="54"/>
  <c r="V38" i="54"/>
  <c r="O38" i="54"/>
  <c r="N38" i="54"/>
  <c r="Q38" i="54" s="1"/>
  <c r="M38" i="54"/>
  <c r="AF38" i="54" s="1"/>
  <c r="K38" i="54"/>
  <c r="G38" i="54"/>
  <c r="AD37" i="54"/>
  <c r="Z37" i="54"/>
  <c r="Y37" i="54"/>
  <c r="O37" i="54"/>
  <c r="K37" i="54"/>
  <c r="V36" i="54"/>
  <c r="M36" i="54" s="1"/>
  <c r="AF36" i="54" s="1"/>
  <c r="U36" i="54"/>
  <c r="Q36" i="54"/>
  <c r="O36" i="54"/>
  <c r="N36" i="54"/>
  <c r="P36" i="54" s="1"/>
  <c r="K36" i="54"/>
  <c r="G36" i="54"/>
  <c r="V35" i="54"/>
  <c r="M35" i="54" s="1"/>
  <c r="U35" i="54"/>
  <c r="O35" i="54"/>
  <c r="K35" i="54"/>
  <c r="G35" i="54"/>
  <c r="AF34" i="54"/>
  <c r="X34" i="54"/>
  <c r="W34" i="54"/>
  <c r="V34" i="54"/>
  <c r="M34" i="54" s="1"/>
  <c r="N34" i="54" s="1"/>
  <c r="U34" i="54"/>
  <c r="O34" i="54"/>
  <c r="K34" i="54"/>
  <c r="G34" i="54"/>
  <c r="V33" i="54"/>
  <c r="M33" i="54" s="1"/>
  <c r="N33" i="54" s="1"/>
  <c r="Q33" i="54" s="1"/>
  <c r="U33" i="54"/>
  <c r="O33" i="54"/>
  <c r="K33" i="54"/>
  <c r="G33" i="54"/>
  <c r="AF32" i="54"/>
  <c r="AE32" i="54"/>
  <c r="V32" i="54"/>
  <c r="U32" i="54"/>
  <c r="O32" i="54"/>
  <c r="M32" i="54"/>
  <c r="N32" i="54" s="1"/>
  <c r="K32" i="54"/>
  <c r="G32" i="54"/>
  <c r="V31" i="54"/>
  <c r="M31" i="54" s="1"/>
  <c r="U31" i="54"/>
  <c r="O31" i="54"/>
  <c r="K31" i="54"/>
  <c r="G31" i="54"/>
  <c r="X30" i="54"/>
  <c r="W30" i="54"/>
  <c r="V30" i="54"/>
  <c r="M30" i="54" s="1"/>
  <c r="N30" i="54" s="1"/>
  <c r="O30" i="54"/>
  <c r="K30" i="54"/>
  <c r="G30" i="54"/>
  <c r="AD29" i="54"/>
  <c r="G21" i="53" s="1"/>
  <c r="Z29" i="54"/>
  <c r="G19" i="53" s="1"/>
  <c r="Y29" i="54"/>
  <c r="O29" i="54"/>
  <c r="K29" i="54"/>
  <c r="V28" i="54"/>
  <c r="M28" i="54" s="1"/>
  <c r="N28" i="54" s="1"/>
  <c r="U28" i="54"/>
  <c r="O28" i="54"/>
  <c r="K28" i="54"/>
  <c r="G28" i="54"/>
  <c r="AF27" i="54"/>
  <c r="AE27" i="54"/>
  <c r="X27" i="54"/>
  <c r="W27" i="54"/>
  <c r="V27" i="54"/>
  <c r="U27" i="54"/>
  <c r="O27" i="54"/>
  <c r="M27" i="54"/>
  <c r="N27" i="54" s="1"/>
  <c r="K27" i="54"/>
  <c r="G27" i="54"/>
  <c r="V26" i="54"/>
  <c r="U26" i="54"/>
  <c r="O26" i="54"/>
  <c r="M26" i="54"/>
  <c r="AE26" i="54" s="1"/>
  <c r="K26" i="54"/>
  <c r="G26" i="54"/>
  <c r="V25" i="54"/>
  <c r="M25" i="54" s="1"/>
  <c r="AF25" i="54" s="1"/>
  <c r="U25" i="54"/>
  <c r="O25" i="54"/>
  <c r="K25" i="54"/>
  <c r="G25" i="54"/>
  <c r="V24" i="54"/>
  <c r="U24" i="54"/>
  <c r="O24" i="54"/>
  <c r="M24" i="54"/>
  <c r="AF24" i="54" s="1"/>
  <c r="K24" i="54"/>
  <c r="G24" i="54"/>
  <c r="V23" i="54"/>
  <c r="O23" i="54"/>
  <c r="M23" i="54"/>
  <c r="N23" i="54" s="1"/>
  <c r="K23" i="54"/>
  <c r="G23" i="54"/>
  <c r="AD22" i="54"/>
  <c r="F21" i="53" s="1"/>
  <c r="Z22" i="54"/>
  <c r="F19" i="53" s="1"/>
  <c r="Y22" i="54"/>
  <c r="O22" i="54"/>
  <c r="K22" i="54"/>
  <c r="V21" i="54"/>
  <c r="U21" i="54"/>
  <c r="O21" i="54"/>
  <c r="M21" i="54"/>
  <c r="N21" i="54" s="1"/>
  <c r="Q21" i="54" s="1"/>
  <c r="K21" i="54"/>
  <c r="G21" i="54"/>
  <c r="AE20" i="54"/>
  <c r="V20" i="54"/>
  <c r="M20" i="54" s="1"/>
  <c r="N20" i="54" s="1"/>
  <c r="U20" i="54"/>
  <c r="O20" i="54"/>
  <c r="K20" i="54"/>
  <c r="G20" i="54"/>
  <c r="X19" i="54"/>
  <c r="W19" i="54"/>
  <c r="V19" i="54"/>
  <c r="U19" i="54"/>
  <c r="O19" i="54"/>
  <c r="M19" i="54"/>
  <c r="N19" i="54" s="1"/>
  <c r="P19" i="54" s="1"/>
  <c r="K19" i="54"/>
  <c r="G19" i="54"/>
  <c r="V18" i="54"/>
  <c r="U18" i="54"/>
  <c r="O18" i="54"/>
  <c r="M18" i="54"/>
  <c r="AF18" i="54" s="1"/>
  <c r="K18" i="54"/>
  <c r="G18" i="54"/>
  <c r="AF17" i="54"/>
  <c r="AE17" i="54"/>
  <c r="V17" i="54"/>
  <c r="U17" i="54"/>
  <c r="O17" i="54"/>
  <c r="N17" i="54"/>
  <c r="Q17" i="54" s="1"/>
  <c r="M17" i="54"/>
  <c r="K17" i="54"/>
  <c r="G17" i="54"/>
  <c r="V16" i="54"/>
  <c r="M16" i="54" s="1"/>
  <c r="N16" i="54" s="1"/>
  <c r="U16" i="54"/>
  <c r="O16" i="54"/>
  <c r="K16" i="54"/>
  <c r="G16" i="54"/>
  <c r="AF15" i="54"/>
  <c r="AE15" i="54"/>
  <c r="V15" i="54"/>
  <c r="M15" i="54" s="1"/>
  <c r="N15" i="54" s="1"/>
  <c r="U15" i="54"/>
  <c r="O15" i="54"/>
  <c r="K15" i="54"/>
  <c r="Q15" i="54" s="1"/>
  <c r="G15" i="54"/>
  <c r="V14" i="54"/>
  <c r="O14" i="54"/>
  <c r="M14" i="54"/>
  <c r="N14" i="54" s="1"/>
  <c r="K14" i="54"/>
  <c r="G14" i="54"/>
  <c r="AD13" i="54"/>
  <c r="E21" i="53" s="1"/>
  <c r="Z13" i="54"/>
  <c r="E19" i="53" s="1"/>
  <c r="Y13" i="54"/>
  <c r="E18" i="53" s="1"/>
  <c r="O13" i="54"/>
  <c r="K13" i="54"/>
  <c r="V12" i="54"/>
  <c r="M12" i="54" s="1"/>
  <c r="N12" i="54" s="1"/>
  <c r="Q12" i="54" s="1"/>
  <c r="U12" i="54"/>
  <c r="O12" i="54"/>
  <c r="K12" i="54"/>
  <c r="G12" i="54"/>
  <c r="AF11" i="54"/>
  <c r="V11" i="54"/>
  <c r="O11" i="54"/>
  <c r="M11" i="54"/>
  <c r="AE11" i="54" s="1"/>
  <c r="K11" i="54"/>
  <c r="G11" i="54"/>
  <c r="AD10" i="54"/>
  <c r="D21" i="53" s="1"/>
  <c r="Z10" i="54"/>
  <c r="D19" i="53" s="1"/>
  <c r="Y10" i="54"/>
  <c r="Y2" i="54" s="1"/>
  <c r="K6" i="53" s="1"/>
  <c r="O10" i="54"/>
  <c r="K10" i="54"/>
  <c r="V9" i="54"/>
  <c r="U9" i="54"/>
  <c r="O9" i="54"/>
  <c r="M9" i="54"/>
  <c r="K9" i="54"/>
  <c r="G9" i="54"/>
  <c r="V8" i="54"/>
  <c r="M8" i="54" s="1"/>
  <c r="AF8" i="54" s="1"/>
  <c r="U8" i="54"/>
  <c r="O8" i="54"/>
  <c r="N8" i="54"/>
  <c r="Q8" i="54" s="1"/>
  <c r="K8" i="54"/>
  <c r="G8" i="54"/>
  <c r="V7" i="54"/>
  <c r="M7" i="54" s="1"/>
  <c r="N7" i="54" s="1"/>
  <c r="U7" i="54"/>
  <c r="O7" i="54"/>
  <c r="K7" i="54"/>
  <c r="G7" i="54"/>
  <c r="AE6" i="54"/>
  <c r="V6" i="54"/>
  <c r="M6" i="54" s="1"/>
  <c r="N6" i="54" s="1"/>
  <c r="Q6" i="54" s="1"/>
  <c r="U6" i="54"/>
  <c r="O6" i="54"/>
  <c r="K6" i="54"/>
  <c r="P6" i="54" s="1"/>
  <c r="G6" i="54"/>
  <c r="V5" i="54"/>
  <c r="O5" i="54"/>
  <c r="M5" i="54"/>
  <c r="N5" i="54" s="1"/>
  <c r="P5" i="54" s="1"/>
  <c r="K5" i="54"/>
  <c r="G5" i="54"/>
  <c r="AD2" i="54"/>
  <c r="N6" i="53" s="1"/>
  <c r="H2" i="54"/>
  <c r="H1" i="54"/>
  <c r="D1" i="54"/>
  <c r="M22" i="53"/>
  <c r="L22" i="53"/>
  <c r="K22" i="53"/>
  <c r="J22" i="53"/>
  <c r="I22" i="53"/>
  <c r="H22" i="53"/>
  <c r="G22" i="53"/>
  <c r="F22" i="53"/>
  <c r="E22" i="53"/>
  <c r="D22" i="53"/>
  <c r="M21" i="53"/>
  <c r="L21" i="53"/>
  <c r="K21" i="53"/>
  <c r="J21" i="53"/>
  <c r="M20" i="53"/>
  <c r="L20" i="53"/>
  <c r="K20" i="53"/>
  <c r="J20" i="53"/>
  <c r="I20" i="53"/>
  <c r="H20" i="53"/>
  <c r="G20" i="53"/>
  <c r="F20" i="53"/>
  <c r="E20" i="53"/>
  <c r="D20" i="53"/>
  <c r="M19" i="53"/>
  <c r="L19" i="53"/>
  <c r="K19" i="53"/>
  <c r="J19" i="53"/>
  <c r="M18" i="53"/>
  <c r="K18" i="53"/>
  <c r="J18" i="53"/>
  <c r="I18" i="53"/>
  <c r="G18" i="53"/>
  <c r="F18" i="53"/>
  <c r="D18" i="53"/>
  <c r="M17" i="53"/>
  <c r="L17" i="53"/>
  <c r="K17" i="53"/>
  <c r="J17" i="53"/>
  <c r="I17" i="53"/>
  <c r="H17" i="53"/>
  <c r="G17" i="53"/>
  <c r="F17" i="53"/>
  <c r="E17" i="53"/>
  <c r="D17" i="53"/>
  <c r="M16" i="53"/>
  <c r="L16" i="53"/>
  <c r="K16" i="53"/>
  <c r="J16" i="53"/>
  <c r="I16" i="53"/>
  <c r="H16" i="53"/>
  <c r="G16" i="53"/>
  <c r="F16" i="53"/>
  <c r="E16" i="53"/>
  <c r="D16" i="53"/>
  <c r="M13" i="53"/>
  <c r="L13" i="53"/>
  <c r="I6" i="53" s="1"/>
  <c r="K13" i="53"/>
  <c r="J13" i="53"/>
  <c r="I13" i="53"/>
  <c r="H13" i="53"/>
  <c r="G13" i="53"/>
  <c r="F13" i="53"/>
  <c r="E13" i="53"/>
  <c r="D13" i="53"/>
  <c r="M6" i="53"/>
  <c r="F3" i="53"/>
  <c r="C3" i="53"/>
  <c r="Q70" i="54" l="1"/>
  <c r="P70" i="54"/>
  <c r="N80" i="54"/>
  <c r="Q80" i="54" s="1"/>
  <c r="AF80" i="54"/>
  <c r="AE80" i="54"/>
  <c r="AF68" i="54"/>
  <c r="M74" i="54"/>
  <c r="N74" i="54" s="1"/>
  <c r="J14" i="53" s="1"/>
  <c r="J15" i="53" s="1"/>
  <c r="AE68" i="54"/>
  <c r="N68" i="54"/>
  <c r="P68" i="54" s="1"/>
  <c r="M37" i="54"/>
  <c r="N37" i="54" s="1"/>
  <c r="AF31" i="54"/>
  <c r="AE31" i="54"/>
  <c r="N31" i="54"/>
  <c r="P31" i="54" s="1"/>
  <c r="Q28" i="54"/>
  <c r="P28" i="54"/>
  <c r="Q14" i="54"/>
  <c r="P14" i="54"/>
  <c r="AF59" i="54"/>
  <c r="AE59" i="54"/>
  <c r="N59" i="54"/>
  <c r="Q59" i="54" s="1"/>
  <c r="AF50" i="54"/>
  <c r="M56" i="54"/>
  <c r="N56" i="54" s="1"/>
  <c r="AE64" i="54"/>
  <c r="G8" i="61"/>
  <c r="F8" i="61"/>
  <c r="E8" i="61"/>
  <c r="G6" i="53"/>
  <c r="Z2" i="54"/>
  <c r="L6" i="53" s="1"/>
  <c r="AF64" i="54"/>
  <c r="P78" i="54"/>
  <c r="Q43" i="54"/>
  <c r="AE62" i="54"/>
  <c r="AE78" i="54"/>
  <c r="AE46" i="54"/>
  <c r="AF62" i="54"/>
  <c r="AF78" i="54"/>
  <c r="Q15" i="56"/>
  <c r="P15" i="56"/>
  <c r="Q59" i="56"/>
  <c r="P59" i="56"/>
  <c r="P8" i="54"/>
  <c r="AE38" i="54"/>
  <c r="AE43" i="54"/>
  <c r="Q50" i="56"/>
  <c r="P50" i="56"/>
  <c r="AF51" i="54"/>
  <c r="Q6" i="56"/>
  <c r="P6" i="56"/>
  <c r="Q71" i="54"/>
  <c r="AE8" i="54"/>
  <c r="AE36" i="54"/>
  <c r="N50" i="54"/>
  <c r="P15" i="54"/>
  <c r="Q55" i="54"/>
  <c r="AF71" i="54"/>
  <c r="P77" i="54"/>
  <c r="AF6" i="54"/>
  <c r="AF20" i="54"/>
  <c r="AE34" i="54"/>
  <c r="AE55" i="54"/>
  <c r="Q64" i="54"/>
  <c r="AE69" i="54"/>
  <c r="D15" i="59"/>
  <c r="G7" i="59"/>
  <c r="F7" i="59"/>
  <c r="E7" i="59"/>
  <c r="K15" i="59"/>
  <c r="I8" i="59" s="1"/>
  <c r="I7" i="59"/>
  <c r="Q13" i="58"/>
  <c r="R11" i="58" s="1"/>
  <c r="P13" i="58"/>
  <c r="E14" i="57"/>
  <c r="E15" i="57" s="1"/>
  <c r="Q68" i="58"/>
  <c r="R63" i="58" s="1"/>
  <c r="P68" i="58"/>
  <c r="M14" i="57"/>
  <c r="M15" i="57" s="1"/>
  <c r="Q19" i="58"/>
  <c r="R14" i="58" s="1"/>
  <c r="P19" i="58"/>
  <c r="F14" i="57"/>
  <c r="F15" i="57" s="1"/>
  <c r="Q31" i="58"/>
  <c r="R26" i="58" s="1"/>
  <c r="P31" i="58"/>
  <c r="K14" i="57"/>
  <c r="I14" i="57"/>
  <c r="I15" i="57" s="1"/>
  <c r="Q55" i="58"/>
  <c r="R47" i="58" s="1"/>
  <c r="P55" i="58"/>
  <c r="Q62" i="58"/>
  <c r="R56" i="58" s="1"/>
  <c r="P62" i="58"/>
  <c r="J14" i="57"/>
  <c r="J15" i="57" s="1"/>
  <c r="D15" i="57"/>
  <c r="D2" i="58"/>
  <c r="Q46" i="58"/>
  <c r="R38" i="58" s="1"/>
  <c r="H14" i="57"/>
  <c r="H15" i="57" s="1"/>
  <c r="P46" i="58"/>
  <c r="Q37" i="58"/>
  <c r="R32" i="58" s="1"/>
  <c r="P37" i="58"/>
  <c r="L14" i="57"/>
  <c r="L15" i="57" s="1"/>
  <c r="P51" i="56"/>
  <c r="H14" i="55"/>
  <c r="H15" i="55" s="1"/>
  <c r="Q51" i="56"/>
  <c r="R41" i="56" s="1"/>
  <c r="P25" i="56"/>
  <c r="Q25" i="56"/>
  <c r="Q41" i="56"/>
  <c r="P41" i="56"/>
  <c r="Q71" i="56"/>
  <c r="P71" i="56"/>
  <c r="P49" i="56"/>
  <c r="Q49" i="56"/>
  <c r="Q37" i="56"/>
  <c r="P37" i="56"/>
  <c r="N33" i="56"/>
  <c r="AF33" i="56"/>
  <c r="AG27" i="56" s="1"/>
  <c r="AE33" i="56"/>
  <c r="Q60" i="56"/>
  <c r="P60" i="56"/>
  <c r="Q32" i="56"/>
  <c r="P32" i="56"/>
  <c r="P58" i="56"/>
  <c r="Q58" i="56"/>
  <c r="N14" i="56"/>
  <c r="AF14" i="56"/>
  <c r="AG12" i="56" s="1"/>
  <c r="AE14" i="56"/>
  <c r="N40" i="56"/>
  <c r="AF40" i="56"/>
  <c r="AG34" i="56" s="1"/>
  <c r="AE40" i="56"/>
  <c r="Q39" i="56"/>
  <c r="P39" i="56"/>
  <c r="Q7" i="56"/>
  <c r="P7" i="56"/>
  <c r="Q63" i="56"/>
  <c r="P63" i="56"/>
  <c r="Q13" i="56"/>
  <c r="P13" i="56"/>
  <c r="Q44" i="56"/>
  <c r="P44" i="56"/>
  <c r="Q34" i="56"/>
  <c r="P34" i="56"/>
  <c r="F2" i="56"/>
  <c r="I3" i="55"/>
  <c r="AF61" i="56"/>
  <c r="AG52" i="56" s="1"/>
  <c r="AE61" i="56"/>
  <c r="N61" i="56"/>
  <c r="Q48" i="56"/>
  <c r="P48" i="56"/>
  <c r="AE26" i="56"/>
  <c r="N26" i="56"/>
  <c r="AF26" i="56"/>
  <c r="AG21" i="56" s="1"/>
  <c r="D14" i="55"/>
  <c r="Q11" i="56"/>
  <c r="R5" i="56" s="1"/>
  <c r="P11" i="56"/>
  <c r="Q67" i="56"/>
  <c r="P67" i="56"/>
  <c r="Q55" i="56"/>
  <c r="P55" i="56"/>
  <c r="Q64" i="56"/>
  <c r="P64" i="56"/>
  <c r="AE68" i="56"/>
  <c r="AF68" i="56"/>
  <c r="AG62" i="56" s="1"/>
  <c r="N68" i="56"/>
  <c r="AF75" i="56"/>
  <c r="AG69" i="56" s="1"/>
  <c r="AE75" i="56"/>
  <c r="N75" i="56"/>
  <c r="Q56" i="54"/>
  <c r="R46" i="54" s="1"/>
  <c r="H14" i="53"/>
  <c r="H15" i="53" s="1"/>
  <c r="P56" i="54"/>
  <c r="E6" i="53"/>
  <c r="N75" i="54"/>
  <c r="M10" i="54"/>
  <c r="Q19" i="54"/>
  <c r="Q63" i="54"/>
  <c r="P12" i="54"/>
  <c r="P17" i="54"/>
  <c r="AF26" i="54"/>
  <c r="P33" i="54"/>
  <c r="Q68" i="54"/>
  <c r="P40" i="54"/>
  <c r="P61" i="54"/>
  <c r="P80" i="54"/>
  <c r="M45" i="54"/>
  <c r="N26" i="54"/>
  <c r="F6" i="53"/>
  <c r="N24" i="54"/>
  <c r="Q77" i="54"/>
  <c r="Q5" i="54"/>
  <c r="AE24" i="54"/>
  <c r="Q31" i="54"/>
  <c r="P38" i="54"/>
  <c r="P54" i="54"/>
  <c r="P47" i="54"/>
  <c r="P59" i="54"/>
  <c r="P66" i="54"/>
  <c r="P52" i="54"/>
  <c r="P21" i="54"/>
  <c r="F1" i="54"/>
  <c r="N35" i="54"/>
  <c r="Q35" i="54" s="1"/>
  <c r="AF5" i="54"/>
  <c r="AE5" i="54"/>
  <c r="AF7" i="54"/>
  <c r="AE7" i="54"/>
  <c r="Q7" i="54"/>
  <c r="P7" i="54"/>
  <c r="AF9" i="54"/>
  <c r="AE9" i="54"/>
  <c r="N9" i="54"/>
  <c r="AF12" i="54"/>
  <c r="AE12" i="54"/>
  <c r="M22" i="54"/>
  <c r="AF14" i="54"/>
  <c r="AE14" i="54"/>
  <c r="AF16" i="54"/>
  <c r="AE16" i="54"/>
  <c r="Q16" i="54"/>
  <c r="P16" i="54"/>
  <c r="AF19" i="54"/>
  <c r="AE19" i="54"/>
  <c r="Q20" i="54"/>
  <c r="P20" i="54"/>
  <c r="AF21" i="54"/>
  <c r="AE21" i="54"/>
  <c r="M29" i="54"/>
  <c r="AF23" i="54"/>
  <c r="AE23" i="54"/>
  <c r="Q23" i="54"/>
  <c r="P23" i="54"/>
  <c r="Q27" i="54"/>
  <c r="P27" i="54"/>
  <c r="AF28" i="54"/>
  <c r="AE28" i="54"/>
  <c r="AF30" i="54"/>
  <c r="AE30" i="54"/>
  <c r="Q30" i="54"/>
  <c r="P30" i="54"/>
  <c r="Q32" i="54"/>
  <c r="P32" i="54"/>
  <c r="AF33" i="54"/>
  <c r="AE33" i="54"/>
  <c r="Q34" i="54"/>
  <c r="P34" i="54"/>
  <c r="AF35" i="54"/>
  <c r="AE35" i="54"/>
  <c r="AF37" i="54"/>
  <c r="AG30" i="54" s="1"/>
  <c r="AE37" i="54"/>
  <c r="Q37" i="54"/>
  <c r="R30" i="54" s="1"/>
  <c r="P37" i="54"/>
  <c r="K14" i="53"/>
  <c r="Q39" i="54"/>
  <c r="P39" i="54"/>
  <c r="AF40" i="54"/>
  <c r="AE40" i="54"/>
  <c r="AF42" i="54"/>
  <c r="AE42" i="54"/>
  <c r="Q42" i="54"/>
  <c r="P42" i="54"/>
  <c r="Q46" i="54"/>
  <c r="P46" i="54"/>
  <c r="AF47" i="54"/>
  <c r="AE47" i="54"/>
  <c r="AF49" i="54"/>
  <c r="AE49" i="54"/>
  <c r="Q49" i="54"/>
  <c r="P49" i="54"/>
  <c r="AF52" i="54"/>
  <c r="AE52" i="54"/>
  <c r="Q53" i="54"/>
  <c r="P53" i="54"/>
  <c r="AF54" i="54"/>
  <c r="AE54" i="54"/>
  <c r="AF56" i="54"/>
  <c r="AG46" i="54" s="1"/>
  <c r="AE56" i="54"/>
  <c r="N57" i="54"/>
  <c r="M67" i="54"/>
  <c r="AF61" i="54"/>
  <c r="AE61" i="54"/>
  <c r="Q62" i="54"/>
  <c r="P62" i="54"/>
  <c r="AF63" i="54"/>
  <c r="AE63" i="54"/>
  <c r="AF65" i="54"/>
  <c r="AE65" i="54"/>
  <c r="Q65" i="54"/>
  <c r="P65" i="54"/>
  <c r="Q69" i="54"/>
  <c r="P69" i="54"/>
  <c r="AF70" i="54"/>
  <c r="AE70" i="54"/>
  <c r="AF72" i="54"/>
  <c r="AE72" i="54"/>
  <c r="Q72" i="54"/>
  <c r="P72" i="54"/>
  <c r="AF74" i="54"/>
  <c r="AG68" i="54" s="1"/>
  <c r="AE74" i="54"/>
  <c r="Q74" i="54"/>
  <c r="R68" i="54" s="1"/>
  <c r="P74" i="54"/>
  <c r="M81" i="54"/>
  <c r="AF75" i="54"/>
  <c r="Q76" i="54"/>
  <c r="P76" i="54"/>
  <c r="AF77" i="54"/>
  <c r="AE77" i="54"/>
  <c r="AF79" i="54"/>
  <c r="AE79" i="54"/>
  <c r="Q79" i="54"/>
  <c r="P79" i="54"/>
  <c r="N51" i="54"/>
  <c r="N58" i="54"/>
  <c r="N18" i="54"/>
  <c r="N25" i="54"/>
  <c r="N11" i="54"/>
  <c r="N44" i="54"/>
  <c r="N60" i="54"/>
  <c r="M13" i="54"/>
  <c r="AE58" i="54"/>
  <c r="AE18" i="54"/>
  <c r="AE25" i="54"/>
  <c r="AD81" i="52"/>
  <c r="Z81" i="52"/>
  <c r="Y81" i="52"/>
  <c r="O81" i="52"/>
  <c r="K81" i="52"/>
  <c r="M13" i="51" s="1"/>
  <c r="V80" i="52"/>
  <c r="M80" i="52" s="1"/>
  <c r="U80" i="52"/>
  <c r="O80" i="52"/>
  <c r="K80" i="52"/>
  <c r="G80" i="52"/>
  <c r="X79" i="52"/>
  <c r="W79" i="52"/>
  <c r="V79" i="52"/>
  <c r="M79" i="52" s="1"/>
  <c r="U79" i="52"/>
  <c r="O79" i="52"/>
  <c r="K79" i="52"/>
  <c r="G79" i="52"/>
  <c r="V78" i="52"/>
  <c r="U78" i="52"/>
  <c r="O78" i="52"/>
  <c r="M78" i="52"/>
  <c r="K78" i="52"/>
  <c r="G78" i="52"/>
  <c r="V77" i="52"/>
  <c r="M77" i="52" s="1"/>
  <c r="U77" i="52"/>
  <c r="O77" i="52"/>
  <c r="K77" i="52"/>
  <c r="G77" i="52"/>
  <c r="V76" i="52"/>
  <c r="M76" i="52" s="1"/>
  <c r="N76" i="52" s="1"/>
  <c r="U76" i="52"/>
  <c r="O76" i="52"/>
  <c r="K76" i="52"/>
  <c r="G76" i="52"/>
  <c r="X75" i="52"/>
  <c r="W75" i="52"/>
  <c r="V75" i="52"/>
  <c r="O75" i="52"/>
  <c r="M75" i="52"/>
  <c r="N75" i="52" s="1"/>
  <c r="K75" i="52"/>
  <c r="G75" i="52"/>
  <c r="AD74" i="52"/>
  <c r="Z74" i="52"/>
  <c r="Y74" i="52"/>
  <c r="O74" i="52"/>
  <c r="K74" i="52"/>
  <c r="V73" i="52"/>
  <c r="M73" i="52" s="1"/>
  <c r="N73" i="52" s="1"/>
  <c r="U73" i="52"/>
  <c r="O73" i="52"/>
  <c r="K73" i="52"/>
  <c r="G73" i="52"/>
  <c r="V72" i="52"/>
  <c r="M72" i="52" s="1"/>
  <c r="N72" i="52" s="1"/>
  <c r="U72" i="52"/>
  <c r="O72" i="52"/>
  <c r="K72" i="52"/>
  <c r="G72" i="52"/>
  <c r="AE71" i="52"/>
  <c r="V71" i="52"/>
  <c r="M71" i="52" s="1"/>
  <c r="N71" i="52" s="1"/>
  <c r="P71" i="52" s="1"/>
  <c r="U71" i="52"/>
  <c r="O71" i="52"/>
  <c r="K71" i="52"/>
  <c r="G71" i="52"/>
  <c r="V70" i="52"/>
  <c r="M70" i="52" s="1"/>
  <c r="AE70" i="52" s="1"/>
  <c r="U70" i="52"/>
  <c r="O70" i="52"/>
  <c r="K70" i="52"/>
  <c r="G70" i="52"/>
  <c r="V69" i="52"/>
  <c r="M69" i="52" s="1"/>
  <c r="U69" i="52"/>
  <c r="O69" i="52"/>
  <c r="K69" i="52"/>
  <c r="G69" i="52"/>
  <c r="V68" i="52"/>
  <c r="M68" i="52" s="1"/>
  <c r="O68" i="52"/>
  <c r="K68" i="52"/>
  <c r="G68" i="52"/>
  <c r="AD67" i="52"/>
  <c r="Z67" i="52"/>
  <c r="I19" i="51" s="1"/>
  <c r="Y67" i="52"/>
  <c r="O67" i="52"/>
  <c r="K67" i="52"/>
  <c r="V66" i="52"/>
  <c r="M66" i="52" s="1"/>
  <c r="N66" i="52" s="1"/>
  <c r="U66" i="52"/>
  <c r="O66" i="52"/>
  <c r="K66" i="52"/>
  <c r="G66" i="52"/>
  <c r="X65" i="52"/>
  <c r="W65" i="52"/>
  <c r="V65" i="52"/>
  <c r="M65" i="52" s="1"/>
  <c r="U65" i="52"/>
  <c r="O65" i="52"/>
  <c r="K65" i="52"/>
  <c r="G65" i="52"/>
  <c r="V64" i="52"/>
  <c r="U64" i="52"/>
  <c r="O64" i="52"/>
  <c r="M64" i="52"/>
  <c r="N64" i="52" s="1"/>
  <c r="K64" i="52"/>
  <c r="G64" i="52"/>
  <c r="V63" i="52"/>
  <c r="M63" i="52" s="1"/>
  <c r="N63" i="52" s="1"/>
  <c r="U63" i="52"/>
  <c r="O63" i="52"/>
  <c r="K63" i="52"/>
  <c r="G63" i="52"/>
  <c r="V62" i="52"/>
  <c r="M62" i="52" s="1"/>
  <c r="U62" i="52"/>
  <c r="O62" i="52"/>
  <c r="K62" i="52"/>
  <c r="G62" i="52"/>
  <c r="V61" i="52"/>
  <c r="U61" i="52"/>
  <c r="O61" i="52"/>
  <c r="M61" i="52"/>
  <c r="K61" i="52"/>
  <c r="G61" i="52"/>
  <c r="V60" i="52"/>
  <c r="U60" i="52"/>
  <c r="O60" i="52"/>
  <c r="M60" i="52"/>
  <c r="K60" i="52"/>
  <c r="G60" i="52"/>
  <c r="V59" i="52"/>
  <c r="M59" i="52" s="1"/>
  <c r="U59" i="52"/>
  <c r="O59" i="52"/>
  <c r="K59" i="52"/>
  <c r="G59" i="52"/>
  <c r="V58" i="52"/>
  <c r="M58" i="52" s="1"/>
  <c r="N58" i="52" s="1"/>
  <c r="U58" i="52"/>
  <c r="O58" i="52"/>
  <c r="K58" i="52"/>
  <c r="G58" i="52"/>
  <c r="V57" i="52"/>
  <c r="M57" i="52" s="1"/>
  <c r="O57" i="52"/>
  <c r="K57" i="52"/>
  <c r="G57" i="52"/>
  <c r="AD56" i="52"/>
  <c r="H21" i="51" s="1"/>
  <c r="Z56" i="52"/>
  <c r="H19" i="51" s="1"/>
  <c r="Y56" i="52"/>
  <c r="O56" i="52"/>
  <c r="K56" i="52"/>
  <c r="V55" i="52"/>
  <c r="M55" i="52" s="1"/>
  <c r="N55" i="52" s="1"/>
  <c r="P55" i="52" s="1"/>
  <c r="U55" i="52"/>
  <c r="O55" i="52"/>
  <c r="K55" i="52"/>
  <c r="G55" i="52"/>
  <c r="V54" i="52"/>
  <c r="M54" i="52" s="1"/>
  <c r="AE54" i="52" s="1"/>
  <c r="U54" i="52"/>
  <c r="O54" i="52"/>
  <c r="K54" i="52"/>
  <c r="G54" i="52"/>
  <c r="V53" i="52"/>
  <c r="M53" i="52" s="1"/>
  <c r="U53" i="52"/>
  <c r="O53" i="52"/>
  <c r="K53" i="52"/>
  <c r="G53" i="52"/>
  <c r="V52" i="52"/>
  <c r="U52" i="52"/>
  <c r="O52" i="52"/>
  <c r="N52" i="52"/>
  <c r="Q52" i="52" s="1"/>
  <c r="M52" i="52"/>
  <c r="AF52" i="52" s="1"/>
  <c r="K52" i="52"/>
  <c r="G52" i="52"/>
  <c r="X51" i="52"/>
  <c r="W51" i="52"/>
  <c r="V51" i="52"/>
  <c r="M51" i="52" s="1"/>
  <c r="U51" i="52"/>
  <c r="O51" i="52"/>
  <c r="K51" i="52"/>
  <c r="G51" i="52"/>
  <c r="V50" i="52"/>
  <c r="M50" i="52" s="1"/>
  <c r="U50" i="52"/>
  <c r="O50" i="52"/>
  <c r="K50" i="52"/>
  <c r="G50" i="52"/>
  <c r="V49" i="52"/>
  <c r="M49" i="52" s="1"/>
  <c r="N49" i="52" s="1"/>
  <c r="U49" i="52"/>
  <c r="O49" i="52"/>
  <c r="K49" i="52"/>
  <c r="G49" i="52"/>
  <c r="V48" i="52"/>
  <c r="M48" i="52" s="1"/>
  <c r="N48" i="52" s="1"/>
  <c r="U48" i="52"/>
  <c r="O48" i="52"/>
  <c r="K48" i="52"/>
  <c r="G48" i="52"/>
  <c r="V47" i="52"/>
  <c r="M47" i="52" s="1"/>
  <c r="U47" i="52"/>
  <c r="O47" i="52"/>
  <c r="K47" i="52"/>
  <c r="G47" i="52"/>
  <c r="V46" i="52"/>
  <c r="M46" i="52" s="1"/>
  <c r="O46" i="52"/>
  <c r="K46" i="52"/>
  <c r="G46" i="52"/>
  <c r="AD45" i="52"/>
  <c r="Z45" i="52"/>
  <c r="Y45" i="52"/>
  <c r="O45" i="52"/>
  <c r="K45" i="52"/>
  <c r="V44" i="52"/>
  <c r="U44" i="52"/>
  <c r="O44" i="52"/>
  <c r="M44" i="52"/>
  <c r="AF44" i="52" s="1"/>
  <c r="K44" i="52"/>
  <c r="G44" i="52"/>
  <c r="V43" i="52"/>
  <c r="U43" i="52"/>
  <c r="O43" i="52"/>
  <c r="N43" i="52"/>
  <c r="M43" i="52"/>
  <c r="AF43" i="52" s="1"/>
  <c r="K43" i="52"/>
  <c r="G43" i="52"/>
  <c r="X42" i="52"/>
  <c r="W42" i="52"/>
  <c r="V42" i="52"/>
  <c r="U42" i="52"/>
  <c r="O42" i="52"/>
  <c r="M42" i="52"/>
  <c r="N42" i="52" s="1"/>
  <c r="K42" i="52"/>
  <c r="G42" i="52"/>
  <c r="V41" i="52"/>
  <c r="U41" i="52"/>
  <c r="O41" i="52"/>
  <c r="N41" i="52"/>
  <c r="M41" i="52"/>
  <c r="AF41" i="52" s="1"/>
  <c r="K41" i="52"/>
  <c r="G41" i="52"/>
  <c r="V40" i="52"/>
  <c r="M40" i="52" s="1"/>
  <c r="N40" i="52" s="1"/>
  <c r="U40" i="52"/>
  <c r="O40" i="52"/>
  <c r="K40" i="52"/>
  <c r="G40" i="52"/>
  <c r="V39" i="52"/>
  <c r="M39" i="52" s="1"/>
  <c r="N39" i="52" s="1"/>
  <c r="U39" i="52"/>
  <c r="O39" i="52"/>
  <c r="K39" i="52"/>
  <c r="G39" i="52"/>
  <c r="AF38" i="52"/>
  <c r="X38" i="52"/>
  <c r="W38" i="52"/>
  <c r="V38" i="52"/>
  <c r="O38" i="52"/>
  <c r="N38" i="52"/>
  <c r="M38" i="52"/>
  <c r="AE38" i="52" s="1"/>
  <c r="K38" i="52"/>
  <c r="G38" i="52"/>
  <c r="AD37" i="52"/>
  <c r="K21" i="51" s="1"/>
  <c r="Z37" i="52"/>
  <c r="Y37" i="52"/>
  <c r="O37" i="52"/>
  <c r="K37" i="52"/>
  <c r="V36" i="52"/>
  <c r="M36" i="52" s="1"/>
  <c r="N36" i="52" s="1"/>
  <c r="U36" i="52"/>
  <c r="O36" i="52"/>
  <c r="K36" i="52"/>
  <c r="G36" i="52"/>
  <c r="AF35" i="52"/>
  <c r="AE35" i="52"/>
  <c r="V35" i="52"/>
  <c r="M35" i="52" s="1"/>
  <c r="N35" i="52" s="1"/>
  <c r="U35" i="52"/>
  <c r="O35" i="52"/>
  <c r="K35" i="52"/>
  <c r="G35" i="52"/>
  <c r="X34" i="52"/>
  <c r="W34" i="52"/>
  <c r="V34" i="52"/>
  <c r="M34" i="52" s="1"/>
  <c r="AE34" i="52" s="1"/>
  <c r="U34" i="52"/>
  <c r="O34" i="52"/>
  <c r="K34" i="52"/>
  <c r="G34" i="52"/>
  <c r="V33" i="52"/>
  <c r="M33" i="52" s="1"/>
  <c r="N33" i="52" s="1"/>
  <c r="U33" i="52"/>
  <c r="O33" i="52"/>
  <c r="K33" i="52"/>
  <c r="G33" i="52"/>
  <c r="V32" i="52"/>
  <c r="M32" i="52" s="1"/>
  <c r="U32" i="52"/>
  <c r="O32" i="52"/>
  <c r="K32" i="52"/>
  <c r="G32" i="52"/>
  <c r="V31" i="52"/>
  <c r="M31" i="52" s="1"/>
  <c r="AE31" i="52" s="1"/>
  <c r="U31" i="52"/>
  <c r="O31" i="52"/>
  <c r="K31" i="52"/>
  <c r="G31" i="52"/>
  <c r="X30" i="52"/>
  <c r="W30" i="52"/>
  <c r="V30" i="52"/>
  <c r="M30" i="52" s="1"/>
  <c r="O30" i="52"/>
  <c r="K30" i="52"/>
  <c r="G30" i="52"/>
  <c r="AD29" i="52"/>
  <c r="G21" i="51" s="1"/>
  <c r="Z29" i="52"/>
  <c r="G19" i="51" s="1"/>
  <c r="Y29" i="52"/>
  <c r="O29" i="52"/>
  <c r="K29" i="52"/>
  <c r="V28" i="52"/>
  <c r="M28" i="52" s="1"/>
  <c r="AE28" i="52" s="1"/>
  <c r="U28" i="52"/>
  <c r="O28" i="52"/>
  <c r="K28" i="52"/>
  <c r="G28" i="52"/>
  <c r="X27" i="52"/>
  <c r="W27" i="52"/>
  <c r="V27" i="52"/>
  <c r="M27" i="52" s="1"/>
  <c r="U27" i="52"/>
  <c r="O27" i="52"/>
  <c r="K27" i="52"/>
  <c r="G27" i="52"/>
  <c r="V26" i="52"/>
  <c r="M26" i="52" s="1"/>
  <c r="AE26" i="52" s="1"/>
  <c r="U26" i="52"/>
  <c r="O26" i="52"/>
  <c r="K26" i="52"/>
  <c r="G26" i="52"/>
  <c r="V25" i="52"/>
  <c r="M25" i="52" s="1"/>
  <c r="N25" i="52" s="1"/>
  <c r="Q25" i="52" s="1"/>
  <c r="U25" i="52"/>
  <c r="O25" i="52"/>
  <c r="K25" i="52"/>
  <c r="G25" i="52"/>
  <c r="V24" i="52"/>
  <c r="M24" i="52" s="1"/>
  <c r="U24" i="52"/>
  <c r="O24" i="52"/>
  <c r="K24" i="52"/>
  <c r="G24" i="52"/>
  <c r="V23" i="52"/>
  <c r="O23" i="52"/>
  <c r="M23" i="52"/>
  <c r="N23" i="52" s="1"/>
  <c r="Q23" i="52" s="1"/>
  <c r="K23" i="52"/>
  <c r="G23" i="52"/>
  <c r="AD22" i="52"/>
  <c r="F21" i="51" s="1"/>
  <c r="Z22" i="52"/>
  <c r="F19" i="51" s="1"/>
  <c r="Y22" i="52"/>
  <c r="O22" i="52"/>
  <c r="K22" i="52"/>
  <c r="V21" i="52"/>
  <c r="U21" i="52"/>
  <c r="O21" i="52"/>
  <c r="M21" i="52"/>
  <c r="N21" i="52" s="1"/>
  <c r="K21" i="52"/>
  <c r="G21" i="52"/>
  <c r="V20" i="52"/>
  <c r="U20" i="52"/>
  <c r="O20" i="52"/>
  <c r="N20" i="52"/>
  <c r="M20" i="52"/>
  <c r="K20" i="52"/>
  <c r="G20" i="52"/>
  <c r="X19" i="52"/>
  <c r="W19" i="52"/>
  <c r="V19" i="52"/>
  <c r="U19" i="52"/>
  <c r="O19" i="52"/>
  <c r="M19" i="52"/>
  <c r="AE19" i="52" s="1"/>
  <c r="K19" i="52"/>
  <c r="G19" i="52"/>
  <c r="V18" i="52"/>
  <c r="M18" i="52" s="1"/>
  <c r="N18" i="52" s="1"/>
  <c r="U18" i="52"/>
  <c r="O18" i="52"/>
  <c r="K18" i="52"/>
  <c r="G18" i="52"/>
  <c r="V17" i="52"/>
  <c r="M17" i="52" s="1"/>
  <c r="AE17" i="52" s="1"/>
  <c r="U17" i="52"/>
  <c r="O17" i="52"/>
  <c r="K17" i="52"/>
  <c r="G17" i="52"/>
  <c r="V16" i="52"/>
  <c r="M16" i="52" s="1"/>
  <c r="U16" i="52"/>
  <c r="O16" i="52"/>
  <c r="K16" i="52"/>
  <c r="G16" i="52"/>
  <c r="V15" i="52"/>
  <c r="M15" i="52" s="1"/>
  <c r="N15" i="52" s="1"/>
  <c r="U15" i="52"/>
  <c r="O15" i="52"/>
  <c r="K15" i="52"/>
  <c r="G15" i="52"/>
  <c r="AE14" i="52"/>
  <c r="V14" i="52"/>
  <c r="M14" i="52" s="1"/>
  <c r="N14" i="52" s="1"/>
  <c r="O14" i="52"/>
  <c r="K14" i="52"/>
  <c r="G14" i="52"/>
  <c r="AD13" i="52"/>
  <c r="E21" i="51" s="1"/>
  <c r="Z13" i="52"/>
  <c r="E19" i="51" s="1"/>
  <c r="Y13" i="52"/>
  <c r="O13" i="52"/>
  <c r="K13" i="52"/>
  <c r="E13" i="51" s="1"/>
  <c r="AF12" i="52"/>
  <c r="V12" i="52"/>
  <c r="M12" i="52" s="1"/>
  <c r="N12" i="52" s="1"/>
  <c r="Q12" i="52" s="1"/>
  <c r="U12" i="52"/>
  <c r="O12" i="52"/>
  <c r="K12" i="52"/>
  <c r="G12" i="52"/>
  <c r="V11" i="52"/>
  <c r="M11" i="52" s="1"/>
  <c r="O11" i="52"/>
  <c r="K11" i="52"/>
  <c r="G11" i="52"/>
  <c r="AD10" i="52"/>
  <c r="Z10" i="52"/>
  <c r="Y10" i="52"/>
  <c r="O10" i="52"/>
  <c r="K10" i="52"/>
  <c r="V9" i="52"/>
  <c r="M9" i="52" s="1"/>
  <c r="AE9" i="52" s="1"/>
  <c r="U9" i="52"/>
  <c r="O9" i="52"/>
  <c r="K9" i="52"/>
  <c r="G9" i="52"/>
  <c r="V8" i="52"/>
  <c r="M8" i="52" s="1"/>
  <c r="U8" i="52"/>
  <c r="O8" i="52"/>
  <c r="N8" i="52"/>
  <c r="Q8" i="52" s="1"/>
  <c r="K8" i="52"/>
  <c r="G8" i="52"/>
  <c r="V7" i="52"/>
  <c r="M7" i="52" s="1"/>
  <c r="U7" i="52"/>
  <c r="O7" i="52"/>
  <c r="K7" i="52"/>
  <c r="G7" i="52"/>
  <c r="V6" i="52"/>
  <c r="U6" i="52"/>
  <c r="O6" i="52"/>
  <c r="M6" i="52"/>
  <c r="N6" i="52" s="1"/>
  <c r="K6" i="52"/>
  <c r="G6" i="52"/>
  <c r="V5" i="52"/>
  <c r="O5" i="52"/>
  <c r="M5" i="52"/>
  <c r="N5" i="52" s="1"/>
  <c r="K5" i="52"/>
  <c r="G5" i="52"/>
  <c r="AC2" i="52"/>
  <c r="H2" i="52"/>
  <c r="H1" i="52"/>
  <c r="D1" i="52"/>
  <c r="M22" i="51"/>
  <c r="L22" i="51"/>
  <c r="K22" i="51"/>
  <c r="J22" i="51"/>
  <c r="I22" i="51"/>
  <c r="H22" i="51"/>
  <c r="G22" i="51"/>
  <c r="F22" i="51"/>
  <c r="E22" i="51"/>
  <c r="D22" i="51"/>
  <c r="M21" i="51"/>
  <c r="L21" i="51"/>
  <c r="J21" i="51"/>
  <c r="I21" i="51"/>
  <c r="D21" i="51"/>
  <c r="M20" i="51"/>
  <c r="L20" i="51"/>
  <c r="K20" i="51"/>
  <c r="J20" i="51"/>
  <c r="I20" i="51"/>
  <c r="H20" i="51"/>
  <c r="G20" i="51"/>
  <c r="F20" i="51"/>
  <c r="E20" i="51"/>
  <c r="D20" i="51"/>
  <c r="M19" i="51"/>
  <c r="L19" i="51"/>
  <c r="K19" i="51"/>
  <c r="J19" i="51"/>
  <c r="M18" i="51"/>
  <c r="L18" i="51"/>
  <c r="K18" i="51"/>
  <c r="J18" i="51"/>
  <c r="I18" i="51"/>
  <c r="H18" i="51"/>
  <c r="G18" i="51"/>
  <c r="F18" i="51"/>
  <c r="E18" i="51"/>
  <c r="M17" i="51"/>
  <c r="L17" i="51"/>
  <c r="K17" i="51"/>
  <c r="J17" i="51"/>
  <c r="I17" i="51"/>
  <c r="H17" i="51"/>
  <c r="G17" i="51"/>
  <c r="F17" i="51"/>
  <c r="E17" i="51"/>
  <c r="D17" i="51"/>
  <c r="M16" i="51"/>
  <c r="L16" i="51"/>
  <c r="K16" i="51"/>
  <c r="J16" i="51"/>
  <c r="I16" i="51"/>
  <c r="H16" i="51"/>
  <c r="G16" i="51"/>
  <c r="F16" i="51"/>
  <c r="E16" i="51"/>
  <c r="D16" i="51"/>
  <c r="L13" i="51"/>
  <c r="K13" i="51"/>
  <c r="I6" i="51" s="1"/>
  <c r="J13" i="51"/>
  <c r="I13" i="51"/>
  <c r="H13" i="51"/>
  <c r="G13" i="51"/>
  <c r="F13" i="51"/>
  <c r="D13" i="51"/>
  <c r="M6" i="51"/>
  <c r="F3" i="51"/>
  <c r="C3" i="51"/>
  <c r="AF50" i="52" l="1"/>
  <c r="AE50" i="52"/>
  <c r="N50" i="52"/>
  <c r="AF65" i="52"/>
  <c r="N65" i="52"/>
  <c r="N77" i="52"/>
  <c r="AF77" i="52"/>
  <c r="AE77" i="52"/>
  <c r="N16" i="52"/>
  <c r="AE16" i="52"/>
  <c r="AF59" i="52"/>
  <c r="AE59" i="52"/>
  <c r="N59" i="52"/>
  <c r="AF79" i="52"/>
  <c r="AE79" i="52"/>
  <c r="N79" i="52"/>
  <c r="F1" i="52"/>
  <c r="P33" i="52"/>
  <c r="AE42" i="52"/>
  <c r="AF42" i="52"/>
  <c r="E6" i="51"/>
  <c r="AF71" i="52"/>
  <c r="M74" i="52"/>
  <c r="Q50" i="54"/>
  <c r="P50" i="54"/>
  <c r="P8" i="52"/>
  <c r="AE43" i="52"/>
  <c r="P12" i="52"/>
  <c r="N19" i="52"/>
  <c r="Q19" i="52" s="1"/>
  <c r="P35" i="52"/>
  <c r="AE41" i="52"/>
  <c r="AE52" i="52"/>
  <c r="D2" i="56"/>
  <c r="AE12" i="52"/>
  <c r="AF19" i="52"/>
  <c r="Q33" i="52"/>
  <c r="F8" i="59"/>
  <c r="G8" i="59"/>
  <c r="E8" i="59"/>
  <c r="K15" i="57"/>
  <c r="I8" i="57" s="1"/>
  <c r="I7" i="57"/>
  <c r="E7" i="57"/>
  <c r="G7" i="57"/>
  <c r="F7" i="57"/>
  <c r="G8" i="57"/>
  <c r="F8" i="57"/>
  <c r="E8" i="57"/>
  <c r="P33" i="56"/>
  <c r="Q33" i="56"/>
  <c r="R27" i="56" s="1"/>
  <c r="K14" i="55"/>
  <c r="D15" i="55"/>
  <c r="G14" i="55"/>
  <c r="G15" i="55" s="1"/>
  <c r="P26" i="56"/>
  <c r="Q26" i="56"/>
  <c r="R21" i="56" s="1"/>
  <c r="Q75" i="56"/>
  <c r="R69" i="56" s="1"/>
  <c r="P75" i="56"/>
  <c r="M14" i="55"/>
  <c r="M15" i="55" s="1"/>
  <c r="Q40" i="56"/>
  <c r="R34" i="56" s="1"/>
  <c r="P40" i="56"/>
  <c r="L14" i="55"/>
  <c r="L15" i="55" s="1"/>
  <c r="Q61" i="56"/>
  <c r="R52" i="56" s="1"/>
  <c r="P61" i="56"/>
  <c r="I14" i="55"/>
  <c r="I15" i="55" s="1"/>
  <c r="Q68" i="56"/>
  <c r="R62" i="56" s="1"/>
  <c r="P68" i="56"/>
  <c r="J14" i="55"/>
  <c r="J15" i="55" s="1"/>
  <c r="E14" i="55"/>
  <c r="E15" i="55" s="1"/>
  <c r="Q14" i="56"/>
  <c r="R12" i="56" s="1"/>
  <c r="P14" i="56"/>
  <c r="N10" i="54"/>
  <c r="AF10" i="54"/>
  <c r="AG5" i="54" s="1"/>
  <c r="AE10" i="54"/>
  <c r="P75" i="54"/>
  <c r="Q75" i="54"/>
  <c r="P35" i="54"/>
  <c r="N29" i="54"/>
  <c r="AF29" i="54"/>
  <c r="AG23" i="54" s="1"/>
  <c r="AE29" i="54"/>
  <c r="Q24" i="54"/>
  <c r="P24" i="54"/>
  <c r="Q26" i="54"/>
  <c r="P26" i="54"/>
  <c r="AF45" i="54"/>
  <c r="AG38" i="54" s="1"/>
  <c r="AE45" i="54"/>
  <c r="N45" i="54"/>
  <c r="N13" i="54"/>
  <c r="E14" i="53" s="1"/>
  <c r="E15" i="53" s="1"/>
  <c r="AF13" i="54"/>
  <c r="AG11" i="54" s="1"/>
  <c r="AE13" i="54"/>
  <c r="Q57" i="54"/>
  <c r="P57" i="54"/>
  <c r="F2" i="54"/>
  <c r="I3" i="53"/>
  <c r="K15" i="53"/>
  <c r="N22" i="54"/>
  <c r="AF22" i="54"/>
  <c r="AG14" i="54" s="1"/>
  <c r="AE22" i="54"/>
  <c r="Q60" i="54"/>
  <c r="P60" i="54"/>
  <c r="Q44" i="54"/>
  <c r="P44" i="54"/>
  <c r="Q11" i="54"/>
  <c r="P11" i="54"/>
  <c r="Q25" i="54"/>
  <c r="P25" i="54"/>
  <c r="Q18" i="54"/>
  <c r="P18" i="54"/>
  <c r="Q58" i="54"/>
  <c r="P58" i="54"/>
  <c r="Q51" i="54"/>
  <c r="P51" i="54"/>
  <c r="AF81" i="54"/>
  <c r="AG75" i="54" s="1"/>
  <c r="AE81" i="54"/>
  <c r="N81" i="54"/>
  <c r="AF67" i="54"/>
  <c r="AG57" i="54" s="1"/>
  <c r="AE67" i="54"/>
  <c r="N67" i="54"/>
  <c r="I14" i="53" s="1"/>
  <c r="I15" i="53" s="1"/>
  <c r="Q9" i="54"/>
  <c r="P9" i="54"/>
  <c r="Q64" i="52"/>
  <c r="P64" i="52"/>
  <c r="Q5" i="52"/>
  <c r="P5" i="52"/>
  <c r="F2" i="52"/>
  <c r="I3" i="51"/>
  <c r="Q49" i="52"/>
  <c r="P49" i="52"/>
  <c r="P66" i="52"/>
  <c r="Q66" i="52"/>
  <c r="N74" i="52"/>
  <c r="AE74" i="52"/>
  <c r="AF74" i="52"/>
  <c r="AG68" i="52" s="1"/>
  <c r="Q18" i="52"/>
  <c r="P18" i="52"/>
  <c r="Q63" i="52"/>
  <c r="P63" i="52"/>
  <c r="Q48" i="52"/>
  <c r="P48" i="52"/>
  <c r="Q6" i="52"/>
  <c r="P6" i="52"/>
  <c r="AD2" i="52"/>
  <c r="N6" i="51" s="1"/>
  <c r="AF16" i="52"/>
  <c r="AF21" i="52"/>
  <c r="AE21" i="52"/>
  <c r="AE44" i="52"/>
  <c r="N44" i="52"/>
  <c r="N54" i="52"/>
  <c r="AF54" i="52"/>
  <c r="Q15" i="52"/>
  <c r="P15" i="52"/>
  <c r="AF46" i="52"/>
  <c r="AE46" i="52"/>
  <c r="M56" i="52"/>
  <c r="N9" i="52"/>
  <c r="AF9" i="52"/>
  <c r="AF20" i="52"/>
  <c r="AE20" i="52"/>
  <c r="M29" i="52"/>
  <c r="AF23" i="52"/>
  <c r="AE23" i="52"/>
  <c r="N31" i="52"/>
  <c r="AF31" i="52"/>
  <c r="AF40" i="52"/>
  <c r="Q42" i="52"/>
  <c r="P42" i="52"/>
  <c r="N53" i="52"/>
  <c r="AE53" i="52"/>
  <c r="AF53" i="52"/>
  <c r="Q55" i="52"/>
  <c r="AE58" i="52"/>
  <c r="N70" i="52"/>
  <c r="AF70" i="52"/>
  <c r="AF76" i="52"/>
  <c r="AE78" i="52"/>
  <c r="N78" i="52"/>
  <c r="M81" i="52"/>
  <c r="AF15" i="52"/>
  <c r="N17" i="52"/>
  <c r="AF25" i="52"/>
  <c r="AE25" i="52"/>
  <c r="N28" i="52"/>
  <c r="AF28" i="52"/>
  <c r="AE40" i="52"/>
  <c r="Q43" i="52"/>
  <c r="Q58" i="52"/>
  <c r="P58" i="52"/>
  <c r="AF73" i="52"/>
  <c r="AE76" i="52"/>
  <c r="Q14" i="52"/>
  <c r="P14" i="52"/>
  <c r="Q20" i="52"/>
  <c r="P20" i="52"/>
  <c r="M45" i="52"/>
  <c r="P52" i="52"/>
  <c r="AF58" i="52"/>
  <c r="AE60" i="52"/>
  <c r="N60" i="52"/>
  <c r="Q40" i="52"/>
  <c r="P40" i="52"/>
  <c r="N46" i="52"/>
  <c r="M22" i="52"/>
  <c r="M37" i="52"/>
  <c r="N30" i="52"/>
  <c r="AF30" i="52"/>
  <c r="Q36" i="52"/>
  <c r="P36" i="52"/>
  <c r="AF7" i="52"/>
  <c r="AE7" i="52"/>
  <c r="N11" i="52"/>
  <c r="M13" i="52"/>
  <c r="F6" i="51"/>
  <c r="G6" i="51"/>
  <c r="AF14" i="52"/>
  <c r="AF17" i="52"/>
  <c r="P23" i="52"/>
  <c r="AE36" i="52"/>
  <c r="Q38" i="52"/>
  <c r="Q39" i="52"/>
  <c r="P39" i="52"/>
  <c r="AF47" i="52"/>
  <c r="AE47" i="52"/>
  <c r="AE55" i="52"/>
  <c r="M67" i="52"/>
  <c r="N57" i="52"/>
  <c r="AF62" i="52"/>
  <c r="AE62" i="52"/>
  <c r="AE72" i="52"/>
  <c r="AE75" i="52"/>
  <c r="Q21" i="52"/>
  <c r="P25" i="52"/>
  <c r="N32" i="52"/>
  <c r="AF32" i="52"/>
  <c r="AF61" i="52"/>
  <c r="AE61" i="52"/>
  <c r="Q79" i="52"/>
  <c r="P79" i="52"/>
  <c r="N61" i="52"/>
  <c r="Q73" i="52"/>
  <c r="P73" i="52"/>
  <c r="Q16" i="52"/>
  <c r="P16" i="52"/>
  <c r="N27" i="52"/>
  <c r="AF27" i="52"/>
  <c r="AE27" i="52"/>
  <c r="AF66" i="52"/>
  <c r="AE66" i="52"/>
  <c r="Q72" i="52"/>
  <c r="P72" i="52"/>
  <c r="N7" i="52"/>
  <c r="AE11" i="52"/>
  <c r="P19" i="52"/>
  <c r="AE33" i="52"/>
  <c r="AF36" i="52"/>
  <c r="AE39" i="52"/>
  <c r="Q41" i="52"/>
  <c r="N47" i="52"/>
  <c r="AF55" i="52"/>
  <c r="AE57" i="52"/>
  <c r="N62" i="52"/>
  <c r="AF72" i="52"/>
  <c r="AF75" i="52"/>
  <c r="Q77" i="52"/>
  <c r="AF78" i="52"/>
  <c r="AF6" i="52"/>
  <c r="AE6" i="52"/>
  <c r="D19" i="51"/>
  <c r="Z2" i="52"/>
  <c r="L6" i="51" s="1"/>
  <c r="AF18" i="52"/>
  <c r="AE18" i="52"/>
  <c r="N26" i="52"/>
  <c r="AF26" i="52"/>
  <c r="AF49" i="52"/>
  <c r="AE49" i="52"/>
  <c r="AF64" i="52"/>
  <c r="AE64" i="52"/>
  <c r="AE80" i="52"/>
  <c r="N80" i="52"/>
  <c r="AF24" i="52"/>
  <c r="AE24" i="52"/>
  <c r="AE32" i="52"/>
  <c r="AF5" i="52"/>
  <c r="M10" i="52"/>
  <c r="AE5" i="52"/>
  <c r="AE15" i="52"/>
  <c r="P21" i="52"/>
  <c r="N24" i="52"/>
  <c r="N34" i="52"/>
  <c r="AF34" i="52"/>
  <c r="AF48" i="52"/>
  <c r="AE48" i="52"/>
  <c r="AF63" i="52"/>
  <c r="AE63" i="52"/>
  <c r="N68" i="52"/>
  <c r="AE68" i="52"/>
  <c r="AF68" i="52"/>
  <c r="AE73" i="52"/>
  <c r="Q75" i="52"/>
  <c r="P75" i="52"/>
  <c r="Q76" i="52"/>
  <c r="P76" i="52"/>
  <c r="AF80" i="52"/>
  <c r="AF8" i="52"/>
  <c r="AE8" i="52"/>
  <c r="D18" i="51"/>
  <c r="Y2" i="52"/>
  <c r="K6" i="51" s="1"/>
  <c r="AF11" i="52"/>
  <c r="AE30" i="52"/>
  <c r="AF33" i="52"/>
  <c r="Q35" i="52"/>
  <c r="AF39" i="52"/>
  <c r="N51" i="52"/>
  <c r="AF51" i="52"/>
  <c r="AE51" i="52"/>
  <c r="AF57" i="52"/>
  <c r="Q59" i="52"/>
  <c r="AF60" i="52"/>
  <c r="N69" i="52"/>
  <c r="AE69" i="52"/>
  <c r="AF69" i="52"/>
  <c r="Q71" i="52"/>
  <c r="P38" i="52"/>
  <c r="P41" i="52"/>
  <c r="P43" i="52"/>
  <c r="P59" i="52"/>
  <c r="AE65" i="52"/>
  <c r="P77" i="52"/>
  <c r="AD83" i="48"/>
  <c r="Z83" i="48"/>
  <c r="Y83" i="48"/>
  <c r="O83" i="48"/>
  <c r="K83" i="48"/>
  <c r="V82" i="48"/>
  <c r="M82" i="48" s="1"/>
  <c r="N82" i="48" s="1"/>
  <c r="Q82" i="48" s="1"/>
  <c r="U82" i="48"/>
  <c r="O82" i="48"/>
  <c r="K82" i="48"/>
  <c r="G82" i="48"/>
  <c r="X81" i="48"/>
  <c r="W81" i="48"/>
  <c r="V81" i="48"/>
  <c r="M81" i="48" s="1"/>
  <c r="U81" i="48"/>
  <c r="O81" i="48"/>
  <c r="K81" i="48"/>
  <c r="G81" i="48"/>
  <c r="AF80" i="48"/>
  <c r="AE80" i="48"/>
  <c r="V80" i="48"/>
  <c r="M80" i="48" s="1"/>
  <c r="N80" i="48" s="1"/>
  <c r="U80" i="48"/>
  <c r="Q80" i="48"/>
  <c r="O80" i="48"/>
  <c r="K80" i="48"/>
  <c r="G80" i="48"/>
  <c r="V79" i="48"/>
  <c r="M79" i="48" s="1"/>
  <c r="U79" i="48"/>
  <c r="O79" i="48"/>
  <c r="K79" i="48"/>
  <c r="G79" i="48"/>
  <c r="V78" i="48"/>
  <c r="U78" i="48"/>
  <c r="O78" i="48"/>
  <c r="M78" i="48"/>
  <c r="N78" i="48" s="1"/>
  <c r="K78" i="48"/>
  <c r="G78" i="48"/>
  <c r="X77" i="48"/>
  <c r="W77" i="48"/>
  <c r="V77" i="48"/>
  <c r="O77" i="48"/>
  <c r="M77" i="48"/>
  <c r="N77" i="48" s="1"/>
  <c r="Q77" i="48" s="1"/>
  <c r="K77" i="48"/>
  <c r="G77" i="48"/>
  <c r="AD76" i="48"/>
  <c r="J21" i="47" s="1"/>
  <c r="Z76" i="48"/>
  <c r="J19" i="47" s="1"/>
  <c r="Y76" i="48"/>
  <c r="J18" i="47" s="1"/>
  <c r="O76" i="48"/>
  <c r="K76" i="48"/>
  <c r="AF75" i="48"/>
  <c r="AE75" i="48"/>
  <c r="V75" i="48"/>
  <c r="M75" i="48" s="1"/>
  <c r="N75" i="48" s="1"/>
  <c r="P75" i="48" s="1"/>
  <c r="U75" i="48"/>
  <c r="Q75" i="48"/>
  <c r="O75" i="48"/>
  <c r="K75" i="48"/>
  <c r="G75" i="48"/>
  <c r="V74" i="48"/>
  <c r="M74" i="48" s="1"/>
  <c r="AE74" i="48" s="1"/>
  <c r="U74" i="48"/>
  <c r="O74" i="48"/>
  <c r="K74" i="48"/>
  <c r="G74" i="48"/>
  <c r="AF73" i="48"/>
  <c r="AE73" i="48"/>
  <c r="V73" i="48"/>
  <c r="M73" i="48" s="1"/>
  <c r="N73" i="48" s="1"/>
  <c r="U73" i="48"/>
  <c r="Q73" i="48"/>
  <c r="O73" i="48"/>
  <c r="K73" i="48"/>
  <c r="G73" i="48"/>
  <c r="AE72" i="48"/>
  <c r="V72" i="48"/>
  <c r="U72" i="48"/>
  <c r="O72" i="48"/>
  <c r="M72" i="48"/>
  <c r="AF72" i="48" s="1"/>
  <c r="K72" i="48"/>
  <c r="G72" i="48"/>
  <c r="AF71" i="48"/>
  <c r="V71" i="48"/>
  <c r="U71" i="48"/>
  <c r="O71" i="48"/>
  <c r="M71" i="48"/>
  <c r="N71" i="48" s="1"/>
  <c r="K71" i="48"/>
  <c r="G71" i="48"/>
  <c r="V70" i="48"/>
  <c r="O70" i="48"/>
  <c r="M70" i="48"/>
  <c r="N70" i="48" s="1"/>
  <c r="Q70" i="48" s="1"/>
  <c r="K70" i="48"/>
  <c r="G70" i="48"/>
  <c r="AD69" i="48"/>
  <c r="Z69" i="48"/>
  <c r="Y69" i="48"/>
  <c r="O69" i="48"/>
  <c r="K69" i="48"/>
  <c r="V68" i="48"/>
  <c r="U68" i="48"/>
  <c r="O68" i="48"/>
  <c r="M68" i="48"/>
  <c r="AF68" i="48" s="1"/>
  <c r="K68" i="48"/>
  <c r="G68" i="48"/>
  <c r="V67" i="48"/>
  <c r="M67" i="48" s="1"/>
  <c r="AF67" i="48" s="1"/>
  <c r="U67" i="48"/>
  <c r="O67" i="48"/>
  <c r="K67" i="48"/>
  <c r="G67" i="48"/>
  <c r="X66" i="48"/>
  <c r="W66" i="48"/>
  <c r="V66" i="48"/>
  <c r="M66" i="48" s="1"/>
  <c r="N66" i="48" s="1"/>
  <c r="U66" i="48"/>
  <c r="O66" i="48"/>
  <c r="K66" i="48"/>
  <c r="Q66" i="48" s="1"/>
  <c r="G66" i="48"/>
  <c r="V65" i="48"/>
  <c r="M65" i="48" s="1"/>
  <c r="N65" i="48" s="1"/>
  <c r="U65" i="48"/>
  <c r="O65" i="48"/>
  <c r="K65" i="48"/>
  <c r="G65" i="48"/>
  <c r="V64" i="48"/>
  <c r="M64" i="48" s="1"/>
  <c r="U64" i="48"/>
  <c r="O64" i="48"/>
  <c r="K64" i="48"/>
  <c r="G64" i="48"/>
  <c r="V63" i="48"/>
  <c r="M63" i="48" s="1"/>
  <c r="U63" i="48"/>
  <c r="O63" i="48"/>
  <c r="K63" i="48"/>
  <c r="G63" i="48"/>
  <c r="V62" i="48"/>
  <c r="M62" i="48" s="1"/>
  <c r="U62" i="48"/>
  <c r="O62" i="48"/>
  <c r="K62" i="48"/>
  <c r="G62" i="48"/>
  <c r="V61" i="48"/>
  <c r="U61" i="48"/>
  <c r="O61" i="48"/>
  <c r="M61" i="48"/>
  <c r="N61" i="48" s="1"/>
  <c r="P61" i="48" s="1"/>
  <c r="K61" i="48"/>
  <c r="G61" i="48"/>
  <c r="V60" i="48"/>
  <c r="U60" i="48"/>
  <c r="O60" i="48"/>
  <c r="M60" i="48"/>
  <c r="AF60" i="48" s="1"/>
  <c r="K60" i="48"/>
  <c r="G60" i="48"/>
  <c r="AF59" i="48"/>
  <c r="AE59" i="48"/>
  <c r="V59" i="48"/>
  <c r="M59" i="48" s="1"/>
  <c r="U59" i="48"/>
  <c r="O59" i="48"/>
  <c r="N59" i="48"/>
  <c r="Q59" i="48" s="1"/>
  <c r="K59" i="48"/>
  <c r="P59" i="48" s="1"/>
  <c r="G59" i="48"/>
  <c r="AE58" i="48"/>
  <c r="V58" i="48"/>
  <c r="O58" i="48"/>
  <c r="M58" i="48"/>
  <c r="K58" i="48"/>
  <c r="G58" i="48"/>
  <c r="AD57" i="48"/>
  <c r="H21" i="47" s="1"/>
  <c r="Z57" i="48"/>
  <c r="H19" i="47" s="1"/>
  <c r="Y57" i="48"/>
  <c r="O57" i="48"/>
  <c r="K57" i="48"/>
  <c r="V56" i="48"/>
  <c r="M56" i="48" s="1"/>
  <c r="U56" i="48"/>
  <c r="O56" i="48"/>
  <c r="K56" i="48"/>
  <c r="G56" i="48"/>
  <c r="AF55" i="48"/>
  <c r="AE55" i="48"/>
  <c r="V55" i="48"/>
  <c r="U55" i="48"/>
  <c r="O55" i="48"/>
  <c r="M55" i="48"/>
  <c r="N55" i="48" s="1"/>
  <c r="K55" i="48"/>
  <c r="G55" i="48"/>
  <c r="V54" i="48"/>
  <c r="M54" i="48" s="1"/>
  <c r="U54" i="48"/>
  <c r="O54" i="48"/>
  <c r="K54" i="48"/>
  <c r="G54" i="48"/>
  <c r="AF53" i="48"/>
  <c r="V53" i="48"/>
  <c r="U53" i="48"/>
  <c r="O53" i="48"/>
  <c r="M53" i="48"/>
  <c r="AE53" i="48" s="1"/>
  <c r="K53" i="48"/>
  <c r="G53" i="48"/>
  <c r="V52" i="48"/>
  <c r="U52" i="48"/>
  <c r="O52" i="48"/>
  <c r="M52" i="48"/>
  <c r="N52" i="48" s="1"/>
  <c r="Q52" i="48" s="1"/>
  <c r="K52" i="48"/>
  <c r="G52" i="48"/>
  <c r="X51" i="48"/>
  <c r="W51" i="48"/>
  <c r="V51" i="48"/>
  <c r="M51" i="48" s="1"/>
  <c r="U51" i="48"/>
  <c r="O51" i="48"/>
  <c r="K51" i="48"/>
  <c r="G51" i="48"/>
  <c r="AF50" i="48"/>
  <c r="AE50" i="48"/>
  <c r="V50" i="48"/>
  <c r="M50" i="48" s="1"/>
  <c r="N50" i="48" s="1"/>
  <c r="Q50" i="48" s="1"/>
  <c r="U50" i="48"/>
  <c r="P50" i="48"/>
  <c r="O50" i="48"/>
  <c r="K50" i="48"/>
  <c r="G50" i="48"/>
  <c r="AE49" i="48"/>
  <c r="V49" i="48"/>
  <c r="U49" i="48"/>
  <c r="O49" i="48"/>
  <c r="M49" i="48"/>
  <c r="N49" i="48" s="1"/>
  <c r="K49" i="48"/>
  <c r="G49" i="48"/>
  <c r="AF48" i="48"/>
  <c r="AE48" i="48"/>
  <c r="V48" i="48"/>
  <c r="M48" i="48" s="1"/>
  <c r="N48" i="48" s="1"/>
  <c r="U48" i="48"/>
  <c r="O48" i="48"/>
  <c r="K48" i="48"/>
  <c r="G48" i="48"/>
  <c r="V47" i="48"/>
  <c r="M47" i="48" s="1"/>
  <c r="U47" i="48"/>
  <c r="O47" i="48"/>
  <c r="K47" i="48"/>
  <c r="G47" i="48"/>
  <c r="AF46" i="48"/>
  <c r="V46" i="48"/>
  <c r="O46" i="48"/>
  <c r="M46" i="48"/>
  <c r="N46" i="48" s="1"/>
  <c r="K46" i="48"/>
  <c r="G46" i="48"/>
  <c r="AD45" i="48"/>
  <c r="L21" i="47" s="1"/>
  <c r="Z45" i="48"/>
  <c r="Y45" i="48"/>
  <c r="L18" i="47" s="1"/>
  <c r="O45" i="48"/>
  <c r="K45" i="48"/>
  <c r="V44" i="48"/>
  <c r="U44" i="48"/>
  <c r="O44" i="48"/>
  <c r="M44" i="48"/>
  <c r="AF44" i="48" s="1"/>
  <c r="K44" i="48"/>
  <c r="G44" i="48"/>
  <c r="AF43" i="48"/>
  <c r="AE43" i="48"/>
  <c r="V43" i="48"/>
  <c r="M43" i="48" s="1"/>
  <c r="U43" i="48"/>
  <c r="Q43" i="48"/>
  <c r="O43" i="48"/>
  <c r="N43" i="48"/>
  <c r="K43" i="48"/>
  <c r="P43" i="48" s="1"/>
  <c r="G43" i="48"/>
  <c r="X42" i="48"/>
  <c r="W42" i="48"/>
  <c r="V42" i="48"/>
  <c r="M42" i="48" s="1"/>
  <c r="N42" i="48" s="1"/>
  <c r="U42" i="48"/>
  <c r="O42" i="48"/>
  <c r="K42" i="48"/>
  <c r="G42" i="48"/>
  <c r="V41" i="48"/>
  <c r="M41" i="48" s="1"/>
  <c r="N41" i="48" s="1"/>
  <c r="U41" i="48"/>
  <c r="O41" i="48"/>
  <c r="K41" i="48"/>
  <c r="G41" i="48"/>
  <c r="V40" i="48"/>
  <c r="U40" i="48"/>
  <c r="O40" i="48"/>
  <c r="M40" i="48"/>
  <c r="N40" i="48" s="1"/>
  <c r="K40" i="48"/>
  <c r="G40" i="48"/>
  <c r="AE39" i="48"/>
  <c r="V39" i="48"/>
  <c r="U39" i="48"/>
  <c r="O39" i="48"/>
  <c r="N39" i="48"/>
  <c r="M39" i="48"/>
  <c r="AF39" i="48" s="1"/>
  <c r="K39" i="48"/>
  <c r="G39" i="48"/>
  <c r="X38" i="48"/>
  <c r="W38" i="48"/>
  <c r="V38" i="48"/>
  <c r="M38" i="48" s="1"/>
  <c r="N38" i="48" s="1"/>
  <c r="O38" i="48"/>
  <c r="K38" i="48"/>
  <c r="G38" i="48"/>
  <c r="AD37" i="48"/>
  <c r="K21" i="47" s="1"/>
  <c r="Z37" i="48"/>
  <c r="K19" i="47" s="1"/>
  <c r="Y37" i="48"/>
  <c r="K18" i="47" s="1"/>
  <c r="O37" i="48"/>
  <c r="K37" i="48"/>
  <c r="V36" i="48"/>
  <c r="M36" i="48" s="1"/>
  <c r="N36" i="48" s="1"/>
  <c r="Q36" i="48" s="1"/>
  <c r="U36" i="48"/>
  <c r="P36" i="48"/>
  <c r="O36" i="48"/>
  <c r="K36" i="48"/>
  <c r="G36" i="48"/>
  <c r="V35" i="48"/>
  <c r="U35" i="48"/>
  <c r="O35" i="48"/>
  <c r="N35" i="48"/>
  <c r="M35" i="48"/>
  <c r="AF35" i="48" s="1"/>
  <c r="K35" i="48"/>
  <c r="G35" i="48"/>
  <c r="X34" i="48"/>
  <c r="W34" i="48"/>
  <c r="V34" i="48"/>
  <c r="M34" i="48" s="1"/>
  <c r="U34" i="48"/>
  <c r="O34" i="48"/>
  <c r="K34" i="48"/>
  <c r="G34" i="48"/>
  <c r="V33" i="48"/>
  <c r="M33" i="48" s="1"/>
  <c r="N33" i="48" s="1"/>
  <c r="Q33" i="48" s="1"/>
  <c r="U33" i="48"/>
  <c r="O33" i="48"/>
  <c r="K33" i="48"/>
  <c r="G33" i="48"/>
  <c r="V32" i="48"/>
  <c r="U32" i="48"/>
  <c r="O32" i="48"/>
  <c r="M32" i="48"/>
  <c r="N32" i="48" s="1"/>
  <c r="Q32" i="48" s="1"/>
  <c r="K32" i="48"/>
  <c r="G32" i="48"/>
  <c r="V31" i="48"/>
  <c r="U31" i="48"/>
  <c r="O31" i="48"/>
  <c r="M31" i="48"/>
  <c r="AF31" i="48" s="1"/>
  <c r="K31" i="48"/>
  <c r="G31" i="48"/>
  <c r="X30" i="48"/>
  <c r="W30" i="48"/>
  <c r="V30" i="48"/>
  <c r="O30" i="48"/>
  <c r="N30" i="48"/>
  <c r="M30" i="48"/>
  <c r="K30" i="48"/>
  <c r="G30" i="48"/>
  <c r="AD29" i="48"/>
  <c r="G21" i="47" s="1"/>
  <c r="Z29" i="48"/>
  <c r="G19" i="47" s="1"/>
  <c r="Y29" i="48"/>
  <c r="O29" i="48"/>
  <c r="K29" i="48"/>
  <c r="V28" i="48"/>
  <c r="M28" i="48" s="1"/>
  <c r="U28" i="48"/>
  <c r="O28" i="48"/>
  <c r="K28" i="48"/>
  <c r="G28" i="48"/>
  <c r="X27" i="48"/>
  <c r="W27" i="48"/>
  <c r="V27" i="48"/>
  <c r="U27" i="48"/>
  <c r="O27" i="48"/>
  <c r="M27" i="48"/>
  <c r="AF27" i="48" s="1"/>
  <c r="K27" i="48"/>
  <c r="G27" i="48"/>
  <c r="V26" i="48"/>
  <c r="M26" i="48" s="1"/>
  <c r="U26" i="48"/>
  <c r="O26" i="48"/>
  <c r="K26" i="48"/>
  <c r="G26" i="48"/>
  <c r="V25" i="48"/>
  <c r="U25" i="48"/>
  <c r="O25" i="48"/>
  <c r="M25" i="48"/>
  <c r="AF25" i="48" s="1"/>
  <c r="K25" i="48"/>
  <c r="G25" i="48"/>
  <c r="AF24" i="48"/>
  <c r="AE24" i="48"/>
  <c r="V24" i="48"/>
  <c r="M24" i="48" s="1"/>
  <c r="N24" i="48" s="1"/>
  <c r="U24" i="48"/>
  <c r="Q24" i="48"/>
  <c r="P24" i="48"/>
  <c r="O24" i="48"/>
  <c r="K24" i="48"/>
  <c r="G24" i="48"/>
  <c r="V23" i="48"/>
  <c r="O23" i="48"/>
  <c r="N23" i="48"/>
  <c r="M23" i="48"/>
  <c r="AE23" i="48" s="1"/>
  <c r="K23" i="48"/>
  <c r="G23" i="48"/>
  <c r="AD22" i="48"/>
  <c r="AD2" i="48" s="1"/>
  <c r="N6" i="47" s="1"/>
  <c r="Z22" i="48"/>
  <c r="Y22" i="48"/>
  <c r="F18" i="47" s="1"/>
  <c r="O22" i="48"/>
  <c r="K22" i="48"/>
  <c r="V21" i="48"/>
  <c r="M21" i="48" s="1"/>
  <c r="U21" i="48"/>
  <c r="O21" i="48"/>
  <c r="K21" i="48"/>
  <c r="G21" i="48"/>
  <c r="V20" i="48"/>
  <c r="M20" i="48" s="1"/>
  <c r="U20" i="48"/>
  <c r="O20" i="48"/>
  <c r="K20" i="48"/>
  <c r="G20" i="48"/>
  <c r="X19" i="48"/>
  <c r="W19" i="48"/>
  <c r="V19" i="48"/>
  <c r="U19" i="48"/>
  <c r="O19" i="48"/>
  <c r="M19" i="48"/>
  <c r="N19" i="48" s="1"/>
  <c r="Q19" i="48" s="1"/>
  <c r="K19" i="48"/>
  <c r="G19" i="48"/>
  <c r="V18" i="48"/>
  <c r="M18" i="48" s="1"/>
  <c r="AF18" i="48" s="1"/>
  <c r="U18" i="48"/>
  <c r="O18" i="48"/>
  <c r="K18" i="48"/>
  <c r="G18" i="48"/>
  <c r="AF17" i="48"/>
  <c r="V17" i="48"/>
  <c r="M17" i="48" s="1"/>
  <c r="N17" i="48" s="1"/>
  <c r="Q17" i="48" s="1"/>
  <c r="U17" i="48"/>
  <c r="O17" i="48"/>
  <c r="K17" i="48"/>
  <c r="G17" i="48"/>
  <c r="V16" i="48"/>
  <c r="M16" i="48" s="1"/>
  <c r="U16" i="48"/>
  <c r="O16" i="48"/>
  <c r="K16" i="48"/>
  <c r="G16" i="48"/>
  <c r="V15" i="48"/>
  <c r="M15" i="48" s="1"/>
  <c r="N15" i="48" s="1"/>
  <c r="P15" i="48" s="1"/>
  <c r="U15" i="48"/>
  <c r="Q15" i="48"/>
  <c r="O15" i="48"/>
  <c r="K15" i="48"/>
  <c r="G15" i="48"/>
  <c r="V14" i="48"/>
  <c r="M14" i="48" s="1"/>
  <c r="O14" i="48"/>
  <c r="K14" i="48"/>
  <c r="G14" i="48"/>
  <c r="AD13" i="48"/>
  <c r="E21" i="47" s="1"/>
  <c r="Z13" i="48"/>
  <c r="Y13" i="48"/>
  <c r="O13" i="48"/>
  <c r="K13" i="48"/>
  <c r="V12" i="48"/>
  <c r="M12" i="48" s="1"/>
  <c r="N12" i="48" s="1"/>
  <c r="P12" i="48" s="1"/>
  <c r="U12" i="48"/>
  <c r="O12" i="48"/>
  <c r="K12" i="48"/>
  <c r="G12" i="48"/>
  <c r="V11" i="48"/>
  <c r="O11" i="48"/>
  <c r="M11" i="48"/>
  <c r="AF11" i="48" s="1"/>
  <c r="K11" i="48"/>
  <c r="G11" i="48"/>
  <c r="AD10" i="48"/>
  <c r="Z10" i="48"/>
  <c r="D19" i="47" s="1"/>
  <c r="Y10" i="48"/>
  <c r="O10" i="48"/>
  <c r="K10" i="48"/>
  <c r="V9" i="48"/>
  <c r="M9" i="48" s="1"/>
  <c r="U9" i="48"/>
  <c r="O9" i="48"/>
  <c r="K9" i="48"/>
  <c r="G9" i="48"/>
  <c r="V8" i="48"/>
  <c r="M8" i="48" s="1"/>
  <c r="N8" i="48" s="1"/>
  <c r="Q8" i="48" s="1"/>
  <c r="U8" i="48"/>
  <c r="O8" i="48"/>
  <c r="K8" i="48"/>
  <c r="P8" i="48" s="1"/>
  <c r="G8" i="48"/>
  <c r="V7" i="48"/>
  <c r="U7" i="48"/>
  <c r="O7" i="48"/>
  <c r="N7" i="48"/>
  <c r="M7" i="48"/>
  <c r="AF7" i="48" s="1"/>
  <c r="K7" i="48"/>
  <c r="G7" i="48"/>
  <c r="AF6" i="48"/>
  <c r="V6" i="48"/>
  <c r="M6" i="48" s="1"/>
  <c r="N6" i="48" s="1"/>
  <c r="U6" i="48"/>
  <c r="O6" i="48"/>
  <c r="K6" i="48"/>
  <c r="G6" i="48"/>
  <c r="F1" i="48" s="1"/>
  <c r="V5" i="48"/>
  <c r="M5" i="48" s="1"/>
  <c r="O5" i="48"/>
  <c r="K5" i="48"/>
  <c r="G5" i="48"/>
  <c r="H2" i="48"/>
  <c r="H1" i="48"/>
  <c r="D1" i="48"/>
  <c r="M22" i="47"/>
  <c r="L22" i="47"/>
  <c r="K22" i="47"/>
  <c r="J22" i="47"/>
  <c r="I22" i="47"/>
  <c r="H22" i="47"/>
  <c r="G22" i="47"/>
  <c r="F22" i="47"/>
  <c r="E22" i="47"/>
  <c r="D22" i="47"/>
  <c r="M21" i="47"/>
  <c r="I21" i="47"/>
  <c r="D21" i="47"/>
  <c r="M20" i="47"/>
  <c r="L20" i="47"/>
  <c r="K20" i="47"/>
  <c r="J20" i="47"/>
  <c r="I20" i="47"/>
  <c r="H20" i="47"/>
  <c r="G20" i="47"/>
  <c r="F20" i="47"/>
  <c r="E20" i="47"/>
  <c r="D20" i="47"/>
  <c r="M19" i="47"/>
  <c r="L19" i="47"/>
  <c r="I19" i="47"/>
  <c r="F19" i="47"/>
  <c r="E19" i="47"/>
  <c r="M18" i="47"/>
  <c r="I18" i="47"/>
  <c r="H18" i="47"/>
  <c r="G18" i="47"/>
  <c r="E18" i="47"/>
  <c r="D18" i="47"/>
  <c r="M17" i="47"/>
  <c r="L17" i="47"/>
  <c r="K17" i="47"/>
  <c r="J17" i="47"/>
  <c r="I17" i="47"/>
  <c r="H17" i="47"/>
  <c r="G17" i="47"/>
  <c r="F17" i="47"/>
  <c r="E17" i="47"/>
  <c r="D17" i="47"/>
  <c r="M16" i="47"/>
  <c r="L16" i="47"/>
  <c r="K16" i="47"/>
  <c r="J16" i="47"/>
  <c r="I16" i="47"/>
  <c r="H16" i="47"/>
  <c r="G16" i="47"/>
  <c r="F16" i="47"/>
  <c r="E16" i="47"/>
  <c r="D16" i="47"/>
  <c r="M13" i="47"/>
  <c r="L13" i="47"/>
  <c r="K13" i="47"/>
  <c r="I6" i="47" s="1"/>
  <c r="J13" i="47"/>
  <c r="I13" i="47"/>
  <c r="H13" i="47"/>
  <c r="G13" i="47"/>
  <c r="F13" i="47"/>
  <c r="E13" i="47"/>
  <c r="D13" i="47"/>
  <c r="M6" i="47"/>
  <c r="F3" i="47"/>
  <c r="C3" i="47"/>
  <c r="N28" i="48" l="1"/>
  <c r="Q28" i="48" s="1"/>
  <c r="AF28" i="48"/>
  <c r="AE28" i="48"/>
  <c r="N64" i="48"/>
  <c r="AF64" i="48"/>
  <c r="AE64" i="48"/>
  <c r="M22" i="48"/>
  <c r="N22" i="48" s="1"/>
  <c r="AE16" i="48"/>
  <c r="AF26" i="48"/>
  <c r="N26" i="48"/>
  <c r="Q26" i="48" s="1"/>
  <c r="AE26" i="48"/>
  <c r="AF5" i="48"/>
  <c r="N5" i="48"/>
  <c r="P5" i="48" s="1"/>
  <c r="F2" i="48"/>
  <c r="I3" i="47"/>
  <c r="AF20" i="48"/>
  <c r="AE20" i="48"/>
  <c r="N20" i="48"/>
  <c r="Q40" i="48"/>
  <c r="P40" i="48"/>
  <c r="AE62" i="48"/>
  <c r="AF62" i="48"/>
  <c r="N62" i="48"/>
  <c r="AF34" i="48"/>
  <c r="AE34" i="48"/>
  <c r="N34" i="48"/>
  <c r="AF79" i="48"/>
  <c r="AE79" i="48"/>
  <c r="N79" i="48"/>
  <c r="AF21" i="48"/>
  <c r="AE21" i="48"/>
  <c r="N21" i="48"/>
  <c r="Q21" i="48" s="1"/>
  <c r="AF14" i="48"/>
  <c r="AE14" i="48"/>
  <c r="N14" i="48"/>
  <c r="N47" i="48"/>
  <c r="AF47" i="48"/>
  <c r="AE47" i="48"/>
  <c r="N56" i="48"/>
  <c r="P56" i="48" s="1"/>
  <c r="AF56" i="48"/>
  <c r="AE56" i="48"/>
  <c r="Q38" i="48"/>
  <c r="P38" i="48"/>
  <c r="AE63" i="48"/>
  <c r="AF63" i="48"/>
  <c r="N63" i="48"/>
  <c r="AE54" i="48"/>
  <c r="AF54" i="48"/>
  <c r="N54" i="48"/>
  <c r="Q54" i="48" s="1"/>
  <c r="F21" i="47"/>
  <c r="AE7" i="48"/>
  <c r="AF23" i="48"/>
  <c r="AE35" i="48"/>
  <c r="M45" i="48"/>
  <c r="N45" i="48" s="1"/>
  <c r="L14" i="47" s="1"/>
  <c r="L15" i="47" s="1"/>
  <c r="N68" i="48"/>
  <c r="Q68" i="48" s="1"/>
  <c r="AE40" i="48"/>
  <c r="AF40" i="48"/>
  <c r="AE71" i="48"/>
  <c r="N11" i="48"/>
  <c r="N53" i="48"/>
  <c r="AE68" i="48"/>
  <c r="M29" i="48"/>
  <c r="N27" i="48"/>
  <c r="AE31" i="48"/>
  <c r="P66" i="48"/>
  <c r="N72" i="48"/>
  <c r="AE8" i="48"/>
  <c r="P17" i="48"/>
  <c r="AE36" i="48"/>
  <c r="AE41" i="48"/>
  <c r="AF8" i="48"/>
  <c r="AF36" i="48"/>
  <c r="AF41" i="48"/>
  <c r="AE66" i="48"/>
  <c r="AE6" i="48"/>
  <c r="AF66" i="48"/>
  <c r="AE17" i="48"/>
  <c r="N44" i="48"/>
  <c r="P80" i="48"/>
  <c r="AE27" i="48"/>
  <c r="Q65" i="52"/>
  <c r="P65" i="52"/>
  <c r="M13" i="48"/>
  <c r="AF13" i="48" s="1"/>
  <c r="AG11" i="48" s="1"/>
  <c r="AE15" i="48"/>
  <c r="AF49" i="48"/>
  <c r="N60" i="48"/>
  <c r="AE78" i="48"/>
  <c r="Q50" i="52"/>
  <c r="P50" i="52"/>
  <c r="Y2" i="48"/>
  <c r="K6" i="47" s="1"/>
  <c r="AF15" i="48"/>
  <c r="AF78" i="48"/>
  <c r="G6" i="47"/>
  <c r="Z2" i="48"/>
  <c r="L6" i="47" s="1"/>
  <c r="P73" i="48"/>
  <c r="G7" i="55"/>
  <c r="F8" i="55"/>
  <c r="G8" i="55"/>
  <c r="E7" i="55"/>
  <c r="F7" i="55"/>
  <c r="K15" i="55"/>
  <c r="I8" i="55" s="1"/>
  <c r="I7" i="55"/>
  <c r="L14" i="53"/>
  <c r="Q45" i="54"/>
  <c r="R38" i="54" s="1"/>
  <c r="P45" i="54"/>
  <c r="P13" i="54"/>
  <c r="Q13" i="54"/>
  <c r="R11" i="54" s="1"/>
  <c r="P22" i="54"/>
  <c r="Q22" i="54"/>
  <c r="R14" i="54" s="1"/>
  <c r="F14" i="53"/>
  <c r="F15" i="53" s="1"/>
  <c r="P29" i="54"/>
  <c r="G14" i="53"/>
  <c r="G15" i="53" s="1"/>
  <c r="Q29" i="54"/>
  <c r="R23" i="54" s="1"/>
  <c r="D2" i="54"/>
  <c r="Q10" i="54"/>
  <c r="R5" i="54" s="1"/>
  <c r="P10" i="54"/>
  <c r="D14" i="53"/>
  <c r="Q67" i="54"/>
  <c r="R57" i="54" s="1"/>
  <c r="P67" i="54"/>
  <c r="Q81" i="54"/>
  <c r="R75" i="54" s="1"/>
  <c r="P81" i="54"/>
  <c r="M14" i="53"/>
  <c r="M15" i="53" s="1"/>
  <c r="AE65" i="48"/>
  <c r="AF65" i="48"/>
  <c r="Q74" i="52"/>
  <c r="R68" i="52" s="1"/>
  <c r="P74" i="52"/>
  <c r="J14" i="51"/>
  <c r="J15" i="51" s="1"/>
  <c r="Q34" i="52"/>
  <c r="P34" i="52"/>
  <c r="Q24" i="52"/>
  <c r="P24" i="52"/>
  <c r="Q17" i="52"/>
  <c r="P17" i="52"/>
  <c r="P62" i="52"/>
  <c r="Q62" i="52"/>
  <c r="N10" i="52"/>
  <c r="AF10" i="52"/>
  <c r="AG5" i="52" s="1"/>
  <c r="AE10" i="52"/>
  <c r="Q26" i="52"/>
  <c r="P26" i="52"/>
  <c r="N13" i="52"/>
  <c r="AF13" i="52"/>
  <c r="AG11" i="52" s="1"/>
  <c r="AE13" i="52"/>
  <c r="N37" i="52"/>
  <c r="AE37" i="52"/>
  <c r="AF37" i="52"/>
  <c r="AG30" i="52" s="1"/>
  <c r="N56" i="52"/>
  <c r="AE56" i="52"/>
  <c r="AF56" i="52"/>
  <c r="AG46" i="52" s="1"/>
  <c r="P69" i="52"/>
  <c r="Q69" i="52"/>
  <c r="Q68" i="52"/>
  <c r="P68" i="52"/>
  <c r="P11" i="52"/>
  <c r="Q11" i="52"/>
  <c r="Q60" i="52"/>
  <c r="P60" i="52"/>
  <c r="Q31" i="52"/>
  <c r="P31" i="52"/>
  <c r="P47" i="52"/>
  <c r="Q47" i="52"/>
  <c r="Q51" i="52"/>
  <c r="P51" i="52"/>
  <c r="P30" i="52"/>
  <c r="Q30" i="52"/>
  <c r="AF22" i="52"/>
  <c r="AG14" i="52" s="1"/>
  <c r="AE22" i="52"/>
  <c r="N22" i="52"/>
  <c r="AF81" i="52"/>
  <c r="AG75" i="52" s="1"/>
  <c r="AE81" i="52"/>
  <c r="N81" i="52"/>
  <c r="N67" i="52"/>
  <c r="AF67" i="52"/>
  <c r="AG57" i="52" s="1"/>
  <c r="AE67" i="52"/>
  <c r="P32" i="52"/>
  <c r="Q32" i="52"/>
  <c r="Q70" i="52"/>
  <c r="P70" i="52"/>
  <c r="Q54" i="52"/>
  <c r="P54" i="52"/>
  <c r="Q53" i="52"/>
  <c r="P53" i="52"/>
  <c r="Q61" i="52"/>
  <c r="P61" i="52"/>
  <c r="P27" i="52"/>
  <c r="Q27" i="52"/>
  <c r="N29" i="52"/>
  <c r="AF29" i="52"/>
  <c r="AG23" i="52" s="1"/>
  <c r="AE29" i="52"/>
  <c r="Q44" i="52"/>
  <c r="P44" i="52"/>
  <c r="Q9" i="52"/>
  <c r="P9" i="52"/>
  <c r="P7" i="52"/>
  <c r="Q7" i="52"/>
  <c r="Q57" i="52"/>
  <c r="P57" i="52"/>
  <c r="Q80" i="52"/>
  <c r="P80" i="52"/>
  <c r="AF45" i="52"/>
  <c r="AG38" i="52" s="1"/>
  <c r="AE45" i="52"/>
  <c r="N45" i="52"/>
  <c r="P28" i="52"/>
  <c r="Q28" i="52"/>
  <c r="P46" i="52"/>
  <c r="Q46" i="52"/>
  <c r="Q78" i="52"/>
  <c r="P78" i="52"/>
  <c r="P54" i="48"/>
  <c r="P77" i="48"/>
  <c r="Q12" i="48"/>
  <c r="P19" i="48"/>
  <c r="P21" i="48"/>
  <c r="Q45" i="48"/>
  <c r="R38" i="48" s="1"/>
  <c r="Q61" i="48"/>
  <c r="P52" i="48"/>
  <c r="P32" i="48"/>
  <c r="P82" i="48"/>
  <c r="P26" i="48"/>
  <c r="N13" i="48"/>
  <c r="E14" i="47" s="1"/>
  <c r="E15" i="47" s="1"/>
  <c r="M37" i="48"/>
  <c r="AF37" i="48" s="1"/>
  <c r="AG30" i="48" s="1"/>
  <c r="P28" i="48"/>
  <c r="Q5" i="48"/>
  <c r="P68" i="48"/>
  <c r="E6" i="47"/>
  <c r="N31" i="48"/>
  <c r="P45" i="48"/>
  <c r="P70" i="48"/>
  <c r="AE13" i="48"/>
  <c r="P33" i="48"/>
  <c r="F6" i="47"/>
  <c r="M10" i="48"/>
  <c r="AE5" i="48"/>
  <c r="Q6" i="48"/>
  <c r="P6" i="48"/>
  <c r="Q7" i="48"/>
  <c r="P7" i="48"/>
  <c r="AF9" i="48"/>
  <c r="AE9" i="48"/>
  <c r="N9" i="48"/>
  <c r="AF12" i="48"/>
  <c r="AE12" i="48"/>
  <c r="AF16" i="48"/>
  <c r="N16" i="48"/>
  <c r="AF19" i="48"/>
  <c r="AE19" i="48"/>
  <c r="Q20" i="48"/>
  <c r="P20" i="48"/>
  <c r="Q23" i="48"/>
  <c r="P23" i="48"/>
  <c r="AF30" i="48"/>
  <c r="AE30" i="48"/>
  <c r="Q30" i="48"/>
  <c r="P30" i="48"/>
  <c r="AF32" i="48"/>
  <c r="AE32" i="48"/>
  <c r="AF33" i="48"/>
  <c r="AE33" i="48"/>
  <c r="Q34" i="48"/>
  <c r="P34" i="48"/>
  <c r="Q35" i="48"/>
  <c r="P35" i="48"/>
  <c r="AF38" i="48"/>
  <c r="AE38" i="48"/>
  <c r="Q39" i="48"/>
  <c r="P39" i="48"/>
  <c r="Q41" i="48"/>
  <c r="P41" i="48"/>
  <c r="AF42" i="48"/>
  <c r="AE42" i="48"/>
  <c r="Q42" i="48"/>
  <c r="P42" i="48"/>
  <c r="AF45" i="48"/>
  <c r="AG38" i="48" s="1"/>
  <c r="AE46" i="48"/>
  <c r="M57" i="48"/>
  <c r="Q46" i="48"/>
  <c r="P46" i="48"/>
  <c r="Q48" i="48"/>
  <c r="P48" i="48"/>
  <c r="Q49" i="48"/>
  <c r="P49" i="48"/>
  <c r="AF51" i="48"/>
  <c r="AE51" i="48"/>
  <c r="N51" i="48"/>
  <c r="AF52" i="48"/>
  <c r="AE52" i="48"/>
  <c r="Q53" i="48"/>
  <c r="P53" i="48"/>
  <c r="Q55" i="48"/>
  <c r="P55" i="48"/>
  <c r="Q56" i="48"/>
  <c r="AF58" i="48"/>
  <c r="M69" i="48"/>
  <c r="N69" i="48" s="1"/>
  <c r="N58" i="48"/>
  <c r="AF61" i="48"/>
  <c r="AE61" i="48"/>
  <c r="Q62" i="48"/>
  <c r="P62" i="48"/>
  <c r="Q64" i="48"/>
  <c r="P64" i="48"/>
  <c r="Q65" i="48"/>
  <c r="P65" i="48"/>
  <c r="AF70" i="48"/>
  <c r="AE70" i="48"/>
  <c r="M76" i="48"/>
  <c r="Q71" i="48"/>
  <c r="P71" i="48"/>
  <c r="Q72" i="48"/>
  <c r="P72" i="48"/>
  <c r="AF74" i="48"/>
  <c r="N74" i="48"/>
  <c r="M83" i="48"/>
  <c r="N83" i="48" s="1"/>
  <c r="AF77" i="48"/>
  <c r="AE77" i="48"/>
  <c r="Q78" i="48"/>
  <c r="P78" i="48"/>
  <c r="Q79" i="48"/>
  <c r="P79" i="48"/>
  <c r="AF81" i="48"/>
  <c r="AE81" i="48"/>
  <c r="N81" i="48"/>
  <c r="AF82" i="48"/>
  <c r="AE82" i="48"/>
  <c r="N18" i="48"/>
  <c r="N25" i="48"/>
  <c r="N67" i="48"/>
  <c r="AE18" i="48"/>
  <c r="AE25" i="48"/>
  <c r="AE67" i="48"/>
  <c r="AE11" i="48"/>
  <c r="AE44" i="48"/>
  <c r="AE60" i="48"/>
  <c r="AD75" i="46"/>
  <c r="Z75" i="46"/>
  <c r="Y75" i="46"/>
  <c r="O75" i="46"/>
  <c r="K75" i="46"/>
  <c r="V74" i="46"/>
  <c r="M74" i="46" s="1"/>
  <c r="U74" i="46"/>
  <c r="O74" i="46"/>
  <c r="K74" i="46"/>
  <c r="G74" i="46"/>
  <c r="V73" i="46"/>
  <c r="M73" i="46" s="1"/>
  <c r="U73" i="46"/>
  <c r="O73" i="46"/>
  <c r="K73" i="46"/>
  <c r="G73" i="46"/>
  <c r="V72" i="46"/>
  <c r="M72" i="46" s="1"/>
  <c r="U72" i="46"/>
  <c r="O72" i="46"/>
  <c r="K72" i="46"/>
  <c r="G72" i="46"/>
  <c r="V71" i="46"/>
  <c r="M71" i="46" s="1"/>
  <c r="U71" i="46"/>
  <c r="O71" i="46"/>
  <c r="K71" i="46"/>
  <c r="G71" i="46"/>
  <c r="X70" i="46"/>
  <c r="W70" i="46"/>
  <c r="V70" i="46"/>
  <c r="M70" i="46" s="1"/>
  <c r="O70" i="46"/>
  <c r="K70" i="46"/>
  <c r="G70" i="46"/>
  <c r="AD69" i="46"/>
  <c r="Z69" i="46"/>
  <c r="Y69" i="46"/>
  <c r="O69" i="46"/>
  <c r="K69" i="46"/>
  <c r="V68" i="46"/>
  <c r="M68" i="46" s="1"/>
  <c r="U68" i="46"/>
  <c r="O68" i="46"/>
  <c r="K68" i="46"/>
  <c r="G68" i="46"/>
  <c r="V67" i="46"/>
  <c r="U67" i="46"/>
  <c r="O67" i="46"/>
  <c r="M67" i="46"/>
  <c r="K67" i="46"/>
  <c r="G67" i="46"/>
  <c r="AE66" i="46"/>
  <c r="V66" i="46"/>
  <c r="U66" i="46"/>
  <c r="O66" i="46"/>
  <c r="M66" i="46"/>
  <c r="AF66" i="46" s="1"/>
  <c r="K66" i="46"/>
  <c r="G66" i="46"/>
  <c r="V65" i="46"/>
  <c r="U65" i="46"/>
  <c r="O65" i="46"/>
  <c r="M65" i="46"/>
  <c r="AF65" i="46" s="1"/>
  <c r="K65" i="46"/>
  <c r="G65" i="46"/>
  <c r="V64" i="46"/>
  <c r="M64" i="46" s="1"/>
  <c r="O64" i="46"/>
  <c r="K64" i="46"/>
  <c r="G64" i="46"/>
  <c r="AD63" i="46"/>
  <c r="Z63" i="46"/>
  <c r="Y63" i="46"/>
  <c r="O63" i="46"/>
  <c r="K63" i="46"/>
  <c r="V62" i="46"/>
  <c r="U62" i="46"/>
  <c r="O62" i="46"/>
  <c r="M62" i="46"/>
  <c r="AF62" i="46" s="1"/>
  <c r="K62" i="46"/>
  <c r="G62" i="46"/>
  <c r="AE61" i="46"/>
  <c r="X61" i="46"/>
  <c r="W61" i="46"/>
  <c r="V61" i="46"/>
  <c r="U61" i="46"/>
  <c r="Q61" i="46"/>
  <c r="O61" i="46"/>
  <c r="N61" i="46"/>
  <c r="P61" i="46" s="1"/>
  <c r="M61" i="46"/>
  <c r="AF61" i="46" s="1"/>
  <c r="K61" i="46"/>
  <c r="G61" i="46"/>
  <c r="V60" i="46"/>
  <c r="M60" i="46" s="1"/>
  <c r="N60" i="46" s="1"/>
  <c r="U60" i="46"/>
  <c r="O60" i="46"/>
  <c r="K60" i="46"/>
  <c r="G60" i="46"/>
  <c r="V59" i="46"/>
  <c r="U59" i="46"/>
  <c r="O59" i="46"/>
  <c r="M59" i="46"/>
  <c r="N59" i="46" s="1"/>
  <c r="P59" i="46" s="1"/>
  <c r="K59" i="46"/>
  <c r="G59" i="46"/>
  <c r="AF58" i="46"/>
  <c r="AE58" i="46"/>
  <c r="V58" i="46"/>
  <c r="U58" i="46"/>
  <c r="O58" i="46"/>
  <c r="M58" i="46"/>
  <c r="N58" i="46" s="1"/>
  <c r="K58" i="46"/>
  <c r="G58" i="46"/>
  <c r="V57" i="46"/>
  <c r="U57" i="46"/>
  <c r="O57" i="46"/>
  <c r="M57" i="46"/>
  <c r="N57" i="46" s="1"/>
  <c r="P57" i="46" s="1"/>
  <c r="K57" i="46"/>
  <c r="G57" i="46"/>
  <c r="AF56" i="46"/>
  <c r="AE56" i="46"/>
  <c r="V56" i="46"/>
  <c r="U56" i="46"/>
  <c r="Q56" i="46"/>
  <c r="P56" i="46"/>
  <c r="O56" i="46"/>
  <c r="N56" i="46"/>
  <c r="M56" i="46"/>
  <c r="K56" i="46"/>
  <c r="G56" i="46"/>
  <c r="V55" i="46"/>
  <c r="U55" i="46"/>
  <c r="O55" i="46"/>
  <c r="M55" i="46"/>
  <c r="N55" i="46" s="1"/>
  <c r="Q55" i="46" s="1"/>
  <c r="K55" i="46"/>
  <c r="G55" i="46"/>
  <c r="V54" i="46"/>
  <c r="M54" i="46" s="1"/>
  <c r="U54" i="46"/>
  <c r="O54" i="46"/>
  <c r="K54" i="46"/>
  <c r="G54" i="46"/>
  <c r="V53" i="46"/>
  <c r="M53" i="46" s="1"/>
  <c r="N53" i="46" s="1"/>
  <c r="O53" i="46"/>
  <c r="K53" i="46"/>
  <c r="G53" i="46"/>
  <c r="AD52" i="46"/>
  <c r="Z52" i="46"/>
  <c r="Y52" i="46"/>
  <c r="O52" i="46"/>
  <c r="K52" i="46"/>
  <c r="V51" i="46"/>
  <c r="M51" i="46" s="1"/>
  <c r="N51" i="46" s="1"/>
  <c r="Q51" i="46" s="1"/>
  <c r="U51" i="46"/>
  <c r="O51" i="46"/>
  <c r="K51" i="46"/>
  <c r="G51" i="46"/>
  <c r="AE50" i="46"/>
  <c r="V50" i="46"/>
  <c r="U50" i="46"/>
  <c r="O50" i="46"/>
  <c r="M50" i="46"/>
  <c r="AF50" i="46" s="1"/>
  <c r="K50" i="46"/>
  <c r="G50" i="46"/>
  <c r="AF49" i="46"/>
  <c r="AE49" i="46"/>
  <c r="V49" i="46"/>
  <c r="U49" i="46"/>
  <c r="O49" i="46"/>
  <c r="N49" i="46"/>
  <c r="P49" i="46" s="1"/>
  <c r="M49" i="46"/>
  <c r="K49" i="46"/>
  <c r="Q49" i="46" s="1"/>
  <c r="G49" i="46"/>
  <c r="AE48" i="46"/>
  <c r="V48" i="46"/>
  <c r="U48" i="46"/>
  <c r="O48" i="46"/>
  <c r="M48" i="46"/>
  <c r="AF48" i="46" s="1"/>
  <c r="K48" i="46"/>
  <c r="G48" i="46"/>
  <c r="X47" i="46"/>
  <c r="W47" i="46"/>
  <c r="V47" i="46"/>
  <c r="M47" i="46" s="1"/>
  <c r="U47" i="46"/>
  <c r="O47" i="46"/>
  <c r="K47" i="46"/>
  <c r="G47" i="46"/>
  <c r="V46" i="46"/>
  <c r="M46" i="46" s="1"/>
  <c r="U46" i="46"/>
  <c r="O46" i="46"/>
  <c r="K46" i="46"/>
  <c r="G46" i="46"/>
  <c r="AF45" i="46"/>
  <c r="AE45" i="46"/>
  <c r="V45" i="46"/>
  <c r="U45" i="46"/>
  <c r="O45" i="46"/>
  <c r="N45" i="46"/>
  <c r="Q45" i="46" s="1"/>
  <c r="M45" i="46"/>
  <c r="K45" i="46"/>
  <c r="G45" i="46"/>
  <c r="V44" i="46"/>
  <c r="M44" i="46" s="1"/>
  <c r="N44" i="46" s="1"/>
  <c r="U44" i="46"/>
  <c r="O44" i="46"/>
  <c r="K44" i="46"/>
  <c r="G44" i="46"/>
  <c r="V43" i="46"/>
  <c r="U43" i="46"/>
  <c r="O43" i="46"/>
  <c r="M43" i="46"/>
  <c r="AF43" i="46" s="1"/>
  <c r="K43" i="46"/>
  <c r="G43" i="46"/>
  <c r="V42" i="46"/>
  <c r="U42" i="46"/>
  <c r="O42" i="46"/>
  <c r="M42" i="46"/>
  <c r="K42" i="46"/>
  <c r="G42" i="46"/>
  <c r="V41" i="46"/>
  <c r="M41" i="46" s="1"/>
  <c r="O41" i="46"/>
  <c r="K41" i="46"/>
  <c r="G41" i="46"/>
  <c r="AD40" i="46"/>
  <c r="L21" i="45" s="1"/>
  <c r="Z40" i="46"/>
  <c r="Y40" i="46"/>
  <c r="O40" i="46"/>
  <c r="K40" i="46"/>
  <c r="V39" i="46"/>
  <c r="M39" i="46" s="1"/>
  <c r="U39" i="46"/>
  <c r="O39" i="46"/>
  <c r="K39" i="46"/>
  <c r="G39" i="46"/>
  <c r="AF38" i="46"/>
  <c r="V38" i="46"/>
  <c r="U38" i="46"/>
  <c r="O38" i="46"/>
  <c r="M38" i="46"/>
  <c r="N38" i="46" s="1"/>
  <c r="K38" i="46"/>
  <c r="G38" i="46"/>
  <c r="AF37" i="46"/>
  <c r="AE37" i="46"/>
  <c r="V37" i="46"/>
  <c r="U37" i="46"/>
  <c r="O37" i="46"/>
  <c r="M37" i="46"/>
  <c r="N37" i="46" s="1"/>
  <c r="K37" i="46"/>
  <c r="G37" i="46"/>
  <c r="AE36" i="46"/>
  <c r="V36" i="46"/>
  <c r="U36" i="46"/>
  <c r="O36" i="46"/>
  <c r="M36" i="46"/>
  <c r="AF36" i="46" s="1"/>
  <c r="K36" i="46"/>
  <c r="G36" i="46"/>
  <c r="X35" i="46"/>
  <c r="W35" i="46"/>
  <c r="V35" i="46"/>
  <c r="O35" i="46"/>
  <c r="M35" i="46"/>
  <c r="N35" i="46" s="1"/>
  <c r="K35" i="46"/>
  <c r="G35" i="46"/>
  <c r="AD34" i="46"/>
  <c r="Z34" i="46"/>
  <c r="Y34" i="46"/>
  <c r="O34" i="46"/>
  <c r="K34" i="46"/>
  <c r="V33" i="46"/>
  <c r="M33" i="46" s="1"/>
  <c r="U33" i="46"/>
  <c r="O33" i="46"/>
  <c r="K33" i="46"/>
  <c r="G33" i="46"/>
  <c r="AF32" i="46"/>
  <c r="V32" i="46"/>
  <c r="U32" i="46"/>
  <c r="O32" i="46"/>
  <c r="N32" i="46"/>
  <c r="Q32" i="46" s="1"/>
  <c r="M32" i="46"/>
  <c r="AE32" i="46" s="1"/>
  <c r="K32" i="46"/>
  <c r="G32" i="46"/>
  <c r="V31" i="46"/>
  <c r="M31" i="46" s="1"/>
  <c r="U31" i="46"/>
  <c r="O31" i="46"/>
  <c r="K31" i="46"/>
  <c r="G31" i="46"/>
  <c r="V30" i="46"/>
  <c r="U30" i="46"/>
  <c r="O30" i="46"/>
  <c r="M30" i="46"/>
  <c r="AF30" i="46" s="1"/>
  <c r="K30" i="46"/>
  <c r="G30" i="46"/>
  <c r="X29" i="46"/>
  <c r="W29" i="46"/>
  <c r="V29" i="46"/>
  <c r="O29" i="46"/>
  <c r="M29" i="46"/>
  <c r="AF29" i="46" s="1"/>
  <c r="K29" i="46"/>
  <c r="G29" i="46"/>
  <c r="AD28" i="46"/>
  <c r="Z28" i="46"/>
  <c r="Y28" i="46"/>
  <c r="O28" i="46"/>
  <c r="K28" i="46"/>
  <c r="V27" i="46"/>
  <c r="M27" i="46" s="1"/>
  <c r="U27" i="46"/>
  <c r="O27" i="46"/>
  <c r="K27" i="46"/>
  <c r="G27" i="46"/>
  <c r="X26" i="46"/>
  <c r="W26" i="46"/>
  <c r="V26" i="46"/>
  <c r="M26" i="46" s="1"/>
  <c r="U26" i="46"/>
  <c r="O26" i="46"/>
  <c r="K26" i="46"/>
  <c r="G26" i="46"/>
  <c r="AF25" i="46"/>
  <c r="V25" i="46"/>
  <c r="U25" i="46"/>
  <c r="O25" i="46"/>
  <c r="N25" i="46"/>
  <c r="M25" i="46"/>
  <c r="AE25" i="46" s="1"/>
  <c r="K25" i="46"/>
  <c r="G25" i="46"/>
  <c r="V24" i="46"/>
  <c r="M24" i="46" s="1"/>
  <c r="U24" i="46"/>
  <c r="O24" i="46"/>
  <c r="K24" i="46"/>
  <c r="G24" i="46"/>
  <c r="V23" i="46"/>
  <c r="M23" i="46" s="1"/>
  <c r="U23" i="46"/>
  <c r="O23" i="46"/>
  <c r="K23" i="46"/>
  <c r="G23" i="46"/>
  <c r="V22" i="46"/>
  <c r="M22" i="46" s="1"/>
  <c r="O22" i="46"/>
  <c r="K22" i="46"/>
  <c r="G22" i="46"/>
  <c r="AD21" i="46"/>
  <c r="AD2" i="46" s="1"/>
  <c r="N6" i="45" s="1"/>
  <c r="Z21" i="46"/>
  <c r="Y21" i="46"/>
  <c r="F18" i="45" s="1"/>
  <c r="O21" i="46"/>
  <c r="K21" i="46"/>
  <c r="V20" i="46"/>
  <c r="U20" i="46"/>
  <c r="O20" i="46"/>
  <c r="M20" i="46"/>
  <c r="AF20" i="46" s="1"/>
  <c r="K20" i="46"/>
  <c r="G20" i="46"/>
  <c r="X19" i="46"/>
  <c r="W19" i="46"/>
  <c r="V19" i="46"/>
  <c r="U19" i="46"/>
  <c r="O19" i="46"/>
  <c r="M19" i="46"/>
  <c r="N19" i="46" s="1"/>
  <c r="K19" i="46"/>
  <c r="G19" i="46"/>
  <c r="V18" i="46"/>
  <c r="M18" i="46" s="1"/>
  <c r="U18" i="46"/>
  <c r="O18" i="46"/>
  <c r="K18" i="46"/>
  <c r="G18" i="46"/>
  <c r="V17" i="46"/>
  <c r="U17" i="46"/>
  <c r="O17" i="46"/>
  <c r="M17" i="46"/>
  <c r="AF17" i="46" s="1"/>
  <c r="K17" i="46"/>
  <c r="G17" i="46"/>
  <c r="V16" i="46"/>
  <c r="M16" i="46" s="1"/>
  <c r="U16" i="46"/>
  <c r="O16" i="46"/>
  <c r="K16" i="46"/>
  <c r="G16" i="46"/>
  <c r="AF15" i="46"/>
  <c r="V15" i="46"/>
  <c r="U15" i="46"/>
  <c r="O15" i="46"/>
  <c r="M15" i="46"/>
  <c r="AE15" i="46" s="1"/>
  <c r="K15" i="46"/>
  <c r="G15" i="46"/>
  <c r="V14" i="46"/>
  <c r="M14" i="46" s="1"/>
  <c r="O14" i="46"/>
  <c r="K14" i="46"/>
  <c r="G14" i="46"/>
  <c r="AD13" i="46"/>
  <c r="E21" i="45" s="1"/>
  <c r="Z13" i="46"/>
  <c r="E19" i="45" s="1"/>
  <c r="Y13" i="46"/>
  <c r="O13" i="46"/>
  <c r="M13" i="46"/>
  <c r="N13" i="46" s="1"/>
  <c r="K13" i="46"/>
  <c r="V12" i="46"/>
  <c r="U12" i="46"/>
  <c r="O12" i="46"/>
  <c r="N12" i="46"/>
  <c r="Q12" i="46" s="1"/>
  <c r="M12" i="46"/>
  <c r="AF12" i="46" s="1"/>
  <c r="K12" i="46"/>
  <c r="G12" i="46"/>
  <c r="AF11" i="46"/>
  <c r="AE11" i="46"/>
  <c r="V11" i="46"/>
  <c r="O11" i="46"/>
  <c r="N11" i="46"/>
  <c r="M11" i="46"/>
  <c r="K11" i="46"/>
  <c r="G11" i="46"/>
  <c r="AD10" i="46"/>
  <c r="Z10" i="46"/>
  <c r="Y10" i="46"/>
  <c r="O10" i="46"/>
  <c r="K10" i="46"/>
  <c r="V9" i="46"/>
  <c r="U9" i="46"/>
  <c r="O9" i="46"/>
  <c r="M9" i="46"/>
  <c r="K9" i="46"/>
  <c r="G9" i="46"/>
  <c r="AF8" i="46"/>
  <c r="V8" i="46"/>
  <c r="U8" i="46"/>
  <c r="O8" i="46"/>
  <c r="M8" i="46"/>
  <c r="AE8" i="46" s="1"/>
  <c r="K8" i="46"/>
  <c r="G8" i="46"/>
  <c r="V7" i="46"/>
  <c r="M7" i="46" s="1"/>
  <c r="U7" i="46"/>
  <c r="O7" i="46"/>
  <c r="K7" i="46"/>
  <c r="G7" i="46"/>
  <c r="V6" i="46"/>
  <c r="M6" i="46" s="1"/>
  <c r="U6" i="46"/>
  <c r="O6" i="46"/>
  <c r="K6" i="46"/>
  <c r="G6" i="46"/>
  <c r="V5" i="46"/>
  <c r="M5" i="46" s="1"/>
  <c r="O5" i="46"/>
  <c r="K5" i="46"/>
  <c r="G5" i="46"/>
  <c r="F1" i="46" s="1"/>
  <c r="F2" i="46" s="1"/>
  <c r="Y2" i="46"/>
  <c r="K6" i="45" s="1"/>
  <c r="H2" i="46"/>
  <c r="H1" i="46"/>
  <c r="D1" i="46"/>
  <c r="M22" i="45"/>
  <c r="L22" i="45"/>
  <c r="K22" i="45"/>
  <c r="J22" i="45"/>
  <c r="I22" i="45"/>
  <c r="H22" i="45"/>
  <c r="G22" i="45"/>
  <c r="F22" i="45"/>
  <c r="E22" i="45"/>
  <c r="D22" i="45"/>
  <c r="M21" i="45"/>
  <c r="K21" i="45"/>
  <c r="J21" i="45"/>
  <c r="I21" i="45"/>
  <c r="H21" i="45"/>
  <c r="G21" i="45"/>
  <c r="F21" i="45"/>
  <c r="D21" i="45"/>
  <c r="M20" i="45"/>
  <c r="L20" i="45"/>
  <c r="K20" i="45"/>
  <c r="J20" i="45"/>
  <c r="I20" i="45"/>
  <c r="H20" i="45"/>
  <c r="G20" i="45"/>
  <c r="F20" i="45"/>
  <c r="E20" i="45"/>
  <c r="D20" i="45"/>
  <c r="M19" i="45"/>
  <c r="L19" i="45"/>
  <c r="K19" i="45"/>
  <c r="J19" i="45"/>
  <c r="I19" i="45"/>
  <c r="H19" i="45"/>
  <c r="G19" i="45"/>
  <c r="F19" i="45"/>
  <c r="D19" i="45"/>
  <c r="M18" i="45"/>
  <c r="L18" i="45"/>
  <c r="K18" i="45"/>
  <c r="J18" i="45"/>
  <c r="I18" i="45"/>
  <c r="H18" i="45"/>
  <c r="G18" i="45"/>
  <c r="E18" i="45"/>
  <c r="D18" i="45"/>
  <c r="M17" i="45"/>
  <c r="L17" i="45"/>
  <c r="K17" i="45"/>
  <c r="J17" i="45"/>
  <c r="I17" i="45"/>
  <c r="H17" i="45"/>
  <c r="G17" i="45"/>
  <c r="F17" i="45"/>
  <c r="E17" i="45"/>
  <c r="D17" i="45"/>
  <c r="M16" i="45"/>
  <c r="L16" i="45"/>
  <c r="K16" i="45"/>
  <c r="J16" i="45"/>
  <c r="I16" i="45"/>
  <c r="H16" i="45"/>
  <c r="G16" i="45"/>
  <c r="F16" i="45"/>
  <c r="E16" i="45"/>
  <c r="D16" i="45"/>
  <c r="M13" i="45"/>
  <c r="L13" i="45"/>
  <c r="K13" i="45"/>
  <c r="I6" i="45" s="1"/>
  <c r="J13" i="45"/>
  <c r="I13" i="45"/>
  <c r="H13" i="45"/>
  <c r="G13" i="45"/>
  <c r="F13" i="45"/>
  <c r="E13" i="45"/>
  <c r="F6" i="45" s="1"/>
  <c r="D13" i="45"/>
  <c r="M6" i="45"/>
  <c r="F3" i="45"/>
  <c r="C3" i="45"/>
  <c r="AF70" i="46" l="1"/>
  <c r="AE70" i="46"/>
  <c r="N70" i="46"/>
  <c r="Q70" i="46" s="1"/>
  <c r="AF18" i="46"/>
  <c r="AE18" i="46"/>
  <c r="N18" i="46"/>
  <c r="Q58" i="46"/>
  <c r="P58" i="46"/>
  <c r="AF22" i="46"/>
  <c r="AE22" i="46"/>
  <c r="N22" i="46"/>
  <c r="P22" i="46" s="1"/>
  <c r="N5" i="46"/>
  <c r="P5" i="46" s="1"/>
  <c r="AF5" i="46"/>
  <c r="AE5" i="46"/>
  <c r="AF71" i="46"/>
  <c r="AE71" i="46"/>
  <c r="N71" i="46"/>
  <c r="P71" i="46" s="1"/>
  <c r="AF64" i="46"/>
  <c r="M69" i="46"/>
  <c r="AE64" i="46"/>
  <c r="N64" i="46"/>
  <c r="P64" i="46" s="1"/>
  <c r="N26" i="46"/>
  <c r="AF26" i="46"/>
  <c r="AE26" i="46"/>
  <c r="N14" i="46"/>
  <c r="AF14" i="46"/>
  <c r="AE14" i="46"/>
  <c r="AF46" i="46"/>
  <c r="AE46" i="46"/>
  <c r="N46" i="46"/>
  <c r="AF39" i="46"/>
  <c r="AE39" i="46"/>
  <c r="N39" i="46"/>
  <c r="Q39" i="46" s="1"/>
  <c r="N68" i="46"/>
  <c r="AF68" i="46"/>
  <c r="AE68" i="46"/>
  <c r="AE6" i="46"/>
  <c r="N6" i="46"/>
  <c r="P6" i="46" s="1"/>
  <c r="AF6" i="46"/>
  <c r="N33" i="46"/>
  <c r="AF33" i="46"/>
  <c r="AE33" i="46"/>
  <c r="AF72" i="46"/>
  <c r="AE72" i="46"/>
  <c r="N72" i="46"/>
  <c r="F14" i="47"/>
  <c r="F15" i="47" s="1"/>
  <c r="Q22" i="48"/>
  <c r="R14" i="48" s="1"/>
  <c r="P22" i="48"/>
  <c r="N24" i="46"/>
  <c r="P24" i="46" s="1"/>
  <c r="AF24" i="46"/>
  <c r="AE24" i="46"/>
  <c r="AF27" i="46"/>
  <c r="AE27" i="46"/>
  <c r="N27" i="46"/>
  <c r="P27" i="46" s="1"/>
  <c r="N47" i="46"/>
  <c r="Q47" i="46" s="1"/>
  <c r="AF47" i="46"/>
  <c r="AE47" i="46"/>
  <c r="AF73" i="46"/>
  <c r="AE73" i="46"/>
  <c r="N73" i="46"/>
  <c r="P73" i="46" s="1"/>
  <c r="N31" i="46"/>
  <c r="AF31" i="46"/>
  <c r="AE31" i="46"/>
  <c r="Q35" i="46"/>
  <c r="P35" i="46"/>
  <c r="AF41" i="46"/>
  <c r="AE41" i="46"/>
  <c r="N41" i="46"/>
  <c r="P41" i="46" s="1"/>
  <c r="N54" i="46"/>
  <c r="AF54" i="46"/>
  <c r="AE54" i="46"/>
  <c r="N29" i="46"/>
  <c r="P29" i="46" s="1"/>
  <c r="AE35" i="46"/>
  <c r="N66" i="46"/>
  <c r="P66" i="46" s="1"/>
  <c r="AF35" i="46"/>
  <c r="Q11" i="48"/>
  <c r="P11" i="48"/>
  <c r="P12" i="46"/>
  <c r="N17" i="46"/>
  <c r="P17" i="46" s="1"/>
  <c r="N43" i="46"/>
  <c r="P43" i="46" s="1"/>
  <c r="Q44" i="48"/>
  <c r="P44" i="48"/>
  <c r="Z2" i="46"/>
  <c r="L6" i="45" s="1"/>
  <c r="AE55" i="46"/>
  <c r="AE57" i="46"/>
  <c r="AE59" i="46"/>
  <c r="AF55" i="46"/>
  <c r="AF57" i="46"/>
  <c r="AF59" i="46"/>
  <c r="Q47" i="48"/>
  <c r="P47" i="48"/>
  <c r="AE19" i="46"/>
  <c r="AE29" i="46"/>
  <c r="M34" i="46"/>
  <c r="N34" i="46" s="1"/>
  <c r="N36" i="46"/>
  <c r="Q36" i="46" s="1"/>
  <c r="N48" i="46"/>
  <c r="P48" i="46" s="1"/>
  <c r="N50" i="46"/>
  <c r="P50" i="46" s="1"/>
  <c r="Q14" i="48"/>
  <c r="P14" i="48"/>
  <c r="AE12" i="46"/>
  <c r="AE17" i="46"/>
  <c r="AF19" i="46"/>
  <c r="AE38" i="46"/>
  <c r="AE43" i="46"/>
  <c r="N15" i="46"/>
  <c r="Q15" i="46" s="1"/>
  <c r="N62" i="46"/>
  <c r="P62" i="46" s="1"/>
  <c r="N65" i="46"/>
  <c r="AE22" i="48"/>
  <c r="N8" i="46"/>
  <c r="N20" i="46"/>
  <c r="P20" i="46" s="1"/>
  <c r="N30" i="46"/>
  <c r="Q30" i="46" s="1"/>
  <c r="AF22" i="48"/>
  <c r="AG14" i="48" s="1"/>
  <c r="AE62" i="46"/>
  <c r="M52" i="46"/>
  <c r="AE52" i="46" s="1"/>
  <c r="N42" i="46"/>
  <c r="P42" i="46" s="1"/>
  <c r="AE20" i="46"/>
  <c r="AE30" i="46"/>
  <c r="P60" i="48"/>
  <c r="Q60" i="48"/>
  <c r="Q63" i="48"/>
  <c r="P63" i="48"/>
  <c r="AE65" i="46"/>
  <c r="AE42" i="46"/>
  <c r="Q27" i="48"/>
  <c r="P27" i="48"/>
  <c r="AF42" i="46"/>
  <c r="N29" i="48"/>
  <c r="AF29" i="48"/>
  <c r="AG23" i="48" s="1"/>
  <c r="AE29" i="48"/>
  <c r="AE45" i="48"/>
  <c r="E8" i="55"/>
  <c r="G7" i="53"/>
  <c r="D15" i="53"/>
  <c r="F7" i="53"/>
  <c r="E7" i="53"/>
  <c r="L15" i="53"/>
  <c r="I8" i="53" s="1"/>
  <c r="I7" i="53"/>
  <c r="P67" i="52"/>
  <c r="Q67" i="52"/>
  <c r="R57" i="52" s="1"/>
  <c r="I14" i="51"/>
  <c r="I15" i="51" s="1"/>
  <c r="F14" i="51"/>
  <c r="F15" i="51" s="1"/>
  <c r="P22" i="52"/>
  <c r="Q22" i="52"/>
  <c r="R14" i="52" s="1"/>
  <c r="P45" i="52"/>
  <c r="Q45" i="52"/>
  <c r="R38" i="52" s="1"/>
  <c r="L14" i="51"/>
  <c r="L15" i="51" s="1"/>
  <c r="H14" i="51"/>
  <c r="H15" i="51" s="1"/>
  <c r="Q56" i="52"/>
  <c r="R46" i="52" s="1"/>
  <c r="P56" i="52"/>
  <c r="Q37" i="52"/>
  <c r="R30" i="52" s="1"/>
  <c r="P37" i="52"/>
  <c r="K14" i="51"/>
  <c r="Q13" i="52"/>
  <c r="R11" i="52" s="1"/>
  <c r="P13" i="52"/>
  <c r="E14" i="51"/>
  <c r="E15" i="51" s="1"/>
  <c r="P10" i="52"/>
  <c r="D14" i="51"/>
  <c r="Q10" i="52"/>
  <c r="R5" i="52" s="1"/>
  <c r="D2" i="52"/>
  <c r="P81" i="52"/>
  <c r="Q81" i="52"/>
  <c r="R75" i="52" s="1"/>
  <c r="M14" i="51"/>
  <c r="M15" i="51" s="1"/>
  <c r="P29" i="52"/>
  <c r="G14" i="51"/>
  <c r="G15" i="51" s="1"/>
  <c r="Q29" i="52"/>
  <c r="R23" i="52" s="1"/>
  <c r="Q25" i="48"/>
  <c r="P25" i="48"/>
  <c r="P51" i="48"/>
  <c r="Q51" i="48"/>
  <c r="P81" i="48"/>
  <c r="Q81" i="48"/>
  <c r="P16" i="48"/>
  <c r="Q16" i="48"/>
  <c r="Q9" i="48"/>
  <c r="P9" i="48"/>
  <c r="P67" i="48"/>
  <c r="Q67" i="48"/>
  <c r="Q18" i="48"/>
  <c r="P18" i="48"/>
  <c r="N10" i="48"/>
  <c r="AF10" i="48"/>
  <c r="AG5" i="48" s="1"/>
  <c r="AE10" i="48"/>
  <c r="N37" i="48"/>
  <c r="Q37" i="48" s="1"/>
  <c r="R30" i="48" s="1"/>
  <c r="AE37" i="48"/>
  <c r="P74" i="48"/>
  <c r="Q74" i="48"/>
  <c r="P58" i="48"/>
  <c r="Q58" i="48"/>
  <c r="N57" i="48"/>
  <c r="H14" i="47" s="1"/>
  <c r="H15" i="47" s="1"/>
  <c r="AF57" i="48"/>
  <c r="AG46" i="48" s="1"/>
  <c r="AE57" i="48"/>
  <c r="Q69" i="48"/>
  <c r="R58" i="48" s="1"/>
  <c r="P69" i="48"/>
  <c r="I14" i="47"/>
  <c r="I15" i="47" s="1"/>
  <c r="P13" i="48"/>
  <c r="P83" i="48"/>
  <c r="Q83" i="48"/>
  <c r="R77" i="48" s="1"/>
  <c r="M14" i="47"/>
  <c r="M15" i="47" s="1"/>
  <c r="Q13" i="48"/>
  <c r="R11" i="48" s="1"/>
  <c r="Q31" i="48"/>
  <c r="P31" i="48"/>
  <c r="AF83" i="48"/>
  <c r="AG77" i="48" s="1"/>
  <c r="AE83" i="48"/>
  <c r="AF76" i="48"/>
  <c r="AG70" i="48" s="1"/>
  <c r="AE76" i="48"/>
  <c r="N76" i="48"/>
  <c r="AF69" i="48"/>
  <c r="AG58" i="48" s="1"/>
  <c r="AE69" i="48"/>
  <c r="Q57" i="48"/>
  <c r="R46" i="48" s="1"/>
  <c r="Q53" i="46"/>
  <c r="P53" i="46"/>
  <c r="Q60" i="46"/>
  <c r="P60" i="46"/>
  <c r="P44" i="46"/>
  <c r="Q44" i="46"/>
  <c r="AF9" i="46"/>
  <c r="AE9" i="46"/>
  <c r="AF69" i="46"/>
  <c r="AG64" i="46" s="1"/>
  <c r="AE69" i="46"/>
  <c r="N69" i="46"/>
  <c r="AE7" i="46"/>
  <c r="M10" i="46"/>
  <c r="AF7" i="46"/>
  <c r="M21" i="46"/>
  <c r="AF16" i="46"/>
  <c r="AE16" i="46"/>
  <c r="N9" i="46"/>
  <c r="M28" i="46"/>
  <c r="AF23" i="46"/>
  <c r="AE23" i="46"/>
  <c r="Q34" i="46"/>
  <c r="R29" i="46" s="1"/>
  <c r="P34" i="46"/>
  <c r="Q5" i="46"/>
  <c r="Q19" i="46"/>
  <c r="P19" i="46"/>
  <c r="M75" i="46"/>
  <c r="AE74" i="46"/>
  <c r="AF74" i="46"/>
  <c r="N74" i="46"/>
  <c r="AF52" i="46"/>
  <c r="AG41" i="46" s="1"/>
  <c r="N52" i="46"/>
  <c r="P51" i="46"/>
  <c r="AE67" i="46"/>
  <c r="AF67" i="46"/>
  <c r="N23" i="46"/>
  <c r="P30" i="46"/>
  <c r="Q26" i="46"/>
  <c r="P26" i="46"/>
  <c r="N7" i="46"/>
  <c r="N16" i="46"/>
  <c r="Q25" i="46"/>
  <c r="P25" i="46"/>
  <c r="Q38" i="46"/>
  <c r="P38" i="46"/>
  <c r="N67" i="46"/>
  <c r="Q46" i="46"/>
  <c r="P46" i="46"/>
  <c r="E14" i="45"/>
  <c r="E15" i="45" s="1"/>
  <c r="Q13" i="46"/>
  <c r="R11" i="46" s="1"/>
  <c r="P13" i="46"/>
  <c r="Q37" i="46"/>
  <c r="P37" i="46"/>
  <c r="AF44" i="46"/>
  <c r="AE44" i="46"/>
  <c r="AF53" i="46"/>
  <c r="AE53" i="46"/>
  <c r="M63" i="46"/>
  <c r="P11" i="46"/>
  <c r="Q11" i="46"/>
  <c r="Q31" i="46"/>
  <c r="P31" i="46"/>
  <c r="AE60" i="46"/>
  <c r="AF60" i="46"/>
  <c r="K14" i="45"/>
  <c r="Q18" i="46"/>
  <c r="P18" i="46"/>
  <c r="AE51" i="46"/>
  <c r="AF51" i="46"/>
  <c r="Q54" i="46"/>
  <c r="P54" i="46"/>
  <c r="P55" i="46"/>
  <c r="Q64" i="46"/>
  <c r="P32" i="46"/>
  <c r="P39" i="46"/>
  <c r="Q62" i="46"/>
  <c r="I3" i="45"/>
  <c r="Q20" i="46"/>
  <c r="Q27" i="46"/>
  <c r="Q41" i="46"/>
  <c r="Q48" i="46"/>
  <c r="Q57" i="46"/>
  <c r="Q71" i="46"/>
  <c r="G6" i="45"/>
  <c r="AE13" i="46"/>
  <c r="AE34" i="46"/>
  <c r="Q43" i="46"/>
  <c r="AF13" i="46"/>
  <c r="AG11" i="46" s="1"/>
  <c r="AF34" i="46"/>
  <c r="AG29" i="46" s="1"/>
  <c r="M40" i="46"/>
  <c r="P45" i="46"/>
  <c r="Q17" i="46"/>
  <c r="Q24" i="46"/>
  <c r="P70" i="46"/>
  <c r="E6" i="45"/>
  <c r="Q6" i="46"/>
  <c r="P15" i="46"/>
  <c r="Q29" i="46"/>
  <c r="Q50" i="46"/>
  <c r="Q59" i="46"/>
  <c r="Q66" i="46"/>
  <c r="Q73" i="46"/>
  <c r="AD74" i="44"/>
  <c r="AC74" i="44"/>
  <c r="Z74" i="44"/>
  <c r="Y74" i="44"/>
  <c r="O74" i="44"/>
  <c r="K74" i="44"/>
  <c r="V73" i="44"/>
  <c r="M73" i="44" s="1"/>
  <c r="AF73" i="44" s="1"/>
  <c r="U73" i="44"/>
  <c r="O73" i="44"/>
  <c r="K73" i="44"/>
  <c r="G73" i="44"/>
  <c r="V72" i="44"/>
  <c r="M72" i="44" s="1"/>
  <c r="U72" i="44"/>
  <c r="O72" i="44"/>
  <c r="K72" i="44"/>
  <c r="G72" i="44"/>
  <c r="V71" i="44"/>
  <c r="M71" i="44" s="1"/>
  <c r="U71" i="44"/>
  <c r="O71" i="44"/>
  <c r="K71" i="44"/>
  <c r="G71" i="44"/>
  <c r="V70" i="44"/>
  <c r="M70" i="44" s="1"/>
  <c r="U70" i="44"/>
  <c r="O70" i="44"/>
  <c r="K70" i="44"/>
  <c r="G70" i="44"/>
  <c r="X69" i="44"/>
  <c r="W69" i="44"/>
  <c r="V69" i="44"/>
  <c r="M69" i="44" s="1"/>
  <c r="O69" i="44"/>
  <c r="K69" i="44"/>
  <c r="G69" i="44"/>
  <c r="AD68" i="44"/>
  <c r="AC68" i="44"/>
  <c r="Z68" i="44"/>
  <c r="Y68" i="44"/>
  <c r="O68" i="44"/>
  <c r="K68" i="44"/>
  <c r="V67" i="44"/>
  <c r="M67" i="44" s="1"/>
  <c r="U67" i="44"/>
  <c r="O67" i="44"/>
  <c r="K67" i="44"/>
  <c r="G67" i="44"/>
  <c r="V66" i="44"/>
  <c r="M66" i="44" s="1"/>
  <c r="U66" i="44"/>
  <c r="O66" i="44"/>
  <c r="K66" i="44"/>
  <c r="G66" i="44"/>
  <c r="V65" i="44"/>
  <c r="M65" i="44" s="1"/>
  <c r="U65" i="44"/>
  <c r="O65" i="44"/>
  <c r="K65" i="44"/>
  <c r="G65" i="44"/>
  <c r="V64" i="44"/>
  <c r="M64" i="44" s="1"/>
  <c r="U64" i="44"/>
  <c r="O64" i="44"/>
  <c r="K64" i="44"/>
  <c r="G64" i="44"/>
  <c r="V63" i="44"/>
  <c r="M63" i="44" s="1"/>
  <c r="O63" i="44"/>
  <c r="K63" i="44"/>
  <c r="G63" i="44"/>
  <c r="AD62" i="44"/>
  <c r="AC62" i="44"/>
  <c r="Z62" i="44"/>
  <c r="Y62" i="44"/>
  <c r="O62" i="44"/>
  <c r="K62" i="44"/>
  <c r="V61" i="44"/>
  <c r="M61" i="44" s="1"/>
  <c r="U61" i="44"/>
  <c r="O61" i="44"/>
  <c r="K61" i="44"/>
  <c r="G61" i="44"/>
  <c r="X60" i="44"/>
  <c r="W60" i="44"/>
  <c r="V60" i="44"/>
  <c r="M60" i="44" s="1"/>
  <c r="U60" i="44"/>
  <c r="O60" i="44"/>
  <c r="K60" i="44"/>
  <c r="G60" i="44"/>
  <c r="V59" i="44"/>
  <c r="M59" i="44" s="1"/>
  <c r="U59" i="44"/>
  <c r="O59" i="44"/>
  <c r="K59" i="44"/>
  <c r="G59" i="44"/>
  <c r="V58" i="44"/>
  <c r="M58" i="44" s="1"/>
  <c r="U58" i="44"/>
  <c r="O58" i="44"/>
  <c r="K58" i="44"/>
  <c r="G58" i="44"/>
  <c r="V57" i="44"/>
  <c r="M57" i="44" s="1"/>
  <c r="U57" i="44"/>
  <c r="O57" i="44"/>
  <c r="K57" i="44"/>
  <c r="G57" i="44"/>
  <c r="V56" i="44"/>
  <c r="M56" i="44" s="1"/>
  <c r="U56" i="44"/>
  <c r="O56" i="44"/>
  <c r="K56" i="44"/>
  <c r="G56" i="44"/>
  <c r="V55" i="44"/>
  <c r="U55" i="44"/>
  <c r="O55" i="44"/>
  <c r="M55" i="44"/>
  <c r="AF55" i="44" s="1"/>
  <c r="K55" i="44"/>
  <c r="G55" i="44"/>
  <c r="V54" i="44"/>
  <c r="M54" i="44" s="1"/>
  <c r="U54" i="44"/>
  <c r="O54" i="44"/>
  <c r="K54" i="44"/>
  <c r="G54" i="44"/>
  <c r="V53" i="44"/>
  <c r="U53" i="44"/>
  <c r="O53" i="44"/>
  <c r="M53" i="44"/>
  <c r="AF53" i="44" s="1"/>
  <c r="K53" i="44"/>
  <c r="G53" i="44"/>
  <c r="V52" i="44"/>
  <c r="M52" i="44" s="1"/>
  <c r="AF52" i="44" s="1"/>
  <c r="O52" i="44"/>
  <c r="K52" i="44"/>
  <c r="G52" i="44"/>
  <c r="AD51" i="44"/>
  <c r="H21" i="43" s="1"/>
  <c r="AC51" i="44"/>
  <c r="Z51" i="44"/>
  <c r="Y51" i="44"/>
  <c r="O51" i="44"/>
  <c r="K51" i="44"/>
  <c r="V50" i="44"/>
  <c r="M50" i="44" s="1"/>
  <c r="AE50" i="44" s="1"/>
  <c r="U50" i="44"/>
  <c r="O50" i="44"/>
  <c r="K50" i="44"/>
  <c r="G50" i="44"/>
  <c r="V49" i="44"/>
  <c r="U49" i="44"/>
  <c r="O49" i="44"/>
  <c r="M49" i="44"/>
  <c r="N49" i="44" s="1"/>
  <c r="K49" i="44"/>
  <c r="G49" i="44"/>
  <c r="V48" i="44"/>
  <c r="M48" i="44" s="1"/>
  <c r="U48" i="44"/>
  <c r="O48" i="44"/>
  <c r="K48" i="44"/>
  <c r="G48" i="44"/>
  <c r="V47" i="44"/>
  <c r="M47" i="44" s="1"/>
  <c r="U47" i="44"/>
  <c r="O47" i="44"/>
  <c r="K47" i="44"/>
  <c r="G47" i="44"/>
  <c r="X46" i="44"/>
  <c r="W46" i="44"/>
  <c r="V46" i="44"/>
  <c r="M46" i="44" s="1"/>
  <c r="U46" i="44"/>
  <c r="O46" i="44"/>
  <c r="K46" i="44"/>
  <c r="G46" i="44"/>
  <c r="V45" i="44"/>
  <c r="M45" i="44" s="1"/>
  <c r="U45" i="44"/>
  <c r="O45" i="44"/>
  <c r="K45" i="44"/>
  <c r="G45" i="44"/>
  <c r="V44" i="44"/>
  <c r="M44" i="44" s="1"/>
  <c r="U44" i="44"/>
  <c r="O44" i="44"/>
  <c r="K44" i="44"/>
  <c r="G44" i="44"/>
  <c r="V43" i="44"/>
  <c r="M43" i="44" s="1"/>
  <c r="U43" i="44"/>
  <c r="O43" i="44"/>
  <c r="K43" i="44"/>
  <c r="G43" i="44"/>
  <c r="V42" i="44"/>
  <c r="M42" i="44" s="1"/>
  <c r="U42" i="44"/>
  <c r="O42" i="44"/>
  <c r="K42" i="44"/>
  <c r="G42" i="44"/>
  <c r="V41" i="44"/>
  <c r="M41" i="44" s="1"/>
  <c r="U41" i="44"/>
  <c r="O41" i="44"/>
  <c r="K41" i="44"/>
  <c r="G41" i="44"/>
  <c r="V40" i="44"/>
  <c r="M40" i="44" s="1"/>
  <c r="O40" i="44"/>
  <c r="K40" i="44"/>
  <c r="G40" i="44"/>
  <c r="AD39" i="44"/>
  <c r="AC39" i="44"/>
  <c r="Z39" i="44"/>
  <c r="Y39" i="44"/>
  <c r="O39" i="44"/>
  <c r="K39" i="44"/>
  <c r="V38" i="44"/>
  <c r="U38" i="44"/>
  <c r="O38" i="44"/>
  <c r="M38" i="44"/>
  <c r="AF38" i="44" s="1"/>
  <c r="K38" i="44"/>
  <c r="G38" i="44"/>
  <c r="V37" i="44"/>
  <c r="U37" i="44"/>
  <c r="O37" i="44"/>
  <c r="M37" i="44"/>
  <c r="AF37" i="44" s="1"/>
  <c r="K37" i="44"/>
  <c r="G37" i="44"/>
  <c r="V36" i="44"/>
  <c r="U36" i="44"/>
  <c r="O36" i="44"/>
  <c r="M36" i="44"/>
  <c r="AF36" i="44" s="1"/>
  <c r="K36" i="44"/>
  <c r="G36" i="44"/>
  <c r="V35" i="44"/>
  <c r="U35" i="44"/>
  <c r="O35" i="44"/>
  <c r="M35" i="44"/>
  <c r="AF35" i="44" s="1"/>
  <c r="K35" i="44"/>
  <c r="G35" i="44"/>
  <c r="X34" i="44"/>
  <c r="W34" i="44"/>
  <c r="V34" i="44"/>
  <c r="O34" i="44"/>
  <c r="M34" i="44"/>
  <c r="AF34" i="44" s="1"/>
  <c r="K34" i="44"/>
  <c r="G34" i="44"/>
  <c r="AD33" i="44"/>
  <c r="AC33" i="44"/>
  <c r="Z33" i="44"/>
  <c r="Y33" i="44"/>
  <c r="K18" i="43" s="1"/>
  <c r="O33" i="44"/>
  <c r="K33" i="44"/>
  <c r="V32" i="44"/>
  <c r="M32" i="44" s="1"/>
  <c r="AF32" i="44" s="1"/>
  <c r="U32" i="44"/>
  <c r="O32" i="44"/>
  <c r="K32" i="44"/>
  <c r="G32" i="44"/>
  <c r="V31" i="44"/>
  <c r="U31" i="44"/>
  <c r="O31" i="44"/>
  <c r="M31" i="44"/>
  <c r="AF31" i="44" s="1"/>
  <c r="K31" i="44"/>
  <c r="G31" i="44"/>
  <c r="V30" i="44"/>
  <c r="M30" i="44" s="1"/>
  <c r="AE30" i="44" s="1"/>
  <c r="U30" i="44"/>
  <c r="O30" i="44"/>
  <c r="K30" i="44"/>
  <c r="G30" i="44"/>
  <c r="V29" i="44"/>
  <c r="U29" i="44"/>
  <c r="O29" i="44"/>
  <c r="M29" i="44"/>
  <c r="N29" i="44" s="1"/>
  <c r="K29" i="44"/>
  <c r="G29" i="44"/>
  <c r="X28" i="44"/>
  <c r="W28" i="44"/>
  <c r="V28" i="44"/>
  <c r="O28" i="44"/>
  <c r="M28" i="44"/>
  <c r="AF28" i="44" s="1"/>
  <c r="K28" i="44"/>
  <c r="G28" i="44"/>
  <c r="AD27" i="44"/>
  <c r="AC27" i="44"/>
  <c r="Z27" i="44"/>
  <c r="G19" i="43" s="1"/>
  <c r="Y27" i="44"/>
  <c r="O27" i="44"/>
  <c r="K27" i="44"/>
  <c r="V26" i="44"/>
  <c r="U26" i="44"/>
  <c r="O26" i="44"/>
  <c r="M26" i="44"/>
  <c r="AE26" i="44" s="1"/>
  <c r="K26" i="44"/>
  <c r="G26" i="44"/>
  <c r="X25" i="44"/>
  <c r="W25" i="44"/>
  <c r="V25" i="44"/>
  <c r="M25" i="44" s="1"/>
  <c r="U25" i="44"/>
  <c r="O25" i="44"/>
  <c r="K25" i="44"/>
  <c r="G25" i="44"/>
  <c r="V24" i="44"/>
  <c r="M24" i="44" s="1"/>
  <c r="AE24" i="44" s="1"/>
  <c r="U24" i="44"/>
  <c r="O24" i="44"/>
  <c r="K24" i="44"/>
  <c r="G24" i="44"/>
  <c r="AF23" i="44"/>
  <c r="V23" i="44"/>
  <c r="U23" i="44"/>
  <c r="O23" i="44"/>
  <c r="M23" i="44"/>
  <c r="N23" i="44" s="1"/>
  <c r="K23" i="44"/>
  <c r="G23" i="44"/>
  <c r="V22" i="44"/>
  <c r="M22" i="44" s="1"/>
  <c r="U22" i="44"/>
  <c r="O22" i="44"/>
  <c r="K22" i="44"/>
  <c r="G22" i="44"/>
  <c r="V21" i="44"/>
  <c r="M21" i="44" s="1"/>
  <c r="O21" i="44"/>
  <c r="K21" i="44"/>
  <c r="G21" i="44"/>
  <c r="AD20" i="44"/>
  <c r="AC20" i="44"/>
  <c r="AC2" i="44" s="1"/>
  <c r="M6" i="43" s="1"/>
  <c r="Z20" i="44"/>
  <c r="Y20" i="44"/>
  <c r="F18" i="43" s="1"/>
  <c r="O20" i="44"/>
  <c r="K20" i="44"/>
  <c r="V19" i="44"/>
  <c r="M19" i="44" s="1"/>
  <c r="U19" i="44"/>
  <c r="O19" i="44"/>
  <c r="K19" i="44"/>
  <c r="G19" i="44"/>
  <c r="V18" i="44"/>
  <c r="M18" i="44" s="1"/>
  <c r="U18" i="44"/>
  <c r="O18" i="44"/>
  <c r="K18" i="44"/>
  <c r="G18" i="44"/>
  <c r="V17" i="44"/>
  <c r="M17" i="44" s="1"/>
  <c r="U17" i="44"/>
  <c r="O17" i="44"/>
  <c r="K17" i="44"/>
  <c r="G17" i="44"/>
  <c r="V16" i="44"/>
  <c r="M16" i="44" s="1"/>
  <c r="U16" i="44"/>
  <c r="O16" i="44"/>
  <c r="K16" i="44"/>
  <c r="G16" i="44"/>
  <c r="V15" i="44"/>
  <c r="M15" i="44" s="1"/>
  <c r="U15" i="44"/>
  <c r="O15" i="44"/>
  <c r="K15" i="44"/>
  <c r="G15" i="44"/>
  <c r="V14" i="44"/>
  <c r="M14" i="44" s="1"/>
  <c r="O14" i="44"/>
  <c r="K14" i="44"/>
  <c r="G14" i="44"/>
  <c r="AD13" i="44"/>
  <c r="AC13" i="44"/>
  <c r="Z13" i="44"/>
  <c r="Z2" i="44" s="1"/>
  <c r="L6" i="43" s="1"/>
  <c r="Y13" i="44"/>
  <c r="O13" i="44"/>
  <c r="K13" i="44"/>
  <c r="V12" i="44"/>
  <c r="U12" i="44"/>
  <c r="O12" i="44"/>
  <c r="M12" i="44"/>
  <c r="AF12" i="44" s="1"/>
  <c r="K12" i="44"/>
  <c r="G12" i="44"/>
  <c r="V11" i="44"/>
  <c r="M11" i="44" s="1"/>
  <c r="O11" i="44"/>
  <c r="K11" i="44"/>
  <c r="G11" i="44"/>
  <c r="AD10" i="44"/>
  <c r="AD2" i="44" s="1"/>
  <c r="N6" i="43" s="1"/>
  <c r="AC10" i="44"/>
  <c r="Z10" i="44"/>
  <c r="Y10" i="44"/>
  <c r="O10" i="44"/>
  <c r="K10" i="44"/>
  <c r="V9" i="44"/>
  <c r="U9" i="44"/>
  <c r="O9" i="44"/>
  <c r="M9" i="44"/>
  <c r="AF9" i="44" s="1"/>
  <c r="K9" i="44"/>
  <c r="G9" i="44"/>
  <c r="V8" i="44"/>
  <c r="M8" i="44" s="1"/>
  <c r="U8" i="44"/>
  <c r="O8" i="44"/>
  <c r="K8" i="44"/>
  <c r="G8" i="44"/>
  <c r="V7" i="44"/>
  <c r="M7" i="44" s="1"/>
  <c r="AF7" i="44" s="1"/>
  <c r="U7" i="44"/>
  <c r="O7" i="44"/>
  <c r="K7" i="44"/>
  <c r="G7" i="44"/>
  <c r="V6" i="44"/>
  <c r="M6" i="44" s="1"/>
  <c r="AE6" i="44" s="1"/>
  <c r="U6" i="44"/>
  <c r="O6" i="44"/>
  <c r="K6" i="44"/>
  <c r="G6" i="44"/>
  <c r="V5" i="44"/>
  <c r="O5" i="44"/>
  <c r="M5" i="44"/>
  <c r="K5" i="44"/>
  <c r="G5" i="44"/>
  <c r="H2" i="44"/>
  <c r="H1" i="44"/>
  <c r="D1" i="44"/>
  <c r="M22" i="43"/>
  <c r="L22" i="43"/>
  <c r="K22" i="43"/>
  <c r="J22" i="43"/>
  <c r="I22" i="43"/>
  <c r="H22" i="43"/>
  <c r="G22" i="43"/>
  <c r="F22" i="43"/>
  <c r="E22" i="43"/>
  <c r="D22" i="43"/>
  <c r="M21" i="43"/>
  <c r="L21" i="43"/>
  <c r="K21" i="43"/>
  <c r="J21" i="43"/>
  <c r="I21" i="43"/>
  <c r="G21" i="43"/>
  <c r="F21" i="43"/>
  <c r="E21" i="43"/>
  <c r="D21" i="43"/>
  <c r="M20" i="43"/>
  <c r="L20" i="43"/>
  <c r="K20" i="43"/>
  <c r="J20" i="43"/>
  <c r="I20" i="43"/>
  <c r="H20" i="43"/>
  <c r="G20" i="43"/>
  <c r="F20" i="43"/>
  <c r="E20" i="43"/>
  <c r="D20" i="43"/>
  <c r="M19" i="43"/>
  <c r="L19" i="43"/>
  <c r="K19" i="43"/>
  <c r="J19" i="43"/>
  <c r="I19" i="43"/>
  <c r="H19" i="43"/>
  <c r="F19" i="43"/>
  <c r="E19" i="43"/>
  <c r="D19" i="43"/>
  <c r="M18" i="43"/>
  <c r="L18" i="43"/>
  <c r="J18" i="43"/>
  <c r="I18" i="43"/>
  <c r="H18" i="43"/>
  <c r="G18" i="43"/>
  <c r="E18" i="43"/>
  <c r="D18" i="43"/>
  <c r="M17" i="43"/>
  <c r="L17" i="43"/>
  <c r="K17" i="43"/>
  <c r="J17" i="43"/>
  <c r="I17" i="43"/>
  <c r="H17" i="43"/>
  <c r="G17" i="43"/>
  <c r="F17" i="43"/>
  <c r="E17" i="43"/>
  <c r="D17" i="43"/>
  <c r="M16" i="43"/>
  <c r="L16" i="43"/>
  <c r="K16" i="43"/>
  <c r="J16" i="43"/>
  <c r="I16" i="43"/>
  <c r="H16" i="43"/>
  <c r="G16" i="43"/>
  <c r="F16" i="43"/>
  <c r="E16" i="43"/>
  <c r="D16" i="43"/>
  <c r="M13" i="43"/>
  <c r="L13" i="43"/>
  <c r="K13" i="43"/>
  <c r="I6" i="43" s="1"/>
  <c r="J13" i="43"/>
  <c r="I13" i="43"/>
  <c r="H13" i="43"/>
  <c r="G6" i="43" s="1"/>
  <c r="G13" i="43"/>
  <c r="F13" i="43"/>
  <c r="E13" i="43"/>
  <c r="D13" i="43"/>
  <c r="F3" i="43"/>
  <c r="C3" i="43"/>
  <c r="N69" i="44" l="1"/>
  <c r="AF69" i="44"/>
  <c r="AE69" i="44"/>
  <c r="AF54" i="44"/>
  <c r="N54" i="44"/>
  <c r="Q54" i="44" s="1"/>
  <c r="M13" i="44"/>
  <c r="N11" i="44"/>
  <c r="AF67" i="44"/>
  <c r="AE67" i="44"/>
  <c r="N67" i="44"/>
  <c r="Q67" i="44" s="1"/>
  <c r="N71" i="44"/>
  <c r="Q71" i="44" s="1"/>
  <c r="AF71" i="44"/>
  <c r="AE71" i="44"/>
  <c r="AF8" i="44"/>
  <c r="N8" i="44"/>
  <c r="Q8" i="44" s="1"/>
  <c r="AF56" i="44"/>
  <c r="N56" i="44"/>
  <c r="Q56" i="44" s="1"/>
  <c r="AE72" i="44"/>
  <c r="AF72" i="44"/>
  <c r="AF25" i="44"/>
  <c r="N25" i="44"/>
  <c r="Q25" i="44" s="1"/>
  <c r="Q33" i="46"/>
  <c r="P33" i="46"/>
  <c r="N12" i="44"/>
  <c r="AE23" i="44"/>
  <c r="N35" i="44"/>
  <c r="Q35" i="44" s="1"/>
  <c r="N38" i="44"/>
  <c r="Q68" i="46"/>
  <c r="P68" i="46"/>
  <c r="Q22" i="46"/>
  <c r="Y2" i="44"/>
  <c r="K6" i="43" s="1"/>
  <c r="AE29" i="44"/>
  <c r="AE49" i="44"/>
  <c r="AF29" i="44"/>
  <c r="AF49" i="44"/>
  <c r="Q8" i="46"/>
  <c r="P8" i="46"/>
  <c r="N36" i="44"/>
  <c r="Q36" i="44" s="1"/>
  <c r="P47" i="46"/>
  <c r="G14" i="47"/>
  <c r="G15" i="47" s="1"/>
  <c r="Q29" i="48"/>
  <c r="R23" i="48" s="1"/>
  <c r="P29" i="48"/>
  <c r="Q65" i="46"/>
  <c r="P65" i="46"/>
  <c r="Q42" i="46"/>
  <c r="Q72" i="46"/>
  <c r="P72" i="46"/>
  <c r="P14" i="46"/>
  <c r="Q14" i="46"/>
  <c r="F1" i="44"/>
  <c r="P36" i="46"/>
  <c r="N28" i="44"/>
  <c r="Q28" i="44" s="1"/>
  <c r="M10" i="44"/>
  <c r="AE10" i="44" s="1"/>
  <c r="N31" i="44"/>
  <c r="Q31" i="44" s="1"/>
  <c r="E8" i="53"/>
  <c r="G8" i="53"/>
  <c r="F8" i="53"/>
  <c r="D15" i="51"/>
  <c r="E7" i="51"/>
  <c r="G7" i="51"/>
  <c r="F7" i="51"/>
  <c r="I7" i="51"/>
  <c r="K15" i="51"/>
  <c r="I8" i="51" s="1"/>
  <c r="P37" i="48"/>
  <c r="P57" i="48"/>
  <c r="D2" i="48"/>
  <c r="D14" i="47"/>
  <c r="Q10" i="48"/>
  <c r="R5" i="48" s="1"/>
  <c r="P10" i="48"/>
  <c r="K14" i="47"/>
  <c r="J14" i="47"/>
  <c r="J15" i="47" s="1"/>
  <c r="Q76" i="48"/>
  <c r="R70" i="48" s="1"/>
  <c r="P76" i="48"/>
  <c r="Q23" i="46"/>
  <c r="P23" i="46"/>
  <c r="Q9" i="46"/>
  <c r="P9" i="46"/>
  <c r="N40" i="46"/>
  <c r="AE40" i="46"/>
  <c r="AF40" i="46"/>
  <c r="AG35" i="46" s="1"/>
  <c r="P52" i="46"/>
  <c r="Q52" i="46"/>
  <c r="R41" i="46" s="1"/>
  <c r="H14" i="45"/>
  <c r="H15" i="45" s="1"/>
  <c r="N21" i="46"/>
  <c r="AF21" i="46"/>
  <c r="AG14" i="46" s="1"/>
  <c r="AE21" i="46"/>
  <c r="N10" i="46"/>
  <c r="AE10" i="46"/>
  <c r="AF10" i="46"/>
  <c r="AG5" i="46" s="1"/>
  <c r="Q74" i="46"/>
  <c r="P74" i="46"/>
  <c r="Q67" i="46"/>
  <c r="P67" i="46"/>
  <c r="Q69" i="46"/>
  <c r="R64" i="46" s="1"/>
  <c r="J14" i="45"/>
  <c r="J15" i="45" s="1"/>
  <c r="P69" i="46"/>
  <c r="K15" i="45"/>
  <c r="AF75" i="46"/>
  <c r="AG70" i="46" s="1"/>
  <c r="AE75" i="46"/>
  <c r="N75" i="46"/>
  <c r="P16" i="46"/>
  <c r="Q16" i="46"/>
  <c r="Q7" i="46"/>
  <c r="P7" i="46"/>
  <c r="N63" i="46"/>
  <c r="AF63" i="46"/>
  <c r="AG53" i="46" s="1"/>
  <c r="AE63" i="46"/>
  <c r="N28" i="46"/>
  <c r="AF28" i="46"/>
  <c r="AG22" i="46" s="1"/>
  <c r="AE28" i="46"/>
  <c r="Q29" i="44"/>
  <c r="P29" i="44"/>
  <c r="AF40" i="44"/>
  <c r="AE40" i="44"/>
  <c r="M51" i="44"/>
  <c r="N40" i="44"/>
  <c r="N59" i="44"/>
  <c r="AF59" i="44"/>
  <c r="AE59" i="44"/>
  <c r="N61" i="44"/>
  <c r="AF61" i="44"/>
  <c r="AE61" i="44"/>
  <c r="N42" i="44"/>
  <c r="AF42" i="44"/>
  <c r="AE42" i="44"/>
  <c r="N45" i="44"/>
  <c r="AF45" i="44"/>
  <c r="AE45" i="44"/>
  <c r="N47" i="44"/>
  <c r="AF47" i="44"/>
  <c r="AE47" i="44"/>
  <c r="N66" i="44"/>
  <c r="AF66" i="44"/>
  <c r="AE66" i="44"/>
  <c r="Q23" i="44"/>
  <c r="P23" i="44"/>
  <c r="AF57" i="44"/>
  <c r="AE57" i="44"/>
  <c r="N57" i="44"/>
  <c r="N18" i="44"/>
  <c r="AF18" i="44"/>
  <c r="AE18" i="44"/>
  <c r="N43" i="44"/>
  <c r="AF43" i="44"/>
  <c r="AE43" i="44"/>
  <c r="N64" i="44"/>
  <c r="AF64" i="44"/>
  <c r="AE64" i="44"/>
  <c r="N17" i="44"/>
  <c r="AF17" i="44"/>
  <c r="AE17" i="44"/>
  <c r="N22" i="44"/>
  <c r="AF22" i="44"/>
  <c r="AE22" i="44"/>
  <c r="F2" i="44"/>
  <c r="I3" i="43"/>
  <c r="N16" i="44"/>
  <c r="AF16" i="44"/>
  <c r="AE16" i="44"/>
  <c r="AF41" i="44"/>
  <c r="AE41" i="44"/>
  <c r="N41" i="44"/>
  <c r="N60" i="44"/>
  <c r="AF60" i="44"/>
  <c r="AE60" i="44"/>
  <c r="N21" i="44"/>
  <c r="M27" i="44"/>
  <c r="AF21" i="44"/>
  <c r="AE21" i="44"/>
  <c r="N46" i="44"/>
  <c r="AF46" i="44"/>
  <c r="AE46" i="44"/>
  <c r="N48" i="44"/>
  <c r="AF48" i="44"/>
  <c r="AE48" i="44"/>
  <c r="N70" i="44"/>
  <c r="AF70" i="44"/>
  <c r="M74" i="44"/>
  <c r="AE70" i="44"/>
  <c r="AF10" i="44"/>
  <c r="AG5" i="44" s="1"/>
  <c r="N13" i="44"/>
  <c r="AF13" i="44"/>
  <c r="AG11" i="44" s="1"/>
  <c r="AE13" i="44"/>
  <c r="AF14" i="44"/>
  <c r="AE14" i="44"/>
  <c r="M20" i="44"/>
  <c r="N14" i="44"/>
  <c r="N58" i="44"/>
  <c r="AF58" i="44"/>
  <c r="AE58" i="44"/>
  <c r="Q69" i="44"/>
  <c r="P69" i="44"/>
  <c r="AF15" i="44"/>
  <c r="AE15" i="44"/>
  <c r="N15" i="44"/>
  <c r="N19" i="44"/>
  <c r="AF19" i="44"/>
  <c r="AE19" i="44"/>
  <c r="N44" i="44"/>
  <c r="AF44" i="44"/>
  <c r="AE44" i="44"/>
  <c r="N65" i="44"/>
  <c r="AF65" i="44"/>
  <c r="AE65" i="44"/>
  <c r="Q49" i="44"/>
  <c r="P49" i="44"/>
  <c r="N63" i="44"/>
  <c r="AF63" i="44"/>
  <c r="M68" i="44"/>
  <c r="AE63" i="44"/>
  <c r="AF5" i="44"/>
  <c r="AF6" i="44"/>
  <c r="AF24" i="44"/>
  <c r="AE25" i="44"/>
  <c r="AF26" i="44"/>
  <c r="AE28" i="44"/>
  <c r="AF30" i="44"/>
  <c r="M33" i="44"/>
  <c r="AF50" i="44"/>
  <c r="F6" i="43"/>
  <c r="N9" i="44"/>
  <c r="N34" i="44"/>
  <c r="N37" i="44"/>
  <c r="N55" i="44"/>
  <c r="E6" i="43"/>
  <c r="N32" i="44"/>
  <c r="N7" i="44"/>
  <c r="N52" i="44"/>
  <c r="N53" i="44"/>
  <c r="N73" i="44"/>
  <c r="N5" i="44"/>
  <c r="N6" i="44"/>
  <c r="P8" i="44"/>
  <c r="N24" i="44"/>
  <c r="N26" i="44"/>
  <c r="N30" i="44"/>
  <c r="P36" i="44"/>
  <c r="N50" i="44"/>
  <c r="P54" i="44"/>
  <c r="N72" i="44"/>
  <c r="P25" i="44"/>
  <c r="P31" i="44"/>
  <c r="P35" i="44"/>
  <c r="AE11" i="44"/>
  <c r="AE12" i="44"/>
  <c r="AE38" i="44"/>
  <c r="AE56" i="44"/>
  <c r="M62" i="44"/>
  <c r="AE9" i="44"/>
  <c r="AF11" i="44"/>
  <c r="AE37" i="44"/>
  <c r="AE55" i="44"/>
  <c r="P67" i="44"/>
  <c r="P71" i="44"/>
  <c r="AE8" i="44"/>
  <c r="AE32" i="44"/>
  <c r="AE36" i="44"/>
  <c r="AE54" i="44"/>
  <c r="AE7" i="44"/>
  <c r="AE31" i="44"/>
  <c r="AE34" i="44"/>
  <c r="AE35" i="44"/>
  <c r="M39" i="44"/>
  <c r="AE52" i="44"/>
  <c r="AE53" i="44"/>
  <c r="AE73" i="44"/>
  <c r="AE5" i="44"/>
  <c r="AD71" i="42"/>
  <c r="AC71" i="42"/>
  <c r="Z71" i="42"/>
  <c r="Y71" i="42"/>
  <c r="O71" i="42"/>
  <c r="K71" i="42"/>
  <c r="V70" i="42"/>
  <c r="U70" i="42"/>
  <c r="O70" i="42"/>
  <c r="M70" i="42"/>
  <c r="AF70" i="42" s="1"/>
  <c r="K70" i="42"/>
  <c r="G70" i="42"/>
  <c r="V69" i="42"/>
  <c r="M69" i="42" s="1"/>
  <c r="AE69" i="42" s="1"/>
  <c r="U69" i="42"/>
  <c r="O69" i="42"/>
  <c r="K69" i="42"/>
  <c r="G69" i="42"/>
  <c r="V68" i="42"/>
  <c r="M68" i="42" s="1"/>
  <c r="U68" i="42"/>
  <c r="O68" i="42"/>
  <c r="K68" i="42"/>
  <c r="G68" i="42"/>
  <c r="V67" i="42"/>
  <c r="M67" i="42" s="1"/>
  <c r="U67" i="42"/>
  <c r="O67" i="42"/>
  <c r="K67" i="42"/>
  <c r="G67" i="42"/>
  <c r="X66" i="42"/>
  <c r="W66" i="42"/>
  <c r="V66" i="42"/>
  <c r="O66" i="42"/>
  <c r="M66" i="42"/>
  <c r="N66" i="42" s="1"/>
  <c r="K66" i="42"/>
  <c r="G66" i="42"/>
  <c r="AD65" i="42"/>
  <c r="AC65" i="42"/>
  <c r="Z65" i="42"/>
  <c r="Y65" i="42"/>
  <c r="O65" i="42"/>
  <c r="K65" i="42"/>
  <c r="V64" i="42"/>
  <c r="M64" i="42" s="1"/>
  <c r="U64" i="42"/>
  <c r="O64" i="42"/>
  <c r="K64" i="42"/>
  <c r="G64" i="42"/>
  <c r="V63" i="42"/>
  <c r="M63" i="42" s="1"/>
  <c r="U63" i="42"/>
  <c r="O63" i="42"/>
  <c r="K63" i="42"/>
  <c r="G63" i="42"/>
  <c r="V62" i="42"/>
  <c r="M62" i="42" s="1"/>
  <c r="U62" i="42"/>
  <c r="O62" i="42"/>
  <c r="K62" i="42"/>
  <c r="G62" i="42"/>
  <c r="V61" i="42"/>
  <c r="M61" i="42" s="1"/>
  <c r="U61" i="42"/>
  <c r="O61" i="42"/>
  <c r="K61" i="42"/>
  <c r="G61" i="42"/>
  <c r="V60" i="42"/>
  <c r="M60" i="42" s="1"/>
  <c r="O60" i="42"/>
  <c r="K60" i="42"/>
  <c r="G60" i="42"/>
  <c r="AD59" i="42"/>
  <c r="AC59" i="42"/>
  <c r="Z59" i="42"/>
  <c r="I19" i="41" s="1"/>
  <c r="Y59" i="42"/>
  <c r="O59" i="42"/>
  <c r="K59" i="42"/>
  <c r="V58" i="42"/>
  <c r="M58" i="42" s="1"/>
  <c r="U58" i="42"/>
  <c r="O58" i="42"/>
  <c r="K58" i="42"/>
  <c r="G58" i="42"/>
  <c r="V57" i="42"/>
  <c r="M57" i="42" s="1"/>
  <c r="U57" i="42"/>
  <c r="O57" i="42"/>
  <c r="K57" i="42"/>
  <c r="G57" i="42"/>
  <c r="V56" i="42"/>
  <c r="M56" i="42" s="1"/>
  <c r="U56" i="42"/>
  <c r="O56" i="42"/>
  <c r="K56" i="42"/>
  <c r="G56" i="42"/>
  <c r="V55" i="42"/>
  <c r="M55" i="42" s="1"/>
  <c r="U55" i="42"/>
  <c r="O55" i="42"/>
  <c r="K55" i="42"/>
  <c r="G55" i="42"/>
  <c r="V54" i="42"/>
  <c r="U54" i="42"/>
  <c r="O54" i="42"/>
  <c r="M54" i="42"/>
  <c r="AF54" i="42" s="1"/>
  <c r="K54" i="42"/>
  <c r="G54" i="42"/>
  <c r="V53" i="42"/>
  <c r="U53" i="42"/>
  <c r="O53" i="42"/>
  <c r="M53" i="42"/>
  <c r="AF53" i="42" s="1"/>
  <c r="K53" i="42"/>
  <c r="G53" i="42"/>
  <c r="V52" i="42"/>
  <c r="U52" i="42"/>
  <c r="O52" i="42"/>
  <c r="M52" i="42"/>
  <c r="AF52" i="42" s="1"/>
  <c r="K52" i="42"/>
  <c r="G52" i="42"/>
  <c r="V51" i="42"/>
  <c r="M51" i="42" s="1"/>
  <c r="AE51" i="42" s="1"/>
  <c r="U51" i="42"/>
  <c r="O51" i="42"/>
  <c r="K51" i="42"/>
  <c r="G51" i="42"/>
  <c r="V50" i="42"/>
  <c r="O50" i="42"/>
  <c r="M50" i="42"/>
  <c r="AE50" i="42" s="1"/>
  <c r="K50" i="42"/>
  <c r="G50" i="42"/>
  <c r="AD49" i="42"/>
  <c r="AC49" i="42"/>
  <c r="Z49" i="42"/>
  <c r="Y49" i="42"/>
  <c r="O49" i="42"/>
  <c r="K49" i="42"/>
  <c r="V48" i="42"/>
  <c r="U48" i="42"/>
  <c r="O48" i="42"/>
  <c r="M48" i="42"/>
  <c r="N48" i="42" s="1"/>
  <c r="K48" i="42"/>
  <c r="G48" i="42"/>
  <c r="V47" i="42"/>
  <c r="M47" i="42" s="1"/>
  <c r="U47" i="42"/>
  <c r="O47" i="42"/>
  <c r="K47" i="42"/>
  <c r="G47" i="42"/>
  <c r="V46" i="42"/>
  <c r="M46" i="42" s="1"/>
  <c r="U46" i="42"/>
  <c r="O46" i="42"/>
  <c r="K46" i="42"/>
  <c r="G46" i="42"/>
  <c r="X45" i="42"/>
  <c r="W45" i="42"/>
  <c r="V45" i="42"/>
  <c r="M45" i="42" s="1"/>
  <c r="U45" i="42"/>
  <c r="O45" i="42"/>
  <c r="K45" i="42"/>
  <c r="G45" i="42"/>
  <c r="V44" i="42"/>
  <c r="M44" i="42" s="1"/>
  <c r="U44" i="42"/>
  <c r="O44" i="42"/>
  <c r="K44" i="42"/>
  <c r="G44" i="42"/>
  <c r="V43" i="42"/>
  <c r="M43" i="42" s="1"/>
  <c r="U43" i="42"/>
  <c r="O43" i="42"/>
  <c r="K43" i="42"/>
  <c r="G43" i="42"/>
  <c r="V42" i="42"/>
  <c r="M42" i="42" s="1"/>
  <c r="U42" i="42"/>
  <c r="O42" i="42"/>
  <c r="K42" i="42"/>
  <c r="G42" i="42"/>
  <c r="V41" i="42"/>
  <c r="M41" i="42" s="1"/>
  <c r="U41" i="42"/>
  <c r="O41" i="42"/>
  <c r="K41" i="42"/>
  <c r="G41" i="42"/>
  <c r="V40" i="42"/>
  <c r="M40" i="42" s="1"/>
  <c r="U40" i="42"/>
  <c r="O40" i="42"/>
  <c r="K40" i="42"/>
  <c r="G40" i="42"/>
  <c r="V39" i="42"/>
  <c r="M39" i="42" s="1"/>
  <c r="O39" i="42"/>
  <c r="K39" i="42"/>
  <c r="G39" i="42"/>
  <c r="AD38" i="42"/>
  <c r="AC38" i="42"/>
  <c r="Z38" i="42"/>
  <c r="Y38" i="42"/>
  <c r="O38" i="42"/>
  <c r="K38" i="42"/>
  <c r="V37" i="42"/>
  <c r="U37" i="42"/>
  <c r="O37" i="42"/>
  <c r="M37" i="42"/>
  <c r="AF37" i="42" s="1"/>
  <c r="K37" i="42"/>
  <c r="G37" i="42"/>
  <c r="V36" i="42"/>
  <c r="M36" i="42" s="1"/>
  <c r="AF36" i="42" s="1"/>
  <c r="U36" i="42"/>
  <c r="O36" i="42"/>
  <c r="K36" i="42"/>
  <c r="G36" i="42"/>
  <c r="V35" i="42"/>
  <c r="M35" i="42" s="1"/>
  <c r="AF35" i="42" s="1"/>
  <c r="U35" i="42"/>
  <c r="O35" i="42"/>
  <c r="K35" i="42"/>
  <c r="G35" i="42"/>
  <c r="V34" i="42"/>
  <c r="M34" i="42" s="1"/>
  <c r="U34" i="42"/>
  <c r="O34" i="42"/>
  <c r="K34" i="42"/>
  <c r="G34" i="42"/>
  <c r="X33" i="42"/>
  <c r="W33" i="42"/>
  <c r="V33" i="42"/>
  <c r="M33" i="42" s="1"/>
  <c r="AF33" i="42" s="1"/>
  <c r="O33" i="42"/>
  <c r="K33" i="42"/>
  <c r="G33" i="42"/>
  <c r="AD32" i="42"/>
  <c r="AC32" i="42"/>
  <c r="Z32" i="42"/>
  <c r="Y32" i="42"/>
  <c r="O32" i="42"/>
  <c r="K32" i="42"/>
  <c r="V31" i="42"/>
  <c r="M31" i="42" s="1"/>
  <c r="AF31" i="42" s="1"/>
  <c r="U31" i="42"/>
  <c r="O31" i="42"/>
  <c r="K31" i="42"/>
  <c r="G31" i="42"/>
  <c r="V30" i="42"/>
  <c r="M30" i="42" s="1"/>
  <c r="U30" i="42"/>
  <c r="O30" i="42"/>
  <c r="K30" i="42"/>
  <c r="G30" i="42"/>
  <c r="V29" i="42"/>
  <c r="M29" i="42" s="1"/>
  <c r="AE29" i="42" s="1"/>
  <c r="U29" i="42"/>
  <c r="O29" i="42"/>
  <c r="K29" i="42"/>
  <c r="G29" i="42"/>
  <c r="V28" i="42"/>
  <c r="M28" i="42" s="1"/>
  <c r="U28" i="42"/>
  <c r="O28" i="42"/>
  <c r="K28" i="42"/>
  <c r="G28" i="42"/>
  <c r="X27" i="42"/>
  <c r="W27" i="42"/>
  <c r="V27" i="42"/>
  <c r="O27" i="42"/>
  <c r="M27" i="42"/>
  <c r="K27" i="42"/>
  <c r="G27" i="42"/>
  <c r="AD26" i="42"/>
  <c r="AC26" i="42"/>
  <c r="Z26" i="42"/>
  <c r="Y26" i="42"/>
  <c r="G18" i="41" s="1"/>
  <c r="O26" i="42"/>
  <c r="K26" i="42"/>
  <c r="G13" i="41" s="1"/>
  <c r="V25" i="42"/>
  <c r="U25" i="42"/>
  <c r="O25" i="42"/>
  <c r="N25" i="42"/>
  <c r="Q25" i="42" s="1"/>
  <c r="M25" i="42"/>
  <c r="AE25" i="42" s="1"/>
  <c r="K25" i="42"/>
  <c r="G25" i="42"/>
  <c r="V24" i="42"/>
  <c r="U24" i="42"/>
  <c r="O24" i="42"/>
  <c r="M24" i="42"/>
  <c r="N24" i="42" s="1"/>
  <c r="K24" i="42"/>
  <c r="G24" i="42"/>
  <c r="V23" i="42"/>
  <c r="M23" i="42" s="1"/>
  <c r="U23" i="42"/>
  <c r="O23" i="42"/>
  <c r="K23" i="42"/>
  <c r="G23" i="42"/>
  <c r="V22" i="42"/>
  <c r="M22" i="42" s="1"/>
  <c r="U22" i="42"/>
  <c r="O22" i="42"/>
  <c r="K22" i="42"/>
  <c r="G22" i="42"/>
  <c r="V21" i="42"/>
  <c r="M21" i="42" s="1"/>
  <c r="U21" i="42"/>
  <c r="O21" i="42"/>
  <c r="K21" i="42"/>
  <c r="G21" i="42"/>
  <c r="V20" i="42"/>
  <c r="M20" i="42" s="1"/>
  <c r="O20" i="42"/>
  <c r="K20" i="42"/>
  <c r="G20" i="42"/>
  <c r="AD19" i="42"/>
  <c r="AC19" i="42"/>
  <c r="Z19" i="42"/>
  <c r="F19" i="41" s="1"/>
  <c r="Y19" i="42"/>
  <c r="O19" i="42"/>
  <c r="K19" i="42"/>
  <c r="V18" i="42"/>
  <c r="M18" i="42" s="1"/>
  <c r="U18" i="42"/>
  <c r="O18" i="42"/>
  <c r="K18" i="42"/>
  <c r="G18" i="42"/>
  <c r="V17" i="42"/>
  <c r="M17" i="42" s="1"/>
  <c r="U17" i="42"/>
  <c r="O17" i="42"/>
  <c r="K17" i="42"/>
  <c r="G17" i="42"/>
  <c r="V16" i="42"/>
  <c r="M16" i="42" s="1"/>
  <c r="U16" i="42"/>
  <c r="O16" i="42"/>
  <c r="K16" i="42"/>
  <c r="G16" i="42"/>
  <c r="V15" i="42"/>
  <c r="U15" i="42"/>
  <c r="O15" i="42"/>
  <c r="M15" i="42"/>
  <c r="AF15" i="42" s="1"/>
  <c r="K15" i="42"/>
  <c r="G15" i="42"/>
  <c r="V14" i="42"/>
  <c r="O14" i="42"/>
  <c r="N14" i="42"/>
  <c r="Q14" i="42" s="1"/>
  <c r="M14" i="42"/>
  <c r="AF14" i="42" s="1"/>
  <c r="K14" i="42"/>
  <c r="G14" i="42"/>
  <c r="AD13" i="42"/>
  <c r="AC13" i="42"/>
  <c r="Z13" i="42"/>
  <c r="Y13" i="42"/>
  <c r="O13" i="42"/>
  <c r="K13" i="42"/>
  <c r="V12" i="42"/>
  <c r="M12" i="42" s="1"/>
  <c r="AF12" i="42" s="1"/>
  <c r="U12" i="42"/>
  <c r="O12" i="42"/>
  <c r="K12" i="42"/>
  <c r="G12" i="42"/>
  <c r="V11" i="42"/>
  <c r="O11" i="42"/>
  <c r="M11" i="42"/>
  <c r="K11" i="42"/>
  <c r="G11" i="42"/>
  <c r="AD10" i="42"/>
  <c r="AD2" i="42" s="1"/>
  <c r="N6" i="41" s="1"/>
  <c r="AC10" i="42"/>
  <c r="D20" i="41" s="1"/>
  <c r="Z10" i="42"/>
  <c r="Y10" i="42"/>
  <c r="O10" i="42"/>
  <c r="K10" i="42"/>
  <c r="V9" i="42"/>
  <c r="U9" i="42"/>
  <c r="O9" i="42"/>
  <c r="M9" i="42"/>
  <c r="AF9" i="42" s="1"/>
  <c r="K9" i="42"/>
  <c r="G9" i="42"/>
  <c r="V8" i="42"/>
  <c r="M8" i="42" s="1"/>
  <c r="U8" i="42"/>
  <c r="O8" i="42"/>
  <c r="K8" i="42"/>
  <c r="G8" i="42"/>
  <c r="AF7" i="42"/>
  <c r="V7" i="42"/>
  <c r="U7" i="42"/>
  <c r="O7" i="42"/>
  <c r="M7" i="42"/>
  <c r="AE7" i="42" s="1"/>
  <c r="K7" i="42"/>
  <c r="G7" i="42"/>
  <c r="V6" i="42"/>
  <c r="M6" i="42" s="1"/>
  <c r="U6" i="42"/>
  <c r="O6" i="42"/>
  <c r="K6" i="42"/>
  <c r="G6" i="42"/>
  <c r="AF5" i="42"/>
  <c r="V5" i="42"/>
  <c r="O5" i="42"/>
  <c r="M5" i="42"/>
  <c r="N5" i="42" s="1"/>
  <c r="K5" i="42"/>
  <c r="G5" i="42"/>
  <c r="H2" i="42"/>
  <c r="H1" i="42"/>
  <c r="D1" i="42"/>
  <c r="M22" i="41"/>
  <c r="L22" i="41"/>
  <c r="K22" i="41"/>
  <c r="J22" i="41"/>
  <c r="I22" i="41"/>
  <c r="H22" i="41"/>
  <c r="G22" i="41"/>
  <c r="F22" i="41"/>
  <c r="E22" i="41"/>
  <c r="D22" i="41"/>
  <c r="M21" i="41"/>
  <c r="L21" i="41"/>
  <c r="K21" i="41"/>
  <c r="J21" i="41"/>
  <c r="I21" i="41"/>
  <c r="H21" i="41"/>
  <c r="G21" i="41"/>
  <c r="F21" i="41"/>
  <c r="E21" i="41"/>
  <c r="D21" i="41"/>
  <c r="M20" i="41"/>
  <c r="L20" i="41"/>
  <c r="K20" i="41"/>
  <c r="J20" i="41"/>
  <c r="I20" i="41"/>
  <c r="H20" i="41"/>
  <c r="G20" i="41"/>
  <c r="F20" i="41"/>
  <c r="E20" i="41"/>
  <c r="M19" i="41"/>
  <c r="L19" i="41"/>
  <c r="K19" i="41"/>
  <c r="J19" i="41"/>
  <c r="H19" i="41"/>
  <c r="G19" i="41"/>
  <c r="E19" i="41"/>
  <c r="D19" i="41"/>
  <c r="M18" i="41"/>
  <c r="L18" i="41"/>
  <c r="K18" i="41"/>
  <c r="J18" i="41"/>
  <c r="I18" i="41"/>
  <c r="H18" i="41"/>
  <c r="F18" i="41"/>
  <c r="E18" i="41"/>
  <c r="D18" i="41"/>
  <c r="M17" i="41"/>
  <c r="L17" i="41"/>
  <c r="K17" i="41"/>
  <c r="J17" i="41"/>
  <c r="I17" i="41"/>
  <c r="H17" i="41"/>
  <c r="G17" i="41"/>
  <c r="F17" i="41"/>
  <c r="E17" i="41"/>
  <c r="D17" i="41"/>
  <c r="M16" i="41"/>
  <c r="L16" i="41"/>
  <c r="K16" i="41"/>
  <c r="J16" i="41"/>
  <c r="I16" i="41"/>
  <c r="H16" i="41"/>
  <c r="G16" i="41"/>
  <c r="F16" i="41"/>
  <c r="E16" i="41"/>
  <c r="D16" i="41"/>
  <c r="M13" i="41"/>
  <c r="L13" i="41"/>
  <c r="K13" i="41"/>
  <c r="I6" i="41" s="1"/>
  <c r="J13" i="41"/>
  <c r="I13" i="41"/>
  <c r="H13" i="41"/>
  <c r="F13" i="41"/>
  <c r="E13" i="41"/>
  <c r="D13" i="41"/>
  <c r="F3" i="41"/>
  <c r="C3" i="41"/>
  <c r="N6" i="42" l="1"/>
  <c r="AF6" i="42"/>
  <c r="AE6" i="42"/>
  <c r="M10" i="42"/>
  <c r="N28" i="42"/>
  <c r="Q28" i="42" s="1"/>
  <c r="AF28" i="42"/>
  <c r="AF55" i="42"/>
  <c r="N55" i="42"/>
  <c r="Q55" i="42" s="1"/>
  <c r="AF8" i="42"/>
  <c r="N8" i="42"/>
  <c r="Q8" i="42" s="1"/>
  <c r="N64" i="42"/>
  <c r="AF64" i="42"/>
  <c r="AE64" i="42"/>
  <c r="AF30" i="42"/>
  <c r="N30" i="42"/>
  <c r="Q30" i="42" s="1"/>
  <c r="AF34" i="42"/>
  <c r="N34" i="42"/>
  <c r="Q34" i="42" s="1"/>
  <c r="N68" i="42"/>
  <c r="AF68" i="42"/>
  <c r="AE68" i="42"/>
  <c r="M32" i="42"/>
  <c r="N27" i="42"/>
  <c r="Q27" i="42" s="1"/>
  <c r="AC2" i="42"/>
  <c r="M6" i="41" s="1"/>
  <c r="Y2" i="42"/>
  <c r="K6" i="41" s="1"/>
  <c r="AF24" i="42"/>
  <c r="F1" i="42"/>
  <c r="F2" i="42" s="1"/>
  <c r="AE27" i="42"/>
  <c r="AF27" i="42"/>
  <c r="N37" i="42"/>
  <c r="Q37" i="42" s="1"/>
  <c r="AE5" i="42"/>
  <c r="M13" i="42"/>
  <c r="AF48" i="42"/>
  <c r="P56" i="44"/>
  <c r="N52" i="42"/>
  <c r="Q52" i="42" s="1"/>
  <c r="P38" i="44"/>
  <c r="Q38" i="44"/>
  <c r="Q11" i="44"/>
  <c r="P11" i="44"/>
  <c r="N15" i="42"/>
  <c r="Q15" i="42" s="1"/>
  <c r="P28" i="44"/>
  <c r="AE66" i="42"/>
  <c r="Q12" i="44"/>
  <c r="P12" i="44"/>
  <c r="N10" i="44"/>
  <c r="Q10" i="44" s="1"/>
  <c r="R5" i="44" s="1"/>
  <c r="N70" i="42"/>
  <c r="Q70" i="42" s="1"/>
  <c r="F8" i="51"/>
  <c r="G8" i="51"/>
  <c r="E8" i="51"/>
  <c r="K15" i="47"/>
  <c r="I8" i="47" s="1"/>
  <c r="I7" i="47"/>
  <c r="E7" i="47"/>
  <c r="G7" i="47"/>
  <c r="D15" i="47"/>
  <c r="F7" i="47"/>
  <c r="Q63" i="46"/>
  <c r="R53" i="46" s="1"/>
  <c r="P63" i="46"/>
  <c r="I14" i="45"/>
  <c r="I15" i="45" s="1"/>
  <c r="F14" i="45"/>
  <c r="F15" i="45" s="1"/>
  <c r="Q21" i="46"/>
  <c r="R14" i="46" s="1"/>
  <c r="P21" i="46"/>
  <c r="Q75" i="46"/>
  <c r="R70" i="46" s="1"/>
  <c r="P75" i="46"/>
  <c r="M14" i="45"/>
  <c r="M15" i="45" s="1"/>
  <c r="Q40" i="46"/>
  <c r="R35" i="46" s="1"/>
  <c r="P40" i="46"/>
  <c r="L14" i="45"/>
  <c r="G14" i="45"/>
  <c r="G15" i="45" s="1"/>
  <c r="Q28" i="46"/>
  <c r="R22" i="46" s="1"/>
  <c r="P28" i="46"/>
  <c r="P10" i="46"/>
  <c r="D2" i="46"/>
  <c r="Q10" i="46"/>
  <c r="R5" i="46" s="1"/>
  <c r="D14" i="45"/>
  <c r="Q7" i="44"/>
  <c r="P7" i="44"/>
  <c r="P10" i="44"/>
  <c r="D14" i="43"/>
  <c r="Q46" i="44"/>
  <c r="P46" i="44"/>
  <c r="P64" i="44"/>
  <c r="Q64" i="44"/>
  <c r="Q16" i="44"/>
  <c r="P16" i="44"/>
  <c r="Q50" i="44"/>
  <c r="P50" i="44"/>
  <c r="N62" i="44"/>
  <c r="AF62" i="44"/>
  <c r="AG52" i="44" s="1"/>
  <c r="AE62" i="44"/>
  <c r="Q32" i="44"/>
  <c r="P32" i="44"/>
  <c r="Q65" i="44"/>
  <c r="P65" i="44"/>
  <c r="Q66" i="44"/>
  <c r="P66" i="44"/>
  <c r="Q61" i="44"/>
  <c r="P61" i="44"/>
  <c r="Q30" i="44"/>
  <c r="P30" i="44"/>
  <c r="AE27" i="44"/>
  <c r="N27" i="44"/>
  <c r="AF27" i="44"/>
  <c r="AG21" i="44" s="1"/>
  <c r="Q43" i="44"/>
  <c r="P43" i="44"/>
  <c r="Q26" i="44"/>
  <c r="P26" i="44"/>
  <c r="Q55" i="44"/>
  <c r="P55" i="44"/>
  <c r="Q58" i="44"/>
  <c r="P58" i="44"/>
  <c r="AF74" i="44"/>
  <c r="AG69" i="44" s="1"/>
  <c r="AE74" i="44"/>
  <c r="N74" i="44"/>
  <c r="Q21" i="44"/>
  <c r="P21" i="44"/>
  <c r="Q24" i="44"/>
  <c r="P24" i="44"/>
  <c r="Q37" i="44"/>
  <c r="P37" i="44"/>
  <c r="P44" i="44"/>
  <c r="Q44" i="44"/>
  <c r="Q14" i="44"/>
  <c r="P14" i="44"/>
  <c r="Q47" i="44"/>
  <c r="P47" i="44"/>
  <c r="Q59" i="44"/>
  <c r="P59" i="44"/>
  <c r="Q34" i="44"/>
  <c r="P34" i="44"/>
  <c r="N20" i="44"/>
  <c r="AF20" i="44"/>
  <c r="AG14" i="44" s="1"/>
  <c r="AE20" i="44"/>
  <c r="Q70" i="44"/>
  <c r="P70" i="44"/>
  <c r="Q22" i="44"/>
  <c r="P22" i="44"/>
  <c r="P18" i="44"/>
  <c r="Q18" i="44"/>
  <c r="Q40" i="44"/>
  <c r="P40" i="44"/>
  <c r="Q6" i="44"/>
  <c r="P6" i="44"/>
  <c r="Q9" i="44"/>
  <c r="P9" i="44"/>
  <c r="N68" i="44"/>
  <c r="AF68" i="44"/>
  <c r="AG63" i="44" s="1"/>
  <c r="AE68" i="44"/>
  <c r="P60" i="44"/>
  <c r="Q60" i="44"/>
  <c r="Q57" i="44"/>
  <c r="P57" i="44"/>
  <c r="AE51" i="44"/>
  <c r="N51" i="44"/>
  <c r="AF51" i="44"/>
  <c r="AG40" i="44" s="1"/>
  <c r="Q5" i="44"/>
  <c r="P5" i="44"/>
  <c r="Q19" i="44"/>
  <c r="P19" i="44"/>
  <c r="Q41" i="44"/>
  <c r="P41" i="44"/>
  <c r="Q45" i="44"/>
  <c r="P45" i="44"/>
  <c r="Q73" i="44"/>
  <c r="P73" i="44"/>
  <c r="P63" i="44"/>
  <c r="Q63" i="44"/>
  <c r="Q15" i="44"/>
  <c r="P15" i="44"/>
  <c r="Q48" i="44"/>
  <c r="P48" i="44"/>
  <c r="Q17" i="44"/>
  <c r="P17" i="44"/>
  <c r="Q53" i="44"/>
  <c r="P53" i="44"/>
  <c r="AF33" i="44"/>
  <c r="AG28" i="44" s="1"/>
  <c r="AE33" i="44"/>
  <c r="N33" i="44"/>
  <c r="N39" i="44"/>
  <c r="AF39" i="44"/>
  <c r="AG34" i="44" s="1"/>
  <c r="AE39" i="44"/>
  <c r="Q72" i="44"/>
  <c r="P72" i="44"/>
  <c r="Q52" i="44"/>
  <c r="P52" i="44"/>
  <c r="E14" i="43"/>
  <c r="E15" i="43" s="1"/>
  <c r="Q13" i="44"/>
  <c r="R11" i="44" s="1"/>
  <c r="P13" i="44"/>
  <c r="Q42" i="44"/>
  <c r="P42" i="44"/>
  <c r="G6" i="41"/>
  <c r="F6" i="41"/>
  <c r="E6" i="41"/>
  <c r="N62" i="42"/>
  <c r="AF62" i="42"/>
  <c r="AE62" i="42"/>
  <c r="Q6" i="42"/>
  <c r="P6" i="42"/>
  <c r="AF13" i="42"/>
  <c r="AG11" i="42" s="1"/>
  <c r="AE13" i="42"/>
  <c r="N13" i="42"/>
  <c r="N43" i="42"/>
  <c r="AF43" i="42"/>
  <c r="AE43" i="42"/>
  <c r="Q64" i="42"/>
  <c r="P64" i="42"/>
  <c r="N17" i="42"/>
  <c r="AF17" i="42"/>
  <c r="AE17" i="42"/>
  <c r="I3" i="41"/>
  <c r="N58" i="42"/>
  <c r="AF58" i="42"/>
  <c r="AE58" i="42"/>
  <c r="N60" i="42"/>
  <c r="AF60" i="42"/>
  <c r="M65" i="42"/>
  <c r="AE60" i="42"/>
  <c r="N22" i="42"/>
  <c r="AF22" i="42"/>
  <c r="AE22" i="42"/>
  <c r="N41" i="42"/>
  <c r="AF41" i="42"/>
  <c r="AE41" i="42"/>
  <c r="N20" i="42"/>
  <c r="AF20" i="42"/>
  <c r="AE20" i="42"/>
  <c r="M26" i="42"/>
  <c r="P28" i="42"/>
  <c r="AF39" i="42"/>
  <c r="AE39" i="42"/>
  <c r="M49" i="42"/>
  <c r="N39" i="42"/>
  <c r="N63" i="42"/>
  <c r="AE63" i="42"/>
  <c r="AF63" i="42"/>
  <c r="N42" i="42"/>
  <c r="AF42" i="42"/>
  <c r="AE42" i="42"/>
  <c r="AF16" i="42"/>
  <c r="AE16" i="42"/>
  <c r="N16" i="42"/>
  <c r="AF40" i="42"/>
  <c r="AE40" i="42"/>
  <c r="N40" i="42"/>
  <c r="Q48" i="42"/>
  <c r="P48" i="42"/>
  <c r="Q5" i="42"/>
  <c r="P5" i="42"/>
  <c r="N44" i="42"/>
  <c r="AF44" i="42"/>
  <c r="AE44" i="42"/>
  <c r="N46" i="42"/>
  <c r="AF46" i="42"/>
  <c r="AE46" i="42"/>
  <c r="AF56" i="42"/>
  <c r="AE56" i="42"/>
  <c r="N56" i="42"/>
  <c r="N18" i="42"/>
  <c r="AF18" i="42"/>
  <c r="AE18" i="42"/>
  <c r="AF32" i="42"/>
  <c r="AG27" i="42" s="1"/>
  <c r="AE32" i="42"/>
  <c r="N32" i="42"/>
  <c r="N61" i="42"/>
  <c r="AF61" i="42"/>
  <c r="AE61" i="42"/>
  <c r="N23" i="42"/>
  <c r="AE23" i="42"/>
  <c r="AF23" i="42"/>
  <c r="N67" i="42"/>
  <c r="M71" i="42"/>
  <c r="AE67" i="42"/>
  <c r="AF67" i="42"/>
  <c r="N21" i="42"/>
  <c r="AF21" i="42"/>
  <c r="AE21" i="42"/>
  <c r="Q66" i="42"/>
  <c r="P66" i="42"/>
  <c r="Q24" i="42"/>
  <c r="P24" i="42"/>
  <c r="N45" i="42"/>
  <c r="AF45" i="42"/>
  <c r="AE45" i="42"/>
  <c r="N47" i="42"/>
  <c r="AE47" i="42"/>
  <c r="AF47" i="42"/>
  <c r="N57" i="42"/>
  <c r="AF57" i="42"/>
  <c r="AE57" i="42"/>
  <c r="Q68" i="42"/>
  <c r="P68" i="42"/>
  <c r="Z2" i="42"/>
  <c r="L6" i="41" s="1"/>
  <c r="AE24" i="42"/>
  <c r="AF25" i="42"/>
  <c r="AE28" i="42"/>
  <c r="AF29" i="42"/>
  <c r="AE48" i="42"/>
  <c r="AF50" i="42"/>
  <c r="AF51" i="42"/>
  <c r="AF69" i="42"/>
  <c r="N11" i="42"/>
  <c r="N12" i="42"/>
  <c r="N33" i="42"/>
  <c r="N36" i="42"/>
  <c r="N54" i="42"/>
  <c r="AF66" i="42"/>
  <c r="N9" i="42"/>
  <c r="P14" i="42"/>
  <c r="P15" i="42"/>
  <c r="N31" i="42"/>
  <c r="N35" i="42"/>
  <c r="P37" i="42"/>
  <c r="N53" i="42"/>
  <c r="P55" i="42"/>
  <c r="N7" i="42"/>
  <c r="N29" i="42"/>
  <c r="N50" i="42"/>
  <c r="N51" i="42"/>
  <c r="N69" i="42"/>
  <c r="P8" i="42"/>
  <c r="P27" i="42"/>
  <c r="P30" i="42"/>
  <c r="P34" i="42"/>
  <c r="P52" i="42"/>
  <c r="P70" i="42"/>
  <c r="AE14" i="42"/>
  <c r="AE15" i="42"/>
  <c r="M19" i="42"/>
  <c r="P25" i="42"/>
  <c r="AE37" i="42"/>
  <c r="AE55" i="42"/>
  <c r="M59" i="42"/>
  <c r="AE11" i="42"/>
  <c r="AE12" i="42"/>
  <c r="AE36" i="42"/>
  <c r="AE54" i="42"/>
  <c r="AE9" i="42"/>
  <c r="AF11" i="42"/>
  <c r="AE31" i="42"/>
  <c r="AE35" i="42"/>
  <c r="AE53" i="42"/>
  <c r="AE8" i="42"/>
  <c r="AE30" i="42"/>
  <c r="AE33" i="42"/>
  <c r="AE34" i="42"/>
  <c r="M38" i="42"/>
  <c r="AE52" i="42"/>
  <c r="AE70" i="42"/>
  <c r="AD73" i="40"/>
  <c r="AC73" i="40"/>
  <c r="Z73" i="40"/>
  <c r="Y73" i="40"/>
  <c r="O73" i="40"/>
  <c r="K73" i="40"/>
  <c r="AF72" i="40"/>
  <c r="V72" i="40"/>
  <c r="U72" i="40"/>
  <c r="O72" i="40"/>
  <c r="M72" i="40"/>
  <c r="AE72" i="40" s="1"/>
  <c r="K72" i="40"/>
  <c r="G72" i="40"/>
  <c r="AE71" i="40"/>
  <c r="V71" i="40"/>
  <c r="U71" i="40"/>
  <c r="O71" i="40"/>
  <c r="M71" i="40"/>
  <c r="N71" i="40" s="1"/>
  <c r="K71" i="40"/>
  <c r="G71" i="40"/>
  <c r="V70" i="40"/>
  <c r="M70" i="40" s="1"/>
  <c r="U70" i="40"/>
  <c r="O70" i="40"/>
  <c r="K70" i="40"/>
  <c r="G70" i="40"/>
  <c r="V69" i="40"/>
  <c r="M69" i="40" s="1"/>
  <c r="U69" i="40"/>
  <c r="O69" i="40"/>
  <c r="K69" i="40"/>
  <c r="G69" i="40"/>
  <c r="X68" i="40"/>
  <c r="W68" i="40"/>
  <c r="V68" i="40"/>
  <c r="M68" i="40" s="1"/>
  <c r="O68" i="40"/>
  <c r="K68" i="40"/>
  <c r="G68" i="40"/>
  <c r="AD67" i="40"/>
  <c r="AC67" i="40"/>
  <c r="Z67" i="40"/>
  <c r="Y67" i="40"/>
  <c r="O67" i="40"/>
  <c r="K67" i="40"/>
  <c r="V66" i="40"/>
  <c r="M66" i="40" s="1"/>
  <c r="U66" i="40"/>
  <c r="O66" i="40"/>
  <c r="K66" i="40"/>
  <c r="G66" i="40"/>
  <c r="V65" i="40"/>
  <c r="M65" i="40" s="1"/>
  <c r="U65" i="40"/>
  <c r="O65" i="40"/>
  <c r="K65" i="40"/>
  <c r="G65" i="40"/>
  <c r="V64" i="40"/>
  <c r="M64" i="40" s="1"/>
  <c r="U64" i="40"/>
  <c r="O64" i="40"/>
  <c r="K64" i="40"/>
  <c r="G64" i="40"/>
  <c r="V63" i="40"/>
  <c r="M63" i="40" s="1"/>
  <c r="U63" i="40"/>
  <c r="O63" i="40"/>
  <c r="K63" i="40"/>
  <c r="G63" i="40"/>
  <c r="V62" i="40"/>
  <c r="M62" i="40" s="1"/>
  <c r="O62" i="40"/>
  <c r="K62" i="40"/>
  <c r="G62" i="40"/>
  <c r="AD61" i="40"/>
  <c r="AC61" i="40"/>
  <c r="Z61" i="40"/>
  <c r="Y61" i="40"/>
  <c r="I18" i="39" s="1"/>
  <c r="O61" i="40"/>
  <c r="K61" i="40"/>
  <c r="V60" i="40"/>
  <c r="M60" i="40" s="1"/>
  <c r="U60" i="40"/>
  <c r="O60" i="40"/>
  <c r="K60" i="40"/>
  <c r="G60" i="40"/>
  <c r="X59" i="40"/>
  <c r="W59" i="40"/>
  <c r="V59" i="40"/>
  <c r="M59" i="40" s="1"/>
  <c r="U59" i="40"/>
  <c r="O59" i="40"/>
  <c r="K59" i="40"/>
  <c r="G59" i="40"/>
  <c r="V58" i="40"/>
  <c r="M58" i="40" s="1"/>
  <c r="U58" i="40"/>
  <c r="O58" i="40"/>
  <c r="K58" i="40"/>
  <c r="G58" i="40"/>
  <c r="V57" i="40"/>
  <c r="M57" i="40" s="1"/>
  <c r="U57" i="40"/>
  <c r="O57" i="40"/>
  <c r="K57" i="40"/>
  <c r="G57" i="40"/>
  <c r="V56" i="40"/>
  <c r="M56" i="40" s="1"/>
  <c r="U56" i="40"/>
  <c r="O56" i="40"/>
  <c r="K56" i="40"/>
  <c r="G56" i="40"/>
  <c r="V55" i="40"/>
  <c r="M55" i="40" s="1"/>
  <c r="AF55" i="40" s="1"/>
  <c r="U55" i="40"/>
  <c r="O55" i="40"/>
  <c r="K55" i="40"/>
  <c r="G55" i="40"/>
  <c r="V54" i="40"/>
  <c r="U54" i="40"/>
  <c r="O54" i="40"/>
  <c r="M54" i="40"/>
  <c r="AF54" i="40" s="1"/>
  <c r="K54" i="40"/>
  <c r="G54" i="40"/>
  <c r="V53" i="40"/>
  <c r="M53" i="40" s="1"/>
  <c r="U53" i="40"/>
  <c r="O53" i="40"/>
  <c r="K53" i="40"/>
  <c r="G53" i="40"/>
  <c r="V52" i="40"/>
  <c r="U52" i="40"/>
  <c r="O52" i="40"/>
  <c r="M52" i="40"/>
  <c r="AE52" i="40" s="1"/>
  <c r="K52" i="40"/>
  <c r="G52" i="40"/>
  <c r="V51" i="40"/>
  <c r="M51" i="40" s="1"/>
  <c r="O51" i="40"/>
  <c r="K51" i="40"/>
  <c r="G51" i="40"/>
  <c r="AD50" i="40"/>
  <c r="H21" i="39" s="1"/>
  <c r="AC50" i="40"/>
  <c r="Z50" i="40"/>
  <c r="Y50" i="40"/>
  <c r="O50" i="40"/>
  <c r="K50" i="40"/>
  <c r="AE49" i="40"/>
  <c r="V49" i="40"/>
  <c r="U49" i="40"/>
  <c r="O49" i="40"/>
  <c r="M49" i="40"/>
  <c r="N49" i="40" s="1"/>
  <c r="K49" i="40"/>
  <c r="G49" i="40"/>
  <c r="V48" i="40"/>
  <c r="M48" i="40" s="1"/>
  <c r="U48" i="40"/>
  <c r="O48" i="40"/>
  <c r="K48" i="40"/>
  <c r="G48" i="40"/>
  <c r="V47" i="40"/>
  <c r="M47" i="40" s="1"/>
  <c r="U47" i="40"/>
  <c r="O47" i="40"/>
  <c r="K47" i="40"/>
  <c r="G47" i="40"/>
  <c r="X46" i="40"/>
  <c r="W46" i="40"/>
  <c r="V46" i="40"/>
  <c r="M46" i="40" s="1"/>
  <c r="U46" i="40"/>
  <c r="O46" i="40"/>
  <c r="K46" i="40"/>
  <c r="G46" i="40"/>
  <c r="V45" i="40"/>
  <c r="M45" i="40" s="1"/>
  <c r="U45" i="40"/>
  <c r="O45" i="40"/>
  <c r="K45" i="40"/>
  <c r="G45" i="40"/>
  <c r="V44" i="40"/>
  <c r="M44" i="40" s="1"/>
  <c r="U44" i="40"/>
  <c r="O44" i="40"/>
  <c r="K44" i="40"/>
  <c r="G44" i="40"/>
  <c r="V43" i="40"/>
  <c r="M43" i="40" s="1"/>
  <c r="U43" i="40"/>
  <c r="O43" i="40"/>
  <c r="K43" i="40"/>
  <c r="G43" i="40"/>
  <c r="V42" i="40"/>
  <c r="M42" i="40" s="1"/>
  <c r="U42" i="40"/>
  <c r="O42" i="40"/>
  <c r="K42" i="40"/>
  <c r="G42" i="40"/>
  <c r="V41" i="40"/>
  <c r="M41" i="40" s="1"/>
  <c r="U41" i="40"/>
  <c r="O41" i="40"/>
  <c r="K41" i="40"/>
  <c r="G41" i="40"/>
  <c r="V40" i="40"/>
  <c r="M40" i="40" s="1"/>
  <c r="O40" i="40"/>
  <c r="K40" i="40"/>
  <c r="G40" i="40"/>
  <c r="AD39" i="40"/>
  <c r="L21" i="39" s="1"/>
  <c r="AC39" i="40"/>
  <c r="Z39" i="40"/>
  <c r="Y39" i="40"/>
  <c r="O39" i="40"/>
  <c r="K39" i="40"/>
  <c r="V38" i="40"/>
  <c r="U38" i="40"/>
  <c r="O38" i="40"/>
  <c r="M38" i="40"/>
  <c r="AF38" i="40" s="1"/>
  <c r="K38" i="40"/>
  <c r="G38" i="40"/>
  <c r="V37" i="40"/>
  <c r="M37" i="40" s="1"/>
  <c r="AF37" i="40" s="1"/>
  <c r="U37" i="40"/>
  <c r="O37" i="40"/>
  <c r="K37" i="40"/>
  <c r="G37" i="40"/>
  <c r="V36" i="40"/>
  <c r="M36" i="40" s="1"/>
  <c r="AF36" i="40" s="1"/>
  <c r="U36" i="40"/>
  <c r="O36" i="40"/>
  <c r="K36" i="40"/>
  <c r="G36" i="40"/>
  <c r="V35" i="40"/>
  <c r="M35" i="40" s="1"/>
  <c r="U35" i="40"/>
  <c r="O35" i="40"/>
  <c r="K35" i="40"/>
  <c r="G35" i="40"/>
  <c r="X34" i="40"/>
  <c r="W34" i="40"/>
  <c r="V34" i="40"/>
  <c r="M34" i="40" s="1"/>
  <c r="AF34" i="40" s="1"/>
  <c r="O34" i="40"/>
  <c r="K34" i="40"/>
  <c r="G34" i="40"/>
  <c r="AD33" i="40"/>
  <c r="AD2" i="40" s="1"/>
  <c r="N6" i="39" s="1"/>
  <c r="AC33" i="40"/>
  <c r="Z33" i="40"/>
  <c r="Y33" i="40"/>
  <c r="O33" i="40"/>
  <c r="K33" i="40"/>
  <c r="V32" i="40"/>
  <c r="M32" i="40" s="1"/>
  <c r="AF32" i="40" s="1"/>
  <c r="U32" i="40"/>
  <c r="O32" i="40"/>
  <c r="K32" i="40"/>
  <c r="G32" i="40"/>
  <c r="V31" i="40"/>
  <c r="M31" i="40" s="1"/>
  <c r="U31" i="40"/>
  <c r="O31" i="40"/>
  <c r="K31" i="40"/>
  <c r="G31" i="40"/>
  <c r="V30" i="40"/>
  <c r="U30" i="40"/>
  <c r="O30" i="40"/>
  <c r="M30" i="40"/>
  <c r="AE30" i="40" s="1"/>
  <c r="K30" i="40"/>
  <c r="G30" i="40"/>
  <c r="V29" i="40"/>
  <c r="U29" i="40"/>
  <c r="O29" i="40"/>
  <c r="M29" i="40"/>
  <c r="N29" i="40" s="1"/>
  <c r="K29" i="40"/>
  <c r="G29" i="40"/>
  <c r="X28" i="40"/>
  <c r="W28" i="40"/>
  <c r="V28" i="40"/>
  <c r="M28" i="40" s="1"/>
  <c r="O28" i="40"/>
  <c r="K28" i="40"/>
  <c r="G28" i="40"/>
  <c r="AD27" i="40"/>
  <c r="AC27" i="40"/>
  <c r="G20" i="39" s="1"/>
  <c r="Z27" i="40"/>
  <c r="Y27" i="40"/>
  <c r="O27" i="40"/>
  <c r="K27" i="40"/>
  <c r="G13" i="39" s="1"/>
  <c r="V26" i="40"/>
  <c r="M26" i="40" s="1"/>
  <c r="U26" i="40"/>
  <c r="O26" i="40"/>
  <c r="K26" i="40"/>
  <c r="G26" i="40"/>
  <c r="AF25" i="40"/>
  <c r="AE25" i="40"/>
  <c r="X25" i="40"/>
  <c r="W25" i="40"/>
  <c r="V25" i="40"/>
  <c r="U25" i="40"/>
  <c r="O25" i="40"/>
  <c r="N25" i="40"/>
  <c r="Q25" i="40" s="1"/>
  <c r="M25" i="40"/>
  <c r="K25" i="40"/>
  <c r="G25" i="40"/>
  <c r="V24" i="40"/>
  <c r="M24" i="40" s="1"/>
  <c r="U24" i="40"/>
  <c r="O24" i="40"/>
  <c r="K24" i="40"/>
  <c r="G24" i="40"/>
  <c r="V23" i="40"/>
  <c r="M23" i="40" s="1"/>
  <c r="U23" i="40"/>
  <c r="O23" i="40"/>
  <c r="K23" i="40"/>
  <c r="G23" i="40"/>
  <c r="V22" i="40"/>
  <c r="M22" i="40" s="1"/>
  <c r="U22" i="40"/>
  <c r="O22" i="40"/>
  <c r="K22" i="40"/>
  <c r="G22" i="40"/>
  <c r="V21" i="40"/>
  <c r="M21" i="40" s="1"/>
  <c r="O21" i="40"/>
  <c r="K21" i="40"/>
  <c r="G21" i="40"/>
  <c r="AD20" i="40"/>
  <c r="F21" i="39" s="1"/>
  <c r="AC20" i="40"/>
  <c r="Z20" i="40"/>
  <c r="F19" i="39" s="1"/>
  <c r="Y20" i="40"/>
  <c r="F18" i="39" s="1"/>
  <c r="O20" i="40"/>
  <c r="K20" i="40"/>
  <c r="V19" i="40"/>
  <c r="M19" i="40" s="1"/>
  <c r="U19" i="40"/>
  <c r="O19" i="40"/>
  <c r="K19" i="40"/>
  <c r="G19" i="40"/>
  <c r="V18" i="40"/>
  <c r="M18" i="40" s="1"/>
  <c r="U18" i="40"/>
  <c r="O18" i="40"/>
  <c r="K18" i="40"/>
  <c r="G18" i="40"/>
  <c r="V17" i="40"/>
  <c r="M17" i="40" s="1"/>
  <c r="U17" i="40"/>
  <c r="O17" i="40"/>
  <c r="K17" i="40"/>
  <c r="G17" i="40"/>
  <c r="V16" i="40"/>
  <c r="M16" i="40" s="1"/>
  <c r="U16" i="40"/>
  <c r="O16" i="40"/>
  <c r="K16" i="40"/>
  <c r="G16" i="40"/>
  <c r="V15" i="40"/>
  <c r="M15" i="40" s="1"/>
  <c r="U15" i="40"/>
  <c r="O15" i="40"/>
  <c r="K15" i="40"/>
  <c r="G15" i="40"/>
  <c r="V14" i="40"/>
  <c r="M14" i="40" s="1"/>
  <c r="O14" i="40"/>
  <c r="K14" i="40"/>
  <c r="G14" i="40"/>
  <c r="AD13" i="40"/>
  <c r="AC13" i="40"/>
  <c r="AC2" i="40" s="1"/>
  <c r="M6" i="39" s="1"/>
  <c r="Z13" i="40"/>
  <c r="Y13" i="40"/>
  <c r="O13" i="40"/>
  <c r="K13" i="40"/>
  <c r="V12" i="40"/>
  <c r="U12" i="40"/>
  <c r="O12" i="40"/>
  <c r="M12" i="40"/>
  <c r="AF12" i="40" s="1"/>
  <c r="K12" i="40"/>
  <c r="G12" i="40"/>
  <c r="V11" i="40"/>
  <c r="O11" i="40"/>
  <c r="M11" i="40"/>
  <c r="K11" i="40"/>
  <c r="G11" i="40"/>
  <c r="AD10" i="40"/>
  <c r="AC10" i="40"/>
  <c r="Z10" i="40"/>
  <c r="Y10" i="40"/>
  <c r="Y2" i="40" s="1"/>
  <c r="K6" i="39" s="1"/>
  <c r="O10" i="40"/>
  <c r="K10" i="40"/>
  <c r="V9" i="40"/>
  <c r="U9" i="40"/>
  <c r="O9" i="40"/>
  <c r="M9" i="40"/>
  <c r="AF9" i="40" s="1"/>
  <c r="K9" i="40"/>
  <c r="G9" i="40"/>
  <c r="V8" i="40"/>
  <c r="M8" i="40" s="1"/>
  <c r="AF8" i="40" s="1"/>
  <c r="U8" i="40"/>
  <c r="O8" i="40"/>
  <c r="K8" i="40"/>
  <c r="G8" i="40"/>
  <c r="V7" i="40"/>
  <c r="U7" i="40"/>
  <c r="O7" i="40"/>
  <c r="M7" i="40"/>
  <c r="AF7" i="40" s="1"/>
  <c r="K7" i="40"/>
  <c r="G7" i="40"/>
  <c r="V6" i="40"/>
  <c r="M6" i="40" s="1"/>
  <c r="U6" i="40"/>
  <c r="O6" i="40"/>
  <c r="K6" i="40"/>
  <c r="G6" i="40"/>
  <c r="V5" i="40"/>
  <c r="O5" i="40"/>
  <c r="M5" i="40"/>
  <c r="K5" i="40"/>
  <c r="G5" i="40"/>
  <c r="H2" i="40"/>
  <c r="H1" i="40"/>
  <c r="D1" i="40"/>
  <c r="M22" i="39"/>
  <c r="L22" i="39"/>
  <c r="K22" i="39"/>
  <c r="J22" i="39"/>
  <c r="I22" i="39"/>
  <c r="H22" i="39"/>
  <c r="G22" i="39"/>
  <c r="F22" i="39"/>
  <c r="E22" i="39"/>
  <c r="D22" i="39"/>
  <c r="M21" i="39"/>
  <c r="K21" i="39"/>
  <c r="J21" i="39"/>
  <c r="I21" i="39"/>
  <c r="G21" i="39"/>
  <c r="E21" i="39"/>
  <c r="D21" i="39"/>
  <c r="M20" i="39"/>
  <c r="L20" i="39"/>
  <c r="K20" i="39"/>
  <c r="J20" i="39"/>
  <c r="I20" i="39"/>
  <c r="H20" i="39"/>
  <c r="F20" i="39"/>
  <c r="E20" i="39"/>
  <c r="D20" i="39"/>
  <c r="M19" i="39"/>
  <c r="L19" i="39"/>
  <c r="K19" i="39"/>
  <c r="J19" i="39"/>
  <c r="I19" i="39"/>
  <c r="H19" i="39"/>
  <c r="G19" i="39"/>
  <c r="E19" i="39"/>
  <c r="D19" i="39"/>
  <c r="M18" i="39"/>
  <c r="L18" i="39"/>
  <c r="K18" i="39"/>
  <c r="J18" i="39"/>
  <c r="H18" i="39"/>
  <c r="G18" i="39"/>
  <c r="E18" i="39"/>
  <c r="D18" i="39"/>
  <c r="M17" i="39"/>
  <c r="L17" i="39"/>
  <c r="K17" i="39"/>
  <c r="J17" i="39"/>
  <c r="I17" i="39"/>
  <c r="H17" i="39"/>
  <c r="G17" i="39"/>
  <c r="F17" i="39"/>
  <c r="E17" i="39"/>
  <c r="D17" i="39"/>
  <c r="M16" i="39"/>
  <c r="L16" i="39"/>
  <c r="K16" i="39"/>
  <c r="J16" i="39"/>
  <c r="I16" i="39"/>
  <c r="H16" i="39"/>
  <c r="G16" i="39"/>
  <c r="F16" i="39"/>
  <c r="E16" i="39"/>
  <c r="D16" i="39"/>
  <c r="M13" i="39"/>
  <c r="L13" i="39"/>
  <c r="K13" i="39"/>
  <c r="I6" i="39" s="1"/>
  <c r="J13" i="39"/>
  <c r="I13" i="39"/>
  <c r="H13" i="39"/>
  <c r="F13" i="39"/>
  <c r="E13" i="39"/>
  <c r="D13" i="39"/>
  <c r="F3" i="39"/>
  <c r="C3" i="39"/>
  <c r="AE24" i="40" l="1"/>
  <c r="AF24" i="40"/>
  <c r="N24" i="40"/>
  <c r="Q24" i="40" s="1"/>
  <c r="N68" i="40"/>
  <c r="AE68" i="40"/>
  <c r="AF53" i="40"/>
  <c r="N53" i="40"/>
  <c r="Q53" i="40" s="1"/>
  <c r="AF31" i="40"/>
  <c r="N31" i="40"/>
  <c r="Q31" i="40" s="1"/>
  <c r="AF28" i="40"/>
  <c r="AE28" i="40"/>
  <c r="N28" i="40"/>
  <c r="Q28" i="40" s="1"/>
  <c r="M33" i="40"/>
  <c r="AF35" i="40"/>
  <c r="N35" i="40"/>
  <c r="Q35" i="40" s="1"/>
  <c r="AF17" i="40"/>
  <c r="AE17" i="40"/>
  <c r="N17" i="40"/>
  <c r="AE6" i="40"/>
  <c r="AF6" i="40"/>
  <c r="N6" i="40"/>
  <c r="Q6" i="40" s="1"/>
  <c r="AE51" i="40"/>
  <c r="AF51" i="40"/>
  <c r="N51" i="40"/>
  <c r="Q51" i="40" s="1"/>
  <c r="AE26" i="40"/>
  <c r="AF26" i="40"/>
  <c r="N26" i="40"/>
  <c r="Q26" i="40" s="1"/>
  <c r="N23" i="40"/>
  <c r="AF23" i="40"/>
  <c r="AE23" i="40"/>
  <c r="AF56" i="40"/>
  <c r="N56" i="40"/>
  <c r="Q56" i="40" s="1"/>
  <c r="AF29" i="40"/>
  <c r="N12" i="40"/>
  <c r="Q12" i="40" s="1"/>
  <c r="AF49" i="40"/>
  <c r="AF52" i="40"/>
  <c r="N30" i="40"/>
  <c r="Q30" i="40" s="1"/>
  <c r="F1" i="40"/>
  <c r="F2" i="40" s="1"/>
  <c r="AF30" i="40"/>
  <c r="Z2" i="40"/>
  <c r="L6" i="39" s="1"/>
  <c r="N7" i="40"/>
  <c r="Q7" i="40" s="1"/>
  <c r="AF71" i="40"/>
  <c r="M10" i="40"/>
  <c r="M13" i="40"/>
  <c r="N5" i="40"/>
  <c r="Q5" i="40" s="1"/>
  <c r="N11" i="40"/>
  <c r="Q11" i="40" s="1"/>
  <c r="AF10" i="42"/>
  <c r="AG5" i="42" s="1"/>
  <c r="N10" i="42"/>
  <c r="N72" i="40"/>
  <c r="Q72" i="40" s="1"/>
  <c r="AF5" i="40"/>
  <c r="AE29" i="40"/>
  <c r="N38" i="40"/>
  <c r="Q38" i="40" s="1"/>
  <c r="N52" i="40"/>
  <c r="Q52" i="40" s="1"/>
  <c r="AE10" i="42"/>
  <c r="E8" i="47"/>
  <c r="G8" i="47"/>
  <c r="F8" i="47"/>
  <c r="L15" i="45"/>
  <c r="I8" i="45" s="1"/>
  <c r="I7" i="45"/>
  <c r="E7" i="45"/>
  <c r="D15" i="45"/>
  <c r="G7" i="45"/>
  <c r="F7" i="45"/>
  <c r="Q39" i="44"/>
  <c r="R34" i="44" s="1"/>
  <c r="L14" i="43"/>
  <c r="L15" i="43" s="1"/>
  <c r="P39" i="44"/>
  <c r="Q20" i="44"/>
  <c r="R14" i="44" s="1"/>
  <c r="P20" i="44"/>
  <c r="F14" i="43"/>
  <c r="F15" i="43" s="1"/>
  <c r="Q33" i="44"/>
  <c r="R28" i="44" s="1"/>
  <c r="P33" i="44"/>
  <c r="K14" i="43"/>
  <c r="Q51" i="44"/>
  <c r="R40" i="44" s="1"/>
  <c r="P51" i="44"/>
  <c r="H14" i="43"/>
  <c r="H15" i="43" s="1"/>
  <c r="D15" i="43"/>
  <c r="Q74" i="44"/>
  <c r="R69" i="44" s="1"/>
  <c r="P74" i="44"/>
  <c r="M14" i="43"/>
  <c r="M15" i="43" s="1"/>
  <c r="Q27" i="44"/>
  <c r="R21" i="44" s="1"/>
  <c r="P27" i="44"/>
  <c r="G14" i="43"/>
  <c r="G15" i="43" s="1"/>
  <c r="Q62" i="44"/>
  <c r="R52" i="44" s="1"/>
  <c r="P62" i="44"/>
  <c r="I14" i="43"/>
  <c r="I15" i="43" s="1"/>
  <c r="D2" i="44"/>
  <c r="Q68" i="44"/>
  <c r="R63" i="44" s="1"/>
  <c r="P68" i="44"/>
  <c r="J14" i="43"/>
  <c r="J15" i="43" s="1"/>
  <c r="Q7" i="42"/>
  <c r="P7" i="42"/>
  <c r="Q67" i="42"/>
  <c r="P67" i="42"/>
  <c r="Q18" i="42"/>
  <c r="P18" i="42"/>
  <c r="P43" i="42"/>
  <c r="Q43" i="42"/>
  <c r="E14" i="41"/>
  <c r="Q13" i="42"/>
  <c r="R11" i="42" s="1"/>
  <c r="P13" i="42"/>
  <c r="Q36" i="42"/>
  <c r="P36" i="42"/>
  <c r="Q40" i="42"/>
  <c r="P40" i="42"/>
  <c r="Q39" i="42"/>
  <c r="P39" i="42"/>
  <c r="Q58" i="42"/>
  <c r="P58" i="42"/>
  <c r="Q33" i="42"/>
  <c r="P33" i="42"/>
  <c r="Q23" i="42"/>
  <c r="P23" i="42"/>
  <c r="N49" i="42"/>
  <c r="AF49" i="42"/>
  <c r="AG39" i="42" s="1"/>
  <c r="AE49" i="42"/>
  <c r="P41" i="42"/>
  <c r="Q41" i="42"/>
  <c r="N38" i="42"/>
  <c r="AF38" i="42"/>
  <c r="AG33" i="42" s="1"/>
  <c r="AE38" i="42"/>
  <c r="Q53" i="42"/>
  <c r="P53" i="42"/>
  <c r="Q12" i="42"/>
  <c r="P12" i="42"/>
  <c r="Q63" i="42"/>
  <c r="P63" i="42"/>
  <c r="Q11" i="42"/>
  <c r="P11" i="42"/>
  <c r="Q16" i="42"/>
  <c r="P16" i="42"/>
  <c r="Q56" i="42"/>
  <c r="P56" i="42"/>
  <c r="Q35" i="42"/>
  <c r="P35" i="42"/>
  <c r="P61" i="42"/>
  <c r="Q61" i="42"/>
  <c r="Q46" i="42"/>
  <c r="P46" i="42"/>
  <c r="Q22" i="42"/>
  <c r="P22" i="42"/>
  <c r="Q54" i="42"/>
  <c r="P54" i="42"/>
  <c r="N59" i="42"/>
  <c r="AF59" i="42"/>
  <c r="AG50" i="42" s="1"/>
  <c r="AE59" i="42"/>
  <c r="Q31" i="42"/>
  <c r="P31" i="42"/>
  <c r="P57" i="42"/>
  <c r="Q57" i="42"/>
  <c r="Q32" i="42"/>
  <c r="R27" i="42" s="1"/>
  <c r="K14" i="41"/>
  <c r="P32" i="42"/>
  <c r="P17" i="42"/>
  <c r="Q17" i="42"/>
  <c r="Q69" i="42"/>
  <c r="P69" i="42"/>
  <c r="P21" i="42"/>
  <c r="Q21" i="42"/>
  <c r="AE26" i="42"/>
  <c r="N26" i="42"/>
  <c r="AF26" i="42"/>
  <c r="AG20" i="42" s="1"/>
  <c r="N65" i="42"/>
  <c r="AF65" i="42"/>
  <c r="AG60" i="42" s="1"/>
  <c r="AE65" i="42"/>
  <c r="Q62" i="42"/>
  <c r="P62" i="42"/>
  <c r="Q51" i="42"/>
  <c r="P51" i="42"/>
  <c r="Q44" i="42"/>
  <c r="P44" i="42"/>
  <c r="Q50" i="42"/>
  <c r="P50" i="42"/>
  <c r="Q47" i="42"/>
  <c r="P47" i="42"/>
  <c r="Q42" i="42"/>
  <c r="P42" i="42"/>
  <c r="P60" i="42"/>
  <c r="Q60" i="42"/>
  <c r="Q45" i="42"/>
  <c r="P45" i="42"/>
  <c r="N19" i="42"/>
  <c r="AF19" i="42"/>
  <c r="AG14" i="42" s="1"/>
  <c r="AE19" i="42"/>
  <c r="Q29" i="42"/>
  <c r="P29" i="42"/>
  <c r="Q9" i="42"/>
  <c r="P9" i="42"/>
  <c r="AF71" i="42"/>
  <c r="AG66" i="42" s="1"/>
  <c r="AE71" i="42"/>
  <c r="N71" i="42"/>
  <c r="P20" i="42"/>
  <c r="Q20" i="42"/>
  <c r="Q23" i="40"/>
  <c r="P23" i="40"/>
  <c r="N18" i="40"/>
  <c r="AF18" i="40"/>
  <c r="AE18" i="40"/>
  <c r="N41" i="40"/>
  <c r="AF41" i="40"/>
  <c r="AE41" i="40"/>
  <c r="N66" i="40"/>
  <c r="AF66" i="40"/>
  <c r="AE66" i="40"/>
  <c r="N70" i="40"/>
  <c r="AE70" i="40"/>
  <c r="AF70" i="40"/>
  <c r="N59" i="40"/>
  <c r="AF59" i="40"/>
  <c r="AE59" i="40"/>
  <c r="N46" i="40"/>
  <c r="AF46" i="40"/>
  <c r="AE46" i="40"/>
  <c r="N48" i="40"/>
  <c r="AE48" i="40"/>
  <c r="AF48" i="40"/>
  <c r="N57" i="40"/>
  <c r="AF57" i="40"/>
  <c r="AE57" i="40"/>
  <c r="N16" i="40"/>
  <c r="AF16" i="40"/>
  <c r="AE16" i="40"/>
  <c r="N13" i="40"/>
  <c r="AF13" i="40"/>
  <c r="AG11" i="40" s="1"/>
  <c r="AE13" i="40"/>
  <c r="Q29" i="40"/>
  <c r="P29" i="40"/>
  <c r="N64" i="40"/>
  <c r="AF64" i="40"/>
  <c r="AE64" i="40"/>
  <c r="I3" i="39"/>
  <c r="N15" i="40"/>
  <c r="AF15" i="40"/>
  <c r="AE15" i="40"/>
  <c r="N21" i="40"/>
  <c r="M27" i="40"/>
  <c r="AF21" i="40"/>
  <c r="AE21" i="40"/>
  <c r="N44" i="40"/>
  <c r="AF44" i="40"/>
  <c r="AE44" i="40"/>
  <c r="Q71" i="40"/>
  <c r="P71" i="40"/>
  <c r="Q49" i="40"/>
  <c r="P49" i="40"/>
  <c r="N62" i="40"/>
  <c r="AF62" i="40"/>
  <c r="M67" i="40"/>
  <c r="AE62" i="40"/>
  <c r="N40" i="40"/>
  <c r="AF40" i="40"/>
  <c r="AE40" i="40"/>
  <c r="M50" i="40"/>
  <c r="N22" i="40"/>
  <c r="AE22" i="40"/>
  <c r="AF22" i="40"/>
  <c r="N19" i="40"/>
  <c r="AF19" i="40"/>
  <c r="AE19" i="40"/>
  <c r="N42" i="40"/>
  <c r="AF42" i="40"/>
  <c r="AE42" i="40"/>
  <c r="N58" i="40"/>
  <c r="AF58" i="40"/>
  <c r="AE58" i="40"/>
  <c r="N60" i="40"/>
  <c r="AF60" i="40"/>
  <c r="AE60" i="40"/>
  <c r="N65" i="40"/>
  <c r="AF65" i="40"/>
  <c r="AE65" i="40"/>
  <c r="N69" i="40"/>
  <c r="AF69" i="40"/>
  <c r="AE69" i="40"/>
  <c r="G6" i="39"/>
  <c r="F6" i="39"/>
  <c r="E6" i="39"/>
  <c r="N45" i="40"/>
  <c r="AF45" i="40"/>
  <c r="AE45" i="40"/>
  <c r="N47" i="40"/>
  <c r="AF47" i="40"/>
  <c r="AE47" i="40"/>
  <c r="N63" i="40"/>
  <c r="AF63" i="40"/>
  <c r="AE63" i="40"/>
  <c r="Q68" i="40"/>
  <c r="P68" i="40"/>
  <c r="N10" i="40"/>
  <c r="AF10" i="40"/>
  <c r="AG5" i="40" s="1"/>
  <c r="AE10" i="40"/>
  <c r="N14" i="40"/>
  <c r="AF14" i="40"/>
  <c r="AE14" i="40"/>
  <c r="M20" i="40"/>
  <c r="N43" i="40"/>
  <c r="AF43" i="40"/>
  <c r="AE43" i="40"/>
  <c r="N9" i="40"/>
  <c r="N34" i="40"/>
  <c r="N37" i="40"/>
  <c r="N55" i="40"/>
  <c r="M73" i="40"/>
  <c r="N8" i="40"/>
  <c r="P11" i="40"/>
  <c r="P12" i="40"/>
  <c r="N32" i="40"/>
  <c r="N36" i="40"/>
  <c r="P38" i="40"/>
  <c r="N54" i="40"/>
  <c r="P56" i="40"/>
  <c r="AF68" i="40"/>
  <c r="P7" i="40"/>
  <c r="P25" i="40"/>
  <c r="P28" i="40"/>
  <c r="P31" i="40"/>
  <c r="P35" i="40"/>
  <c r="P53" i="40"/>
  <c r="P5" i="40"/>
  <c r="P6" i="40"/>
  <c r="AE11" i="40"/>
  <c r="AE12" i="40"/>
  <c r="P24" i="40"/>
  <c r="P26" i="40"/>
  <c r="P30" i="40"/>
  <c r="AE38" i="40"/>
  <c r="P51" i="40"/>
  <c r="P52" i="40"/>
  <c r="AE56" i="40"/>
  <c r="P72" i="40"/>
  <c r="AE9" i="40"/>
  <c r="AF11" i="40"/>
  <c r="AE37" i="40"/>
  <c r="AE55" i="40"/>
  <c r="M61" i="40"/>
  <c r="AE8" i="40"/>
  <c r="AE32" i="40"/>
  <c r="AE33" i="40"/>
  <c r="AE36" i="40"/>
  <c r="AE54" i="40"/>
  <c r="AE7" i="40"/>
  <c r="AE31" i="40"/>
  <c r="AE34" i="40"/>
  <c r="AE35" i="40"/>
  <c r="M39" i="40"/>
  <c r="AE53" i="40"/>
  <c r="AE5" i="40"/>
  <c r="AD73" i="38"/>
  <c r="AC73" i="38"/>
  <c r="Z73" i="38"/>
  <c r="Y73" i="38"/>
  <c r="O73" i="38"/>
  <c r="K73" i="38"/>
  <c r="V72" i="38"/>
  <c r="M72" i="38" s="1"/>
  <c r="AF72" i="38" s="1"/>
  <c r="U72" i="38"/>
  <c r="O72" i="38"/>
  <c r="K72" i="38"/>
  <c r="G72" i="38"/>
  <c r="V71" i="38"/>
  <c r="M71" i="38" s="1"/>
  <c r="U71" i="38"/>
  <c r="O71" i="38"/>
  <c r="K71" i="38"/>
  <c r="G71" i="38"/>
  <c r="V70" i="38"/>
  <c r="M70" i="38" s="1"/>
  <c r="U70" i="38"/>
  <c r="O70" i="38"/>
  <c r="K70" i="38"/>
  <c r="G70" i="38"/>
  <c r="V69" i="38"/>
  <c r="M69" i="38" s="1"/>
  <c r="U69" i="38"/>
  <c r="O69" i="38"/>
  <c r="K69" i="38"/>
  <c r="G69" i="38"/>
  <c r="AE68" i="38"/>
  <c r="X68" i="38"/>
  <c r="W68" i="38"/>
  <c r="V68" i="38"/>
  <c r="O68" i="38"/>
  <c r="M68" i="38"/>
  <c r="N68" i="38" s="1"/>
  <c r="K68" i="38"/>
  <c r="G68" i="38"/>
  <c r="AD67" i="38"/>
  <c r="AC67" i="38"/>
  <c r="Z67" i="38"/>
  <c r="Y67" i="38"/>
  <c r="O67" i="38"/>
  <c r="K67" i="38"/>
  <c r="V66" i="38"/>
  <c r="U66" i="38"/>
  <c r="O66" i="38"/>
  <c r="M66" i="38"/>
  <c r="N66" i="38" s="1"/>
  <c r="K66" i="38"/>
  <c r="G66" i="38"/>
  <c r="V65" i="38"/>
  <c r="M65" i="38" s="1"/>
  <c r="U65" i="38"/>
  <c r="O65" i="38"/>
  <c r="K65" i="38"/>
  <c r="G65" i="38"/>
  <c r="V64" i="38"/>
  <c r="M64" i="38" s="1"/>
  <c r="U64" i="38"/>
  <c r="O64" i="38"/>
  <c r="K64" i="38"/>
  <c r="G64" i="38"/>
  <c r="V63" i="38"/>
  <c r="M63" i="38" s="1"/>
  <c r="U63" i="38"/>
  <c r="O63" i="38"/>
  <c r="K63" i="38"/>
  <c r="G63" i="38"/>
  <c r="V62" i="38"/>
  <c r="M62" i="38" s="1"/>
  <c r="O62" i="38"/>
  <c r="K62" i="38"/>
  <c r="G62" i="38"/>
  <c r="AD61" i="38"/>
  <c r="AC61" i="38"/>
  <c r="Z61" i="38"/>
  <c r="Y61" i="38"/>
  <c r="O61" i="38"/>
  <c r="K61" i="38"/>
  <c r="V60" i="38"/>
  <c r="M60" i="38" s="1"/>
  <c r="U60" i="38"/>
  <c r="O60" i="38"/>
  <c r="K60" i="38"/>
  <c r="G60" i="38"/>
  <c r="X59" i="38"/>
  <c r="W59" i="38"/>
  <c r="V59" i="38"/>
  <c r="M59" i="38" s="1"/>
  <c r="U59" i="38"/>
  <c r="O59" i="38"/>
  <c r="K59" i="38"/>
  <c r="G59" i="38"/>
  <c r="V58" i="38"/>
  <c r="M58" i="38" s="1"/>
  <c r="U58" i="38"/>
  <c r="O58" i="38"/>
  <c r="K58" i="38"/>
  <c r="G58" i="38"/>
  <c r="V57" i="38"/>
  <c r="M57" i="38" s="1"/>
  <c r="U57" i="38"/>
  <c r="O57" i="38"/>
  <c r="K57" i="38"/>
  <c r="G57" i="38"/>
  <c r="V56" i="38"/>
  <c r="M56" i="38" s="1"/>
  <c r="U56" i="38"/>
  <c r="O56" i="38"/>
  <c r="K56" i="38"/>
  <c r="G56" i="38"/>
  <c r="V55" i="38"/>
  <c r="M55" i="38" s="1"/>
  <c r="U55" i="38"/>
  <c r="O55" i="38"/>
  <c r="K55" i="38"/>
  <c r="G55" i="38"/>
  <c r="V54" i="38"/>
  <c r="M54" i="38" s="1"/>
  <c r="U54" i="38"/>
  <c r="O54" i="38"/>
  <c r="K54" i="38"/>
  <c r="G54" i="38"/>
  <c r="V53" i="38"/>
  <c r="U53" i="38"/>
  <c r="O53" i="38"/>
  <c r="M53" i="38"/>
  <c r="AF53" i="38" s="1"/>
  <c r="K53" i="38"/>
  <c r="G53" i="38"/>
  <c r="V52" i="38"/>
  <c r="M52" i="38" s="1"/>
  <c r="U52" i="38"/>
  <c r="O52" i="38"/>
  <c r="K52" i="38"/>
  <c r="G52" i="38"/>
  <c r="V51" i="38"/>
  <c r="M51" i="38" s="1"/>
  <c r="O51" i="38"/>
  <c r="K51" i="38"/>
  <c r="G51" i="38"/>
  <c r="AD50" i="38"/>
  <c r="AC50" i="38"/>
  <c r="Z50" i="38"/>
  <c r="Y50" i="38"/>
  <c r="O50" i="38"/>
  <c r="K50" i="38"/>
  <c r="V49" i="38"/>
  <c r="U49" i="38"/>
  <c r="O49" i="38"/>
  <c r="M49" i="38"/>
  <c r="AE49" i="38" s="1"/>
  <c r="K49" i="38"/>
  <c r="G49" i="38"/>
  <c r="AF48" i="38"/>
  <c r="V48" i="38"/>
  <c r="U48" i="38"/>
  <c r="O48" i="38"/>
  <c r="M48" i="38"/>
  <c r="N48" i="38" s="1"/>
  <c r="K48" i="38"/>
  <c r="G48" i="38"/>
  <c r="V47" i="38"/>
  <c r="U47" i="38"/>
  <c r="O47" i="38"/>
  <c r="M47" i="38"/>
  <c r="N47" i="38" s="1"/>
  <c r="K47" i="38"/>
  <c r="G47" i="38"/>
  <c r="X46" i="38"/>
  <c r="W46" i="38"/>
  <c r="V46" i="38"/>
  <c r="U46" i="38"/>
  <c r="O46" i="38"/>
  <c r="M46" i="38"/>
  <c r="N46" i="38" s="1"/>
  <c r="K46" i="38"/>
  <c r="G46" i="38"/>
  <c r="V45" i="38"/>
  <c r="U45" i="38"/>
  <c r="O45" i="38"/>
  <c r="M45" i="38"/>
  <c r="N45" i="38" s="1"/>
  <c r="K45" i="38"/>
  <c r="G45" i="38"/>
  <c r="V44" i="38"/>
  <c r="M44" i="38" s="1"/>
  <c r="U44" i="38"/>
  <c r="O44" i="38"/>
  <c r="K44" i="38"/>
  <c r="G44" i="38"/>
  <c r="V43" i="38"/>
  <c r="M43" i="38" s="1"/>
  <c r="U43" i="38"/>
  <c r="O43" i="38"/>
  <c r="K43" i="38"/>
  <c r="G43" i="38"/>
  <c r="V42" i="38"/>
  <c r="M42" i="38" s="1"/>
  <c r="U42" i="38"/>
  <c r="O42" i="38"/>
  <c r="K42" i="38"/>
  <c r="G42" i="38"/>
  <c r="V41" i="38"/>
  <c r="M41" i="38" s="1"/>
  <c r="U41" i="38"/>
  <c r="O41" i="38"/>
  <c r="K41" i="38"/>
  <c r="G41" i="38"/>
  <c r="V40" i="38"/>
  <c r="M40" i="38" s="1"/>
  <c r="O40" i="38"/>
  <c r="K40" i="38"/>
  <c r="G40" i="38"/>
  <c r="AD39" i="38"/>
  <c r="L21" i="37" s="1"/>
  <c r="AC39" i="38"/>
  <c r="Z39" i="38"/>
  <c r="Y39" i="38"/>
  <c r="O39" i="38"/>
  <c r="K39" i="38"/>
  <c r="V38" i="38"/>
  <c r="M38" i="38" s="1"/>
  <c r="U38" i="38"/>
  <c r="O38" i="38"/>
  <c r="K38" i="38"/>
  <c r="G38" i="38"/>
  <c r="V37" i="38"/>
  <c r="M37" i="38" s="1"/>
  <c r="U37" i="38"/>
  <c r="O37" i="38"/>
  <c r="K37" i="38"/>
  <c r="G37" i="38"/>
  <c r="AE36" i="38"/>
  <c r="V36" i="38"/>
  <c r="U36" i="38"/>
  <c r="O36" i="38"/>
  <c r="N36" i="38"/>
  <c r="Q36" i="38" s="1"/>
  <c r="M36" i="38"/>
  <c r="AF36" i="38" s="1"/>
  <c r="K36" i="38"/>
  <c r="G36" i="38"/>
  <c r="V35" i="38"/>
  <c r="U35" i="38"/>
  <c r="O35" i="38"/>
  <c r="M35" i="38"/>
  <c r="AF35" i="38" s="1"/>
  <c r="K35" i="38"/>
  <c r="G35" i="38"/>
  <c r="X34" i="38"/>
  <c r="W34" i="38"/>
  <c r="V34" i="38"/>
  <c r="M34" i="38" s="1"/>
  <c r="O34" i="38"/>
  <c r="K34" i="38"/>
  <c r="G34" i="38"/>
  <c r="AD33" i="38"/>
  <c r="AC33" i="38"/>
  <c r="Z33" i="38"/>
  <c r="Y33" i="38"/>
  <c r="O33" i="38"/>
  <c r="K33" i="38"/>
  <c r="V32" i="38"/>
  <c r="M32" i="38" s="1"/>
  <c r="U32" i="38"/>
  <c r="O32" i="38"/>
  <c r="K32" i="38"/>
  <c r="G32" i="38"/>
  <c r="V31" i="38"/>
  <c r="U31" i="38"/>
  <c r="O31" i="38"/>
  <c r="M31" i="38"/>
  <c r="AF31" i="38" s="1"/>
  <c r="K31" i="38"/>
  <c r="G31" i="38"/>
  <c r="V30" i="38"/>
  <c r="M30" i="38" s="1"/>
  <c r="U30" i="38"/>
  <c r="O30" i="38"/>
  <c r="K30" i="38"/>
  <c r="G30" i="38"/>
  <c r="V29" i="38"/>
  <c r="U29" i="38"/>
  <c r="O29" i="38"/>
  <c r="M29" i="38"/>
  <c r="AE29" i="38" s="1"/>
  <c r="K29" i="38"/>
  <c r="G29" i="38"/>
  <c r="X28" i="38"/>
  <c r="W28" i="38"/>
  <c r="V28" i="38"/>
  <c r="O28" i="38"/>
  <c r="M28" i="38"/>
  <c r="K28" i="38"/>
  <c r="G28" i="38"/>
  <c r="AD27" i="38"/>
  <c r="G21" i="37" s="1"/>
  <c r="AC27" i="38"/>
  <c r="Z27" i="38"/>
  <c r="Y27" i="38"/>
  <c r="O27" i="38"/>
  <c r="K27" i="38"/>
  <c r="V26" i="38"/>
  <c r="U26" i="38"/>
  <c r="O26" i="38"/>
  <c r="M26" i="38"/>
  <c r="AF26" i="38" s="1"/>
  <c r="K26" i="38"/>
  <c r="G26" i="38"/>
  <c r="X25" i="38"/>
  <c r="W25" i="38"/>
  <c r="V25" i="38"/>
  <c r="M25" i="38" s="1"/>
  <c r="AE25" i="38" s="1"/>
  <c r="U25" i="38"/>
  <c r="O25" i="38"/>
  <c r="K25" i="38"/>
  <c r="G25" i="38"/>
  <c r="V24" i="38"/>
  <c r="M24" i="38" s="1"/>
  <c r="U24" i="38"/>
  <c r="O24" i="38"/>
  <c r="K24" i="38"/>
  <c r="G24" i="38"/>
  <c r="V23" i="38"/>
  <c r="U23" i="38"/>
  <c r="O23" i="38"/>
  <c r="M23" i="38"/>
  <c r="AE23" i="38" s="1"/>
  <c r="K23" i="38"/>
  <c r="G23" i="38"/>
  <c r="V22" i="38"/>
  <c r="U22" i="38"/>
  <c r="O22" i="38"/>
  <c r="M22" i="38"/>
  <c r="AE22" i="38" s="1"/>
  <c r="K22" i="38"/>
  <c r="G22" i="38"/>
  <c r="V21" i="38"/>
  <c r="M21" i="38" s="1"/>
  <c r="O21" i="38"/>
  <c r="K21" i="38"/>
  <c r="G21" i="38"/>
  <c r="AD20" i="38"/>
  <c r="AC20" i="38"/>
  <c r="Z20" i="38"/>
  <c r="Y20" i="38"/>
  <c r="O20" i="38"/>
  <c r="K20" i="38"/>
  <c r="V19" i="38"/>
  <c r="M19" i="38" s="1"/>
  <c r="U19" i="38"/>
  <c r="O19" i="38"/>
  <c r="K19" i="38"/>
  <c r="G19" i="38"/>
  <c r="V18" i="38"/>
  <c r="M18" i="38" s="1"/>
  <c r="U18" i="38"/>
  <c r="O18" i="38"/>
  <c r="K18" i="38"/>
  <c r="G18" i="38"/>
  <c r="V17" i="38"/>
  <c r="M17" i="38" s="1"/>
  <c r="U17" i="38"/>
  <c r="O17" i="38"/>
  <c r="K17" i="38"/>
  <c r="G17" i="38"/>
  <c r="V16" i="38"/>
  <c r="M16" i="38" s="1"/>
  <c r="U16" i="38"/>
  <c r="O16" i="38"/>
  <c r="K16" i="38"/>
  <c r="G16" i="38"/>
  <c r="V15" i="38"/>
  <c r="M15" i="38" s="1"/>
  <c r="U15" i="38"/>
  <c r="O15" i="38"/>
  <c r="K15" i="38"/>
  <c r="G15" i="38"/>
  <c r="V14" i="38"/>
  <c r="M14" i="38" s="1"/>
  <c r="O14" i="38"/>
  <c r="K14" i="38"/>
  <c r="G14" i="38"/>
  <c r="AD13" i="38"/>
  <c r="E21" i="37" s="1"/>
  <c r="AC13" i="38"/>
  <c r="Z13" i="38"/>
  <c r="Y13" i="38"/>
  <c r="O13" i="38"/>
  <c r="K13" i="38"/>
  <c r="V12" i="38"/>
  <c r="M12" i="38" s="1"/>
  <c r="U12" i="38"/>
  <c r="O12" i="38"/>
  <c r="K12" i="38"/>
  <c r="G12" i="38"/>
  <c r="V11" i="38"/>
  <c r="M11" i="38" s="1"/>
  <c r="O11" i="38"/>
  <c r="K11" i="38"/>
  <c r="G11" i="38"/>
  <c r="AD10" i="38"/>
  <c r="AC10" i="38"/>
  <c r="Z10" i="38"/>
  <c r="Y10" i="38"/>
  <c r="O10" i="38"/>
  <c r="K10" i="38"/>
  <c r="V9" i="38"/>
  <c r="M9" i="38" s="1"/>
  <c r="U9" i="38"/>
  <c r="O9" i="38"/>
  <c r="K9" i="38"/>
  <c r="G9" i="38"/>
  <c r="V8" i="38"/>
  <c r="M8" i="38" s="1"/>
  <c r="U8" i="38"/>
  <c r="O8" i="38"/>
  <c r="K8" i="38"/>
  <c r="G8" i="38"/>
  <c r="V7" i="38"/>
  <c r="M7" i="38" s="1"/>
  <c r="AF7" i="38" s="1"/>
  <c r="U7" i="38"/>
  <c r="O7" i="38"/>
  <c r="K7" i="38"/>
  <c r="G7" i="38"/>
  <c r="V6" i="38"/>
  <c r="M6" i="38" s="1"/>
  <c r="AF6" i="38" s="1"/>
  <c r="U6" i="38"/>
  <c r="O6" i="38"/>
  <c r="K6" i="38"/>
  <c r="G6" i="38"/>
  <c r="V5" i="38"/>
  <c r="O5" i="38"/>
  <c r="M5" i="38"/>
  <c r="AF5" i="38" s="1"/>
  <c r="K5" i="38"/>
  <c r="G5" i="38"/>
  <c r="H2" i="38"/>
  <c r="H1" i="38"/>
  <c r="D1" i="38"/>
  <c r="M22" i="37"/>
  <c r="L22" i="37"/>
  <c r="K22" i="37"/>
  <c r="J22" i="37"/>
  <c r="I22" i="37"/>
  <c r="H22" i="37"/>
  <c r="G22" i="37"/>
  <c r="F22" i="37"/>
  <c r="E22" i="37"/>
  <c r="D22" i="37"/>
  <c r="M21" i="37"/>
  <c r="K21" i="37"/>
  <c r="J21" i="37"/>
  <c r="I21" i="37"/>
  <c r="H21" i="37"/>
  <c r="F21" i="37"/>
  <c r="D21" i="37"/>
  <c r="M20" i="37"/>
  <c r="L20" i="37"/>
  <c r="K20" i="37"/>
  <c r="J20" i="37"/>
  <c r="I20" i="37"/>
  <c r="H20" i="37"/>
  <c r="G20" i="37"/>
  <c r="F20" i="37"/>
  <c r="E20" i="37"/>
  <c r="D20" i="37"/>
  <c r="M19" i="37"/>
  <c r="L19" i="37"/>
  <c r="K19" i="37"/>
  <c r="J19" i="37"/>
  <c r="I19" i="37"/>
  <c r="H19" i="37"/>
  <c r="G19" i="37"/>
  <c r="F19" i="37"/>
  <c r="E19" i="37"/>
  <c r="D19" i="37"/>
  <c r="M18" i="37"/>
  <c r="L18" i="37"/>
  <c r="K18" i="37"/>
  <c r="J18" i="37"/>
  <c r="I18" i="37"/>
  <c r="H18" i="37"/>
  <c r="G18" i="37"/>
  <c r="F18" i="37"/>
  <c r="E18" i="37"/>
  <c r="D18" i="37"/>
  <c r="M17" i="37"/>
  <c r="L17" i="37"/>
  <c r="K17" i="37"/>
  <c r="J17" i="37"/>
  <c r="I17" i="37"/>
  <c r="H17" i="37"/>
  <c r="G17" i="37"/>
  <c r="F17" i="37"/>
  <c r="E17" i="37"/>
  <c r="D17" i="37"/>
  <c r="M16" i="37"/>
  <c r="L16" i="37"/>
  <c r="K16" i="37"/>
  <c r="J16" i="37"/>
  <c r="I16" i="37"/>
  <c r="H16" i="37"/>
  <c r="G16" i="37"/>
  <c r="F16" i="37"/>
  <c r="E16" i="37"/>
  <c r="D16" i="37"/>
  <c r="M13" i="37"/>
  <c r="L13" i="37"/>
  <c r="K13" i="37"/>
  <c r="I6" i="37" s="1"/>
  <c r="J13" i="37"/>
  <c r="I13" i="37"/>
  <c r="H13" i="37"/>
  <c r="G6" i="37" s="1"/>
  <c r="G13" i="37"/>
  <c r="F13" i="37"/>
  <c r="E13" i="37"/>
  <c r="D13" i="37"/>
  <c r="F3" i="37"/>
  <c r="C3" i="37"/>
  <c r="AE21" i="38" l="1"/>
  <c r="AF21" i="38"/>
  <c r="N21" i="38"/>
  <c r="AE71" i="38"/>
  <c r="AF71" i="38"/>
  <c r="AF32" i="38"/>
  <c r="AE32" i="38"/>
  <c r="N32" i="38"/>
  <c r="Q32" i="38" s="1"/>
  <c r="AF30" i="38"/>
  <c r="N30" i="38"/>
  <c r="Q30" i="38" s="1"/>
  <c r="AF54" i="38"/>
  <c r="AE54" i="38"/>
  <c r="N54" i="38"/>
  <c r="Q54" i="38" s="1"/>
  <c r="AF8" i="38"/>
  <c r="AE8" i="38"/>
  <c r="N8" i="38"/>
  <c r="Q8" i="38" s="1"/>
  <c r="AF19" i="38"/>
  <c r="AE19" i="38"/>
  <c r="N19" i="38"/>
  <c r="Q19" i="38" s="1"/>
  <c r="AF51" i="38"/>
  <c r="N51" i="38"/>
  <c r="Q51" i="38" s="1"/>
  <c r="AE55" i="38"/>
  <c r="N55" i="38"/>
  <c r="AF55" i="38"/>
  <c r="N70" i="38"/>
  <c r="AF70" i="38"/>
  <c r="AE70" i="38"/>
  <c r="AF24" i="38"/>
  <c r="N24" i="38"/>
  <c r="Q24" i="38" s="1"/>
  <c r="AF52" i="38"/>
  <c r="N52" i="38"/>
  <c r="Q52" i="38" s="1"/>
  <c r="AF46" i="38"/>
  <c r="Q17" i="40"/>
  <c r="P17" i="40"/>
  <c r="N22" i="38"/>
  <c r="AE66" i="38"/>
  <c r="N5" i="38"/>
  <c r="Q5" i="38" s="1"/>
  <c r="AF66" i="38"/>
  <c r="M33" i="38"/>
  <c r="AE47" i="38"/>
  <c r="AF33" i="40"/>
  <c r="AG28" i="40" s="1"/>
  <c r="N33" i="40"/>
  <c r="AF22" i="38"/>
  <c r="AF47" i="38"/>
  <c r="AE45" i="38"/>
  <c r="AF45" i="38"/>
  <c r="D14" i="41"/>
  <c r="D15" i="41" s="1"/>
  <c r="P10" i="42"/>
  <c r="Q10" i="42"/>
  <c r="R5" i="42" s="1"/>
  <c r="F1" i="38"/>
  <c r="N26" i="38"/>
  <c r="Q26" i="38" s="1"/>
  <c r="Y2" i="38"/>
  <c r="K6" i="37" s="1"/>
  <c r="Z2" i="38"/>
  <c r="L6" i="37" s="1"/>
  <c r="AC2" i="38"/>
  <c r="M6" i="37" s="1"/>
  <c r="AD2" i="38"/>
  <c r="N6" i="37" s="1"/>
  <c r="AE46" i="38"/>
  <c r="AF68" i="38"/>
  <c r="F8" i="45"/>
  <c r="G8" i="45"/>
  <c r="E8" i="45"/>
  <c r="G8" i="43"/>
  <c r="F8" i="43"/>
  <c r="K15" i="43"/>
  <c r="I8" i="43" s="1"/>
  <c r="I7" i="43"/>
  <c r="F7" i="43"/>
  <c r="G7" i="43"/>
  <c r="E7" i="43"/>
  <c r="Q26" i="42"/>
  <c r="R20" i="42" s="1"/>
  <c r="P26" i="42"/>
  <c r="G14" i="41"/>
  <c r="G15" i="41" s="1"/>
  <c r="E15" i="41"/>
  <c r="Q19" i="42"/>
  <c r="R14" i="42" s="1"/>
  <c r="P19" i="42"/>
  <c r="F14" i="41"/>
  <c r="F15" i="41" s="1"/>
  <c r="Q59" i="42"/>
  <c r="R50" i="42" s="1"/>
  <c r="P59" i="42"/>
  <c r="I14" i="41"/>
  <c r="I15" i="41" s="1"/>
  <c r="Q71" i="42"/>
  <c r="R66" i="42" s="1"/>
  <c r="P71" i="42"/>
  <c r="M14" i="41"/>
  <c r="M15" i="41" s="1"/>
  <c r="P38" i="42"/>
  <c r="L14" i="41"/>
  <c r="L15" i="41" s="1"/>
  <c r="Q38" i="42"/>
  <c r="R33" i="42" s="1"/>
  <c r="K15" i="41"/>
  <c r="Q65" i="42"/>
  <c r="R60" i="42" s="1"/>
  <c r="P65" i="42"/>
  <c r="J14" i="41"/>
  <c r="J15" i="41" s="1"/>
  <c r="Q49" i="42"/>
  <c r="R39" i="42" s="1"/>
  <c r="P49" i="42"/>
  <c r="H14" i="41"/>
  <c r="H15" i="41" s="1"/>
  <c r="D2" i="42"/>
  <c r="N61" i="40"/>
  <c r="AF61" i="40"/>
  <c r="AG51" i="40" s="1"/>
  <c r="AE61" i="40"/>
  <c r="N39" i="40"/>
  <c r="AF39" i="40"/>
  <c r="AG34" i="40" s="1"/>
  <c r="AE39" i="40"/>
  <c r="Q9" i="40"/>
  <c r="P9" i="40"/>
  <c r="Q58" i="40"/>
  <c r="P58" i="40"/>
  <c r="Q57" i="40"/>
  <c r="P57" i="40"/>
  <c r="Q70" i="40"/>
  <c r="P70" i="40"/>
  <c r="Q36" i="40"/>
  <c r="P36" i="40"/>
  <c r="Q44" i="40"/>
  <c r="P44" i="40"/>
  <c r="Q64" i="40"/>
  <c r="P64" i="40"/>
  <c r="Q40" i="40"/>
  <c r="P40" i="40"/>
  <c r="Q32" i="40"/>
  <c r="P32" i="40"/>
  <c r="P43" i="40"/>
  <c r="Q43" i="40"/>
  <c r="P63" i="40"/>
  <c r="Q63" i="40"/>
  <c r="Q69" i="40"/>
  <c r="P69" i="40"/>
  <c r="Q48" i="40"/>
  <c r="P48" i="40"/>
  <c r="Q66" i="40"/>
  <c r="P66" i="40"/>
  <c r="N20" i="40"/>
  <c r="AF20" i="40"/>
  <c r="AG14" i="40" s="1"/>
  <c r="AE20" i="40"/>
  <c r="P42" i="40"/>
  <c r="Q42" i="40"/>
  <c r="N67" i="40"/>
  <c r="AF67" i="40"/>
  <c r="AG62" i="40" s="1"/>
  <c r="AE67" i="40"/>
  <c r="AF27" i="40"/>
  <c r="AG21" i="40" s="1"/>
  <c r="AE27" i="40"/>
  <c r="N27" i="40"/>
  <c r="Q22" i="40"/>
  <c r="P22" i="40"/>
  <c r="Q21" i="40"/>
  <c r="P21" i="40"/>
  <c r="Q10" i="40"/>
  <c r="R5" i="40" s="1"/>
  <c r="D14" i="39"/>
  <c r="P10" i="40"/>
  <c r="Q8" i="40"/>
  <c r="P8" i="40"/>
  <c r="Q47" i="40"/>
  <c r="P47" i="40"/>
  <c r="Q65" i="40"/>
  <c r="P65" i="40"/>
  <c r="P62" i="40"/>
  <c r="Q62" i="40"/>
  <c r="P13" i="40"/>
  <c r="E14" i="39"/>
  <c r="E15" i="39" s="1"/>
  <c r="Q13" i="40"/>
  <c r="R11" i="40" s="1"/>
  <c r="Q46" i="40"/>
  <c r="P46" i="40"/>
  <c r="Q41" i="40"/>
  <c r="P41" i="40"/>
  <c r="Q14" i="40"/>
  <c r="P14" i="40"/>
  <c r="Q19" i="40"/>
  <c r="P19" i="40"/>
  <c r="Q37" i="40"/>
  <c r="P37" i="40"/>
  <c r="AF73" i="40"/>
  <c r="AG68" i="40" s="1"/>
  <c r="AE73" i="40"/>
  <c r="N73" i="40"/>
  <c r="Q15" i="40"/>
  <c r="P15" i="40"/>
  <c r="Q55" i="40"/>
  <c r="P55" i="40"/>
  <c r="Q45" i="40"/>
  <c r="P45" i="40"/>
  <c r="P60" i="40"/>
  <c r="Q60" i="40"/>
  <c r="P16" i="40"/>
  <c r="Q16" i="40"/>
  <c r="P59" i="40"/>
  <c r="Q59" i="40"/>
  <c r="Q18" i="40"/>
  <c r="P18" i="40"/>
  <c r="Q54" i="40"/>
  <c r="P54" i="40"/>
  <c r="Q34" i="40"/>
  <c r="P34" i="40"/>
  <c r="AE50" i="40"/>
  <c r="N50" i="40"/>
  <c r="AF50" i="40"/>
  <c r="AG40" i="40" s="1"/>
  <c r="N15" i="38"/>
  <c r="AF15" i="38"/>
  <c r="AE15" i="38"/>
  <c r="AF33" i="38"/>
  <c r="AG28" i="38" s="1"/>
  <c r="AE33" i="38"/>
  <c r="N33" i="38"/>
  <c r="Q46" i="38"/>
  <c r="P46" i="38"/>
  <c r="N62" i="38"/>
  <c r="AF62" i="38"/>
  <c r="M67" i="38"/>
  <c r="AE62" i="38"/>
  <c r="N44" i="38"/>
  <c r="AF44" i="38"/>
  <c r="AE44" i="38"/>
  <c r="N60" i="38"/>
  <c r="AF60" i="38"/>
  <c r="AE60" i="38"/>
  <c r="N58" i="38"/>
  <c r="AF58" i="38"/>
  <c r="AE58" i="38"/>
  <c r="F2" i="38"/>
  <c r="I3" i="37"/>
  <c r="Q45" i="38"/>
  <c r="P45" i="38"/>
  <c r="AF56" i="38"/>
  <c r="AE56" i="38"/>
  <c r="N56" i="38"/>
  <c r="N16" i="38"/>
  <c r="AF16" i="38"/>
  <c r="AE16" i="38"/>
  <c r="AF34" i="38"/>
  <c r="M39" i="38"/>
  <c r="AE34" i="38"/>
  <c r="N34" i="38"/>
  <c r="N40" i="38"/>
  <c r="AF40" i="38"/>
  <c r="AE40" i="38"/>
  <c r="M50" i="38"/>
  <c r="N63" i="38"/>
  <c r="AF63" i="38"/>
  <c r="AE63" i="38"/>
  <c r="AF9" i="38"/>
  <c r="AE9" i="38"/>
  <c r="N9" i="38"/>
  <c r="Q48" i="38"/>
  <c r="P48" i="38"/>
  <c r="Q66" i="38"/>
  <c r="P66" i="38"/>
  <c r="N18" i="38"/>
  <c r="AF18" i="38"/>
  <c r="AE18" i="38"/>
  <c r="N42" i="38"/>
  <c r="AF42" i="38"/>
  <c r="AE42" i="38"/>
  <c r="N65" i="38"/>
  <c r="AF65" i="38"/>
  <c r="AE65" i="38"/>
  <c r="M13" i="38"/>
  <c r="AF11" i="38"/>
  <c r="AE11" i="38"/>
  <c r="N11" i="38"/>
  <c r="N14" i="38"/>
  <c r="AF14" i="38"/>
  <c r="AE14" i="38"/>
  <c r="M20" i="38"/>
  <c r="AF38" i="38"/>
  <c r="AE38" i="38"/>
  <c r="N38" i="38"/>
  <c r="N59" i="38"/>
  <c r="AF59" i="38"/>
  <c r="AE59" i="38"/>
  <c r="N69" i="38"/>
  <c r="AF69" i="38"/>
  <c r="M73" i="38"/>
  <c r="AE69" i="38"/>
  <c r="AF37" i="38"/>
  <c r="AE37" i="38"/>
  <c r="N37" i="38"/>
  <c r="N43" i="38"/>
  <c r="AF43" i="38"/>
  <c r="AE43" i="38"/>
  <c r="Q68" i="38"/>
  <c r="P68" i="38"/>
  <c r="N57" i="38"/>
  <c r="AF57" i="38"/>
  <c r="AE57" i="38"/>
  <c r="AF12" i="38"/>
  <c r="AE12" i="38"/>
  <c r="N12" i="38"/>
  <c r="N17" i="38"/>
  <c r="AF17" i="38"/>
  <c r="AE17" i="38"/>
  <c r="N41" i="38"/>
  <c r="AF41" i="38"/>
  <c r="AE41" i="38"/>
  <c r="Q47" i="38"/>
  <c r="P47" i="38"/>
  <c r="N64" i="38"/>
  <c r="AF64" i="38"/>
  <c r="AE64" i="38"/>
  <c r="Q70" i="38"/>
  <c r="P70" i="38"/>
  <c r="AF23" i="38"/>
  <c r="AF25" i="38"/>
  <c r="AF28" i="38"/>
  <c r="AF29" i="38"/>
  <c r="AE48" i="38"/>
  <c r="AF49" i="38"/>
  <c r="F6" i="37"/>
  <c r="M27" i="38"/>
  <c r="E6" i="37"/>
  <c r="N7" i="38"/>
  <c r="N25" i="38"/>
  <c r="N28" i="38"/>
  <c r="N31" i="38"/>
  <c r="N35" i="38"/>
  <c r="N53" i="38"/>
  <c r="N6" i="38"/>
  <c r="P8" i="38"/>
  <c r="P32" i="38"/>
  <c r="P36" i="38"/>
  <c r="P54" i="38"/>
  <c r="N72" i="38"/>
  <c r="N23" i="38"/>
  <c r="N29" i="38"/>
  <c r="N49" i="38"/>
  <c r="N71" i="38"/>
  <c r="P5" i="38"/>
  <c r="P24" i="38"/>
  <c r="P26" i="38"/>
  <c r="P30" i="38"/>
  <c r="P51" i="38"/>
  <c r="P52" i="38"/>
  <c r="M61" i="38"/>
  <c r="AE7" i="38"/>
  <c r="P19" i="38"/>
  <c r="AE31" i="38"/>
  <c r="AE35" i="38"/>
  <c r="AE53" i="38"/>
  <c r="AE5" i="38"/>
  <c r="AE6" i="38"/>
  <c r="M10" i="38"/>
  <c r="AE24" i="38"/>
  <c r="AE26" i="38"/>
  <c r="AE30" i="38"/>
  <c r="AE51" i="38"/>
  <c r="AE52" i="38"/>
  <c r="AE72" i="38"/>
  <c r="AE28" i="38"/>
  <c r="AD72" i="36"/>
  <c r="Z72" i="36"/>
  <c r="Y72" i="36"/>
  <c r="O72" i="36"/>
  <c r="K72" i="36"/>
  <c r="AE71" i="36"/>
  <c r="V71" i="36"/>
  <c r="U71" i="36"/>
  <c r="O71" i="36"/>
  <c r="M71" i="36"/>
  <c r="AF71" i="36" s="1"/>
  <c r="K71" i="36"/>
  <c r="V70" i="36"/>
  <c r="M70" i="36" s="1"/>
  <c r="U70" i="36"/>
  <c r="O70" i="36"/>
  <c r="K70" i="36"/>
  <c r="V69" i="36"/>
  <c r="M69" i="36" s="1"/>
  <c r="U69" i="36"/>
  <c r="O69" i="36"/>
  <c r="K69" i="36"/>
  <c r="V68" i="36"/>
  <c r="M68" i="36" s="1"/>
  <c r="U68" i="36"/>
  <c r="O68" i="36"/>
  <c r="K68" i="36"/>
  <c r="X67" i="36"/>
  <c r="W67" i="36"/>
  <c r="V67" i="36"/>
  <c r="O67" i="36"/>
  <c r="M67" i="36"/>
  <c r="N67" i="36" s="1"/>
  <c r="K67" i="36"/>
  <c r="AD66" i="36"/>
  <c r="Z66" i="36"/>
  <c r="Y66" i="36"/>
  <c r="O66" i="36"/>
  <c r="K66" i="36"/>
  <c r="AF65" i="36"/>
  <c r="AE65" i="36"/>
  <c r="V65" i="36"/>
  <c r="U65" i="36"/>
  <c r="O65" i="36"/>
  <c r="M65" i="36"/>
  <c r="N65" i="36" s="1"/>
  <c r="Q65" i="36" s="1"/>
  <c r="K65" i="36"/>
  <c r="V64" i="36"/>
  <c r="M64" i="36" s="1"/>
  <c r="U64" i="36"/>
  <c r="O64" i="36"/>
  <c r="K64" i="36"/>
  <c r="V63" i="36"/>
  <c r="M63" i="36" s="1"/>
  <c r="U63" i="36"/>
  <c r="O63" i="36"/>
  <c r="K63" i="36"/>
  <c r="AE62" i="36"/>
  <c r="V62" i="36"/>
  <c r="U62" i="36"/>
  <c r="O62" i="36"/>
  <c r="M62" i="36"/>
  <c r="N62" i="36" s="1"/>
  <c r="K62" i="36"/>
  <c r="V61" i="36"/>
  <c r="M61" i="36" s="1"/>
  <c r="O61" i="36"/>
  <c r="K61" i="36"/>
  <c r="AD60" i="36"/>
  <c r="Z60" i="36"/>
  <c r="Y60" i="36"/>
  <c r="O60" i="36"/>
  <c r="K60" i="36"/>
  <c r="V59" i="36"/>
  <c r="U59" i="36"/>
  <c r="O59" i="36"/>
  <c r="M59" i="36"/>
  <c r="N59" i="36" s="1"/>
  <c r="K59" i="36"/>
  <c r="V58" i="36"/>
  <c r="M58" i="36" s="1"/>
  <c r="U58" i="36"/>
  <c r="O58" i="36"/>
  <c r="K58" i="36"/>
  <c r="V57" i="36"/>
  <c r="U57" i="36"/>
  <c r="O57" i="36"/>
  <c r="M57" i="36"/>
  <c r="AF57" i="36" s="1"/>
  <c r="K57" i="36"/>
  <c r="AF56" i="36"/>
  <c r="V56" i="36"/>
  <c r="U56" i="36"/>
  <c r="O56" i="36"/>
  <c r="N56" i="36"/>
  <c r="Q56" i="36" s="1"/>
  <c r="M56" i="36"/>
  <c r="AE56" i="36" s="1"/>
  <c r="K56" i="36"/>
  <c r="V55" i="36"/>
  <c r="U55" i="36"/>
  <c r="O55" i="36"/>
  <c r="M55" i="36"/>
  <c r="N55" i="36" s="1"/>
  <c r="K55" i="36"/>
  <c r="V54" i="36"/>
  <c r="U54" i="36"/>
  <c r="O54" i="36"/>
  <c r="M54" i="36"/>
  <c r="K54" i="36"/>
  <c r="AF53" i="36"/>
  <c r="AE53" i="36"/>
  <c r="V53" i="36"/>
  <c r="U53" i="36"/>
  <c r="O53" i="36"/>
  <c r="M53" i="36"/>
  <c r="N53" i="36" s="1"/>
  <c r="K53" i="36"/>
  <c r="V52" i="36"/>
  <c r="M52" i="36" s="1"/>
  <c r="U52" i="36"/>
  <c r="O52" i="36"/>
  <c r="K52" i="36"/>
  <c r="AE51" i="36"/>
  <c r="V51" i="36"/>
  <c r="O51" i="36"/>
  <c r="M51" i="36"/>
  <c r="AF51" i="36" s="1"/>
  <c r="K51" i="36"/>
  <c r="AD50" i="36"/>
  <c r="Z50" i="36"/>
  <c r="Y50" i="36"/>
  <c r="O50" i="36"/>
  <c r="K50" i="36"/>
  <c r="V49" i="36"/>
  <c r="M49" i="36" s="1"/>
  <c r="U49" i="36"/>
  <c r="O49" i="36"/>
  <c r="K49" i="36"/>
  <c r="AF48" i="36"/>
  <c r="V48" i="36"/>
  <c r="U48" i="36"/>
  <c r="O48" i="36"/>
  <c r="M48" i="36"/>
  <c r="N48" i="36" s="1"/>
  <c r="K48" i="36"/>
  <c r="V47" i="36"/>
  <c r="M47" i="36" s="1"/>
  <c r="U47" i="36"/>
  <c r="O47" i="36"/>
  <c r="K47" i="36"/>
  <c r="AF46" i="36"/>
  <c r="AE46" i="36"/>
  <c r="X46" i="36"/>
  <c r="W46" i="36"/>
  <c r="V46" i="36"/>
  <c r="U46" i="36"/>
  <c r="O46" i="36"/>
  <c r="M46" i="36"/>
  <c r="N46" i="36" s="1"/>
  <c r="K46" i="36"/>
  <c r="V45" i="36"/>
  <c r="M45" i="36" s="1"/>
  <c r="U45" i="36"/>
  <c r="O45" i="36"/>
  <c r="K45" i="36"/>
  <c r="V44" i="36"/>
  <c r="M44" i="36" s="1"/>
  <c r="U44" i="36"/>
  <c r="O44" i="36"/>
  <c r="K44" i="36"/>
  <c r="V43" i="36"/>
  <c r="M43" i="36" s="1"/>
  <c r="U43" i="36"/>
  <c r="O43" i="36"/>
  <c r="K43" i="36"/>
  <c r="V42" i="36"/>
  <c r="U42" i="36"/>
  <c r="O42" i="36"/>
  <c r="N42" i="36"/>
  <c r="Q42" i="36" s="1"/>
  <c r="M42" i="36"/>
  <c r="AF42" i="36" s="1"/>
  <c r="K42" i="36"/>
  <c r="AE41" i="36"/>
  <c r="V41" i="36"/>
  <c r="U41" i="36"/>
  <c r="O41" i="36"/>
  <c r="M41" i="36"/>
  <c r="N41" i="36" s="1"/>
  <c r="K41" i="36"/>
  <c r="V40" i="36"/>
  <c r="O40" i="36"/>
  <c r="M40" i="36"/>
  <c r="N40" i="36" s="1"/>
  <c r="K40" i="36"/>
  <c r="AD39" i="36"/>
  <c r="Z39" i="36"/>
  <c r="Y39" i="36"/>
  <c r="L18" i="35" s="1"/>
  <c r="O39" i="36"/>
  <c r="K39" i="36"/>
  <c r="AF38" i="36"/>
  <c r="V38" i="36"/>
  <c r="U38" i="36"/>
  <c r="O38" i="36"/>
  <c r="M38" i="36"/>
  <c r="N38" i="36" s="1"/>
  <c r="K38" i="36"/>
  <c r="V37" i="36"/>
  <c r="M37" i="36" s="1"/>
  <c r="U37" i="36"/>
  <c r="O37" i="36"/>
  <c r="K37" i="36"/>
  <c r="AE36" i="36"/>
  <c r="V36" i="36"/>
  <c r="U36" i="36"/>
  <c r="O36" i="36"/>
  <c r="M36" i="36"/>
  <c r="AF36" i="36" s="1"/>
  <c r="K36" i="36"/>
  <c r="AF35" i="36"/>
  <c r="V35" i="36"/>
  <c r="U35" i="36"/>
  <c r="O35" i="36"/>
  <c r="N35" i="36"/>
  <c r="Q35" i="36" s="1"/>
  <c r="M35" i="36"/>
  <c r="AE35" i="36" s="1"/>
  <c r="K35" i="36"/>
  <c r="X34" i="36"/>
  <c r="W34" i="36"/>
  <c r="V34" i="36"/>
  <c r="M34" i="36" s="1"/>
  <c r="O34" i="36"/>
  <c r="K34" i="36"/>
  <c r="AD33" i="36"/>
  <c r="Z33" i="36"/>
  <c r="Y33" i="36"/>
  <c r="O33" i="36"/>
  <c r="K33" i="36"/>
  <c r="V32" i="36"/>
  <c r="M32" i="36" s="1"/>
  <c r="U32" i="36"/>
  <c r="O32" i="36"/>
  <c r="K32" i="36"/>
  <c r="V31" i="36"/>
  <c r="M31" i="36" s="1"/>
  <c r="U31" i="36"/>
  <c r="O31" i="36"/>
  <c r="K31" i="36"/>
  <c r="AF30" i="36"/>
  <c r="V30" i="36"/>
  <c r="U30" i="36"/>
  <c r="O30" i="36"/>
  <c r="M30" i="36"/>
  <c r="N30" i="36" s="1"/>
  <c r="K30" i="36"/>
  <c r="V29" i="36"/>
  <c r="U29" i="36"/>
  <c r="O29" i="36"/>
  <c r="M29" i="36"/>
  <c r="AF29" i="36" s="1"/>
  <c r="K29" i="36"/>
  <c r="X28" i="36"/>
  <c r="W28" i="36"/>
  <c r="V28" i="36"/>
  <c r="M28" i="36" s="1"/>
  <c r="O28" i="36"/>
  <c r="K28" i="36"/>
  <c r="AD27" i="36"/>
  <c r="Z27" i="36"/>
  <c r="Z2" i="36" s="1"/>
  <c r="L6" i="35" s="1"/>
  <c r="Y27" i="36"/>
  <c r="O27" i="36"/>
  <c r="K27" i="36"/>
  <c r="AE26" i="36"/>
  <c r="V26" i="36"/>
  <c r="U26" i="36"/>
  <c r="O26" i="36"/>
  <c r="M26" i="36"/>
  <c r="AF26" i="36" s="1"/>
  <c r="K26" i="36"/>
  <c r="V25" i="36"/>
  <c r="U25" i="36"/>
  <c r="O25" i="36"/>
  <c r="N25" i="36"/>
  <c r="Q25" i="36" s="1"/>
  <c r="M25" i="36"/>
  <c r="AF25" i="36" s="1"/>
  <c r="K25" i="36"/>
  <c r="V24" i="36"/>
  <c r="U24" i="36"/>
  <c r="O24" i="36"/>
  <c r="M24" i="36"/>
  <c r="N24" i="36" s="1"/>
  <c r="K24" i="36"/>
  <c r="V23" i="36"/>
  <c r="M23" i="36" s="1"/>
  <c r="U23" i="36"/>
  <c r="O23" i="36"/>
  <c r="K23" i="36"/>
  <c r="V22" i="36"/>
  <c r="M22" i="36" s="1"/>
  <c r="U22" i="36"/>
  <c r="O22" i="36"/>
  <c r="K22" i="36"/>
  <c r="V21" i="36"/>
  <c r="M21" i="36" s="1"/>
  <c r="O21" i="36"/>
  <c r="K21" i="36"/>
  <c r="AD20" i="36"/>
  <c r="F21" i="35" s="1"/>
  <c r="Z20" i="36"/>
  <c r="Y20" i="36"/>
  <c r="O20" i="36"/>
  <c r="K20" i="36"/>
  <c r="AE19" i="36"/>
  <c r="V19" i="36"/>
  <c r="U19" i="36"/>
  <c r="O19" i="36"/>
  <c r="N19" i="36"/>
  <c r="Q19" i="36" s="1"/>
  <c r="M19" i="36"/>
  <c r="AF19" i="36" s="1"/>
  <c r="K19" i="36"/>
  <c r="V18" i="36"/>
  <c r="M18" i="36" s="1"/>
  <c r="U18" i="36"/>
  <c r="O18" i="36"/>
  <c r="K18" i="36"/>
  <c r="AE17" i="36"/>
  <c r="V17" i="36"/>
  <c r="U17" i="36"/>
  <c r="O17" i="36"/>
  <c r="M17" i="36"/>
  <c r="N17" i="36" s="1"/>
  <c r="K17" i="36"/>
  <c r="V16" i="36"/>
  <c r="M16" i="36" s="1"/>
  <c r="U16" i="36"/>
  <c r="O16" i="36"/>
  <c r="K16" i="36"/>
  <c r="V15" i="36"/>
  <c r="M15" i="36" s="1"/>
  <c r="U15" i="36"/>
  <c r="O15" i="36"/>
  <c r="K15" i="36"/>
  <c r="V14" i="36"/>
  <c r="M14" i="36" s="1"/>
  <c r="O14" i="36"/>
  <c r="K14" i="36"/>
  <c r="AD13" i="36"/>
  <c r="Z13" i="36"/>
  <c r="Y13" i="36"/>
  <c r="O13" i="36"/>
  <c r="K13" i="36"/>
  <c r="V12" i="36"/>
  <c r="M12" i="36" s="1"/>
  <c r="U12" i="36"/>
  <c r="O12" i="36"/>
  <c r="K12" i="36"/>
  <c r="V11" i="36"/>
  <c r="O11" i="36"/>
  <c r="M11" i="36"/>
  <c r="AF11" i="36" s="1"/>
  <c r="K11" i="36"/>
  <c r="AD10" i="36"/>
  <c r="Z10" i="36"/>
  <c r="Y10" i="36"/>
  <c r="O10" i="36"/>
  <c r="K10" i="36"/>
  <c r="V9" i="36"/>
  <c r="M9" i="36" s="1"/>
  <c r="U9" i="36"/>
  <c r="O9" i="36"/>
  <c r="K9" i="36"/>
  <c r="AF8" i="36"/>
  <c r="AE8" i="36"/>
  <c r="V8" i="36"/>
  <c r="U8" i="36"/>
  <c r="O8" i="36"/>
  <c r="M8" i="36"/>
  <c r="N8" i="36" s="1"/>
  <c r="K8" i="36"/>
  <c r="AF7" i="36"/>
  <c r="V7" i="36"/>
  <c r="U7" i="36"/>
  <c r="O7" i="36"/>
  <c r="M7" i="36"/>
  <c r="N7" i="36" s="1"/>
  <c r="K7" i="36"/>
  <c r="V6" i="36"/>
  <c r="U6" i="36"/>
  <c r="O6" i="36"/>
  <c r="M6" i="36"/>
  <c r="AF6" i="36" s="1"/>
  <c r="K6" i="36"/>
  <c r="V5" i="36"/>
  <c r="O5" i="36"/>
  <c r="N5" i="36"/>
  <c r="Q5" i="36" s="1"/>
  <c r="M5" i="36"/>
  <c r="AF5" i="36" s="1"/>
  <c r="K5" i="36"/>
  <c r="Y2" i="36"/>
  <c r="H2" i="36"/>
  <c r="H1" i="36"/>
  <c r="F1" i="36"/>
  <c r="D1" i="36"/>
  <c r="F2" i="36" s="1"/>
  <c r="M22" i="35"/>
  <c r="L22" i="35"/>
  <c r="K22" i="35"/>
  <c r="J22" i="35"/>
  <c r="I22" i="35"/>
  <c r="H22" i="35"/>
  <c r="G22" i="35"/>
  <c r="F22" i="35"/>
  <c r="E22" i="35"/>
  <c r="D22" i="35"/>
  <c r="M21" i="35"/>
  <c r="L21" i="35"/>
  <c r="K21" i="35"/>
  <c r="J21" i="35"/>
  <c r="I21" i="35"/>
  <c r="H21" i="35"/>
  <c r="G21" i="35"/>
  <c r="E21" i="35"/>
  <c r="D21" i="35"/>
  <c r="M20" i="35"/>
  <c r="L20" i="35"/>
  <c r="K20" i="35"/>
  <c r="J20" i="35"/>
  <c r="I20" i="35"/>
  <c r="H20" i="35"/>
  <c r="G20" i="35"/>
  <c r="F20" i="35"/>
  <c r="E20" i="35"/>
  <c r="D20" i="35"/>
  <c r="M19" i="35"/>
  <c r="L19" i="35"/>
  <c r="K19" i="35"/>
  <c r="J19" i="35"/>
  <c r="I19" i="35"/>
  <c r="H19" i="35"/>
  <c r="G19" i="35"/>
  <c r="F19" i="35"/>
  <c r="E19" i="35"/>
  <c r="D19" i="35"/>
  <c r="M18" i="35"/>
  <c r="K18" i="35"/>
  <c r="J18" i="35"/>
  <c r="I18" i="35"/>
  <c r="H18" i="35"/>
  <c r="G18" i="35"/>
  <c r="F18" i="35"/>
  <c r="E18" i="35"/>
  <c r="D18" i="35"/>
  <c r="M17" i="35"/>
  <c r="L17" i="35"/>
  <c r="K17" i="35"/>
  <c r="J17" i="35"/>
  <c r="I17" i="35"/>
  <c r="H17" i="35"/>
  <c r="G17" i="35"/>
  <c r="F17" i="35"/>
  <c r="E17" i="35"/>
  <c r="D17" i="35"/>
  <c r="M16" i="35"/>
  <c r="L16" i="35"/>
  <c r="K16" i="35"/>
  <c r="J16" i="35"/>
  <c r="I16" i="35"/>
  <c r="H16" i="35"/>
  <c r="G16" i="35"/>
  <c r="F16" i="35"/>
  <c r="E16" i="35"/>
  <c r="D16" i="35"/>
  <c r="M13" i="35"/>
  <c r="L13" i="35"/>
  <c r="K13" i="35"/>
  <c r="I6" i="35" s="1"/>
  <c r="J13" i="35"/>
  <c r="I13" i="35"/>
  <c r="H13" i="35"/>
  <c r="G13" i="35"/>
  <c r="F13" i="35"/>
  <c r="E13" i="35"/>
  <c r="D13" i="35"/>
  <c r="G6" i="35" s="1"/>
  <c r="M6" i="35"/>
  <c r="K6" i="35"/>
  <c r="F6" i="35"/>
  <c r="I3" i="35"/>
  <c r="F3" i="35"/>
  <c r="C3" i="35"/>
  <c r="N64" i="36" l="1"/>
  <c r="AF64" i="36"/>
  <c r="AE64" i="36"/>
  <c r="AF52" i="36"/>
  <c r="AE52" i="36"/>
  <c r="N52" i="36"/>
  <c r="Q52" i="36" s="1"/>
  <c r="N68" i="36"/>
  <c r="AF68" i="36"/>
  <c r="AE68" i="36"/>
  <c r="M27" i="36"/>
  <c r="AE27" i="36" s="1"/>
  <c r="AF21" i="36"/>
  <c r="AE21" i="36"/>
  <c r="N21" i="36"/>
  <c r="N45" i="36"/>
  <c r="AE45" i="36"/>
  <c r="AF45" i="36"/>
  <c r="AF37" i="36"/>
  <c r="AE37" i="36"/>
  <c r="N37" i="36"/>
  <c r="Q37" i="36" s="1"/>
  <c r="AE12" i="36"/>
  <c r="N12" i="36"/>
  <c r="AF12" i="36"/>
  <c r="AF34" i="36"/>
  <c r="AE34" i="36"/>
  <c r="M39" i="36"/>
  <c r="N34" i="36"/>
  <c r="N69" i="36"/>
  <c r="AE69" i="36"/>
  <c r="AF69" i="36"/>
  <c r="AF18" i="36"/>
  <c r="AE18" i="36"/>
  <c r="N18" i="36"/>
  <c r="Q18" i="36" s="1"/>
  <c r="N22" i="36"/>
  <c r="AF22" i="36"/>
  <c r="AE22" i="36"/>
  <c r="N9" i="36"/>
  <c r="AF9" i="36"/>
  <c r="AE9" i="36"/>
  <c r="M20" i="36"/>
  <c r="AE20" i="36" s="1"/>
  <c r="AF14" i="36"/>
  <c r="AE14" i="36"/>
  <c r="N14" i="36"/>
  <c r="N70" i="36"/>
  <c r="AF70" i="36"/>
  <c r="AE70" i="36"/>
  <c r="N23" i="36"/>
  <c r="AF23" i="36"/>
  <c r="AE23" i="36"/>
  <c r="AF58" i="36"/>
  <c r="AE58" i="36"/>
  <c r="N58" i="36"/>
  <c r="Q58" i="36" s="1"/>
  <c r="Q67" i="36"/>
  <c r="P67" i="36"/>
  <c r="N43" i="36"/>
  <c r="AF43" i="36"/>
  <c r="AE43" i="36"/>
  <c r="N61" i="36"/>
  <c r="Q61" i="36" s="1"/>
  <c r="AF61" i="36"/>
  <c r="AE61" i="36"/>
  <c r="N31" i="36"/>
  <c r="AF31" i="36"/>
  <c r="AE31" i="36"/>
  <c r="AF28" i="36"/>
  <c r="AE28" i="36"/>
  <c r="N28" i="36"/>
  <c r="N47" i="36"/>
  <c r="AF47" i="36"/>
  <c r="AE47" i="36"/>
  <c r="AF63" i="36"/>
  <c r="AE63" i="36"/>
  <c r="N63" i="36"/>
  <c r="Q63" i="36" s="1"/>
  <c r="AF49" i="36"/>
  <c r="AE49" i="36"/>
  <c r="N49" i="36"/>
  <c r="Q49" i="36" s="1"/>
  <c r="N15" i="36"/>
  <c r="AF15" i="36"/>
  <c r="AE15" i="36"/>
  <c r="N32" i="36"/>
  <c r="AF32" i="36"/>
  <c r="AE32" i="36"/>
  <c r="N16" i="36"/>
  <c r="AF16" i="36"/>
  <c r="AE16" i="36"/>
  <c r="AF44" i="36"/>
  <c r="AE44" i="36"/>
  <c r="N44" i="36"/>
  <c r="Q44" i="36" s="1"/>
  <c r="AD2" i="36"/>
  <c r="N6" i="35" s="1"/>
  <c r="AE25" i="36"/>
  <c r="AF40" i="36"/>
  <c r="N51" i="36"/>
  <c r="Q51" i="36" s="1"/>
  <c r="AE7" i="36"/>
  <c r="M60" i="36"/>
  <c r="AF60" i="36" s="1"/>
  <c r="AG51" i="36" s="1"/>
  <c r="M13" i="36"/>
  <c r="AE30" i="36"/>
  <c r="AE48" i="36"/>
  <c r="N11" i="36"/>
  <c r="N26" i="36"/>
  <c r="N36" i="36"/>
  <c r="N57" i="36"/>
  <c r="AF62" i="36"/>
  <c r="E6" i="35"/>
  <c r="AE38" i="36"/>
  <c r="AE54" i="36"/>
  <c r="AE59" i="36"/>
  <c r="AE67" i="36"/>
  <c r="Q22" i="38"/>
  <c r="P22" i="38"/>
  <c r="AE5" i="36"/>
  <c r="AF54" i="36"/>
  <c r="AF59" i="36"/>
  <c r="AF67" i="36"/>
  <c r="AF41" i="36"/>
  <c r="AE11" i="36"/>
  <c r="N6" i="36"/>
  <c r="Q6" i="36" s="1"/>
  <c r="AE57" i="36"/>
  <c r="N71" i="36"/>
  <c r="Q71" i="36" s="1"/>
  <c r="N29" i="36"/>
  <c r="Q29" i="36" s="1"/>
  <c r="P19" i="36"/>
  <c r="AE24" i="36"/>
  <c r="AE55" i="36"/>
  <c r="AF24" i="36"/>
  <c r="M50" i="36"/>
  <c r="AF50" i="36" s="1"/>
  <c r="AG40" i="36" s="1"/>
  <c r="AF55" i="36"/>
  <c r="AE6" i="36"/>
  <c r="AE42" i="36"/>
  <c r="AE29" i="36"/>
  <c r="M72" i="36"/>
  <c r="AF72" i="36" s="1"/>
  <c r="AG67" i="36" s="1"/>
  <c r="Q55" i="38"/>
  <c r="P55" i="38"/>
  <c r="Q21" i="38"/>
  <c r="P21" i="38"/>
  <c r="Q33" i="40"/>
  <c r="R28" i="40" s="1"/>
  <c r="K14" i="39"/>
  <c r="K15" i="39" s="1"/>
  <c r="P33" i="40"/>
  <c r="AF17" i="36"/>
  <c r="AE40" i="36"/>
  <c r="E8" i="43"/>
  <c r="I7" i="41"/>
  <c r="I8" i="41"/>
  <c r="E7" i="41"/>
  <c r="F7" i="41"/>
  <c r="G7" i="41"/>
  <c r="E8" i="41"/>
  <c r="G8" i="41"/>
  <c r="F8" i="41"/>
  <c r="Q20" i="40"/>
  <c r="R14" i="40" s="1"/>
  <c r="P20" i="40"/>
  <c r="F14" i="39"/>
  <c r="F15" i="39" s="1"/>
  <c r="Q27" i="40"/>
  <c r="R21" i="40" s="1"/>
  <c r="P27" i="40"/>
  <c r="G14" i="39"/>
  <c r="G15" i="39" s="1"/>
  <c r="Q73" i="40"/>
  <c r="R68" i="40" s="1"/>
  <c r="P73" i="40"/>
  <c r="M14" i="39"/>
  <c r="M15" i="39" s="1"/>
  <c r="D15" i="39"/>
  <c r="Q67" i="40"/>
  <c r="R62" i="40" s="1"/>
  <c r="P67" i="40"/>
  <c r="J14" i="39"/>
  <c r="J15" i="39" s="1"/>
  <c r="L14" i="39"/>
  <c r="Q39" i="40"/>
  <c r="R34" i="40" s="1"/>
  <c r="P39" i="40"/>
  <c r="D2" i="40"/>
  <c r="Q50" i="40"/>
  <c r="R40" i="40" s="1"/>
  <c r="P50" i="40"/>
  <c r="H14" i="39"/>
  <c r="H15" i="39" s="1"/>
  <c r="Q61" i="40"/>
  <c r="R51" i="40" s="1"/>
  <c r="P61" i="40"/>
  <c r="I14" i="39"/>
  <c r="I15" i="39" s="1"/>
  <c r="N10" i="38"/>
  <c r="AF10" i="38"/>
  <c r="AG5" i="38" s="1"/>
  <c r="AE10" i="38"/>
  <c r="Q6" i="38"/>
  <c r="P6" i="38"/>
  <c r="N13" i="38"/>
  <c r="AF13" i="38"/>
  <c r="AG11" i="38" s="1"/>
  <c r="AE13" i="38"/>
  <c r="Q34" i="38"/>
  <c r="P34" i="38"/>
  <c r="N67" i="38"/>
  <c r="AF67" i="38"/>
  <c r="AG62" i="38" s="1"/>
  <c r="AE67" i="38"/>
  <c r="Q53" i="38"/>
  <c r="P53" i="38"/>
  <c r="Q41" i="38"/>
  <c r="P41" i="38"/>
  <c r="P59" i="38"/>
  <c r="Q59" i="38"/>
  <c r="Q40" i="38"/>
  <c r="P40" i="38"/>
  <c r="Q35" i="38"/>
  <c r="P35" i="38"/>
  <c r="Q38" i="38"/>
  <c r="P38" i="38"/>
  <c r="Q9" i="38"/>
  <c r="P9" i="38"/>
  <c r="N39" i="38"/>
  <c r="AF39" i="38"/>
  <c r="AG34" i="38" s="1"/>
  <c r="AE39" i="38"/>
  <c r="P62" i="38"/>
  <c r="Q62" i="38"/>
  <c r="Q71" i="38"/>
  <c r="P71" i="38"/>
  <c r="Q31" i="38"/>
  <c r="P31" i="38"/>
  <c r="P43" i="38"/>
  <c r="Q43" i="38"/>
  <c r="Q65" i="38"/>
  <c r="P65" i="38"/>
  <c r="Q49" i="38"/>
  <c r="P49" i="38"/>
  <c r="Q28" i="38"/>
  <c r="P28" i="38"/>
  <c r="P17" i="38"/>
  <c r="Q17" i="38"/>
  <c r="Q37" i="38"/>
  <c r="P37" i="38"/>
  <c r="Q58" i="38"/>
  <c r="P58" i="38"/>
  <c r="Q29" i="38"/>
  <c r="P29" i="38"/>
  <c r="Q25" i="38"/>
  <c r="P25" i="38"/>
  <c r="Q12" i="38"/>
  <c r="P12" i="38"/>
  <c r="N20" i="38"/>
  <c r="AF20" i="38"/>
  <c r="AG14" i="38" s="1"/>
  <c r="AE20" i="38"/>
  <c r="Q33" i="38"/>
  <c r="R28" i="38" s="1"/>
  <c r="P33" i="38"/>
  <c r="K14" i="37"/>
  <c r="Q23" i="38"/>
  <c r="P23" i="38"/>
  <c r="Q7" i="38"/>
  <c r="P7" i="38"/>
  <c r="Q42" i="38"/>
  <c r="P42" i="38"/>
  <c r="Q16" i="38"/>
  <c r="P16" i="38"/>
  <c r="Q72" i="38"/>
  <c r="P72" i="38"/>
  <c r="P63" i="38"/>
  <c r="Q63" i="38"/>
  <c r="Q56" i="38"/>
  <c r="P56" i="38"/>
  <c r="Q60" i="38"/>
  <c r="P60" i="38"/>
  <c r="N61" i="38"/>
  <c r="AF61" i="38"/>
  <c r="AG51" i="38" s="1"/>
  <c r="AE61" i="38"/>
  <c r="AF27" i="38"/>
  <c r="AG21" i="38" s="1"/>
  <c r="AE27" i="38"/>
  <c r="N27" i="38"/>
  <c r="Q64" i="38"/>
  <c r="P64" i="38"/>
  <c r="AF73" i="38"/>
  <c r="AG68" i="38" s="1"/>
  <c r="AE73" i="38"/>
  <c r="N73" i="38"/>
  <c r="Q14" i="38"/>
  <c r="P14" i="38"/>
  <c r="AE50" i="38"/>
  <c r="N50" i="38"/>
  <c r="AF50" i="38"/>
  <c r="AG40" i="38" s="1"/>
  <c r="Q11" i="38"/>
  <c r="P11" i="38"/>
  <c r="Q18" i="38"/>
  <c r="P18" i="38"/>
  <c r="Q57" i="38"/>
  <c r="P57" i="38"/>
  <c r="Q69" i="38"/>
  <c r="P69" i="38"/>
  <c r="Q44" i="38"/>
  <c r="P44" i="38"/>
  <c r="Q15" i="38"/>
  <c r="P15" i="38"/>
  <c r="Q30" i="36"/>
  <c r="P30" i="36"/>
  <c r="Q41" i="36"/>
  <c r="P41" i="36"/>
  <c r="P15" i="36"/>
  <c r="Q15" i="36"/>
  <c r="Q32" i="36"/>
  <c r="P32" i="36"/>
  <c r="P23" i="36"/>
  <c r="Q23" i="36"/>
  <c r="P38" i="36"/>
  <c r="Q38" i="36"/>
  <c r="N60" i="36"/>
  <c r="Q17" i="36"/>
  <c r="P17" i="36"/>
  <c r="P46" i="36"/>
  <c r="Q46" i="36"/>
  <c r="Q70" i="36"/>
  <c r="P70" i="36"/>
  <c r="P8" i="36"/>
  <c r="Q8" i="36"/>
  <c r="Q40" i="36"/>
  <c r="P40" i="36"/>
  <c r="P31" i="36"/>
  <c r="Q31" i="36"/>
  <c r="P59" i="36"/>
  <c r="Q59" i="36"/>
  <c r="P61" i="36"/>
  <c r="Q48" i="36"/>
  <c r="P48" i="36"/>
  <c r="P16" i="36"/>
  <c r="Q16" i="36"/>
  <c r="P45" i="36"/>
  <c r="Q45" i="36"/>
  <c r="P69" i="36"/>
  <c r="Q69" i="36"/>
  <c r="Q62" i="36"/>
  <c r="P62" i="36"/>
  <c r="Q68" i="36"/>
  <c r="P68" i="36"/>
  <c r="Q24" i="36"/>
  <c r="P24" i="36"/>
  <c r="Q55" i="36"/>
  <c r="P55" i="36"/>
  <c r="Q9" i="36"/>
  <c r="P9" i="36"/>
  <c r="P47" i="36"/>
  <c r="Q47" i="36"/>
  <c r="P22" i="36"/>
  <c r="Q22" i="36"/>
  <c r="Q53" i="36"/>
  <c r="P53" i="36"/>
  <c r="Q7" i="36"/>
  <c r="P7" i="36"/>
  <c r="N27" i="36"/>
  <c r="P6" i="36"/>
  <c r="P29" i="36"/>
  <c r="P37" i="36"/>
  <c r="P44" i="36"/>
  <c r="N50" i="36"/>
  <c r="P52" i="36"/>
  <c r="P58" i="36"/>
  <c r="P65" i="36"/>
  <c r="N72" i="36"/>
  <c r="P5" i="36"/>
  <c r="M10" i="36"/>
  <c r="M33" i="36"/>
  <c r="P51" i="36"/>
  <c r="AF20" i="36"/>
  <c r="AG14" i="36" s="1"/>
  <c r="AF27" i="36"/>
  <c r="AG21" i="36" s="1"/>
  <c r="N54" i="36"/>
  <c r="P25" i="36"/>
  <c r="P35" i="36"/>
  <c r="P42" i="36"/>
  <c r="P49" i="36"/>
  <c r="P56" i="36"/>
  <c r="P63" i="36"/>
  <c r="P71" i="36"/>
  <c r="AE50" i="36"/>
  <c r="M66" i="36"/>
  <c r="AE72" i="36"/>
  <c r="P18" i="36"/>
  <c r="AD72" i="34"/>
  <c r="Z72" i="34"/>
  <c r="Y72" i="34"/>
  <c r="M18" i="33" s="1"/>
  <c r="O72" i="34"/>
  <c r="K72" i="34"/>
  <c r="V71" i="34"/>
  <c r="M71" i="34" s="1"/>
  <c r="U71" i="34"/>
  <c r="O71" i="34"/>
  <c r="K71" i="34"/>
  <c r="V70" i="34"/>
  <c r="M70" i="34" s="1"/>
  <c r="U70" i="34"/>
  <c r="O70" i="34"/>
  <c r="K70" i="34"/>
  <c r="V69" i="34"/>
  <c r="M69" i="34" s="1"/>
  <c r="U69" i="34"/>
  <c r="O69" i="34"/>
  <c r="K69" i="34"/>
  <c r="V68" i="34"/>
  <c r="M68" i="34" s="1"/>
  <c r="U68" i="34"/>
  <c r="O68" i="34"/>
  <c r="K68" i="34"/>
  <c r="X67" i="34"/>
  <c r="W67" i="34"/>
  <c r="V67" i="34"/>
  <c r="M67" i="34" s="1"/>
  <c r="O67" i="34"/>
  <c r="K67" i="34"/>
  <c r="AD66" i="34"/>
  <c r="Z66" i="34"/>
  <c r="Y66" i="34"/>
  <c r="J18" i="33" s="1"/>
  <c r="O66" i="34"/>
  <c r="K66" i="34"/>
  <c r="V65" i="34"/>
  <c r="U65" i="34"/>
  <c r="O65" i="34"/>
  <c r="M65" i="34"/>
  <c r="AF65" i="34" s="1"/>
  <c r="K65" i="34"/>
  <c r="V64" i="34"/>
  <c r="U64" i="34"/>
  <c r="O64" i="34"/>
  <c r="M64" i="34"/>
  <c r="AF64" i="34" s="1"/>
  <c r="K64" i="34"/>
  <c r="V63" i="34"/>
  <c r="M63" i="34" s="1"/>
  <c r="U63" i="34"/>
  <c r="O63" i="34"/>
  <c r="K63" i="34"/>
  <c r="V62" i="34"/>
  <c r="M62" i="34" s="1"/>
  <c r="U62" i="34"/>
  <c r="O62" i="34"/>
  <c r="K62" i="34"/>
  <c r="V61" i="34"/>
  <c r="M61" i="34" s="1"/>
  <c r="O61" i="34"/>
  <c r="K61" i="34"/>
  <c r="AD60" i="34"/>
  <c r="Z60" i="34"/>
  <c r="I19" i="33" s="1"/>
  <c r="Y60" i="34"/>
  <c r="I18" i="33" s="1"/>
  <c r="O60" i="34"/>
  <c r="K60" i="34"/>
  <c r="V59" i="34"/>
  <c r="M59" i="34" s="1"/>
  <c r="U59" i="34"/>
  <c r="O59" i="34"/>
  <c r="K59" i="34"/>
  <c r="V58" i="34"/>
  <c r="U58" i="34"/>
  <c r="O58" i="34"/>
  <c r="M58" i="34"/>
  <c r="AF58" i="34" s="1"/>
  <c r="K58" i="34"/>
  <c r="V57" i="34"/>
  <c r="M57" i="34" s="1"/>
  <c r="AF57" i="34" s="1"/>
  <c r="U57" i="34"/>
  <c r="O57" i="34"/>
  <c r="K57" i="34"/>
  <c r="V56" i="34"/>
  <c r="U56" i="34"/>
  <c r="O56" i="34"/>
  <c r="M56" i="34"/>
  <c r="AE56" i="34" s="1"/>
  <c r="K56" i="34"/>
  <c r="V55" i="34"/>
  <c r="M55" i="34" s="1"/>
  <c r="U55" i="34"/>
  <c r="O55" i="34"/>
  <c r="K55" i="34"/>
  <c r="V54" i="34"/>
  <c r="M54" i="34" s="1"/>
  <c r="U54" i="34"/>
  <c r="O54" i="34"/>
  <c r="K54" i="34"/>
  <c r="V53" i="34"/>
  <c r="M53" i="34" s="1"/>
  <c r="U53" i="34"/>
  <c r="O53" i="34"/>
  <c r="K53" i="34"/>
  <c r="V52" i="34"/>
  <c r="U52" i="34"/>
  <c r="O52" i="34"/>
  <c r="M52" i="34"/>
  <c r="AF52" i="34" s="1"/>
  <c r="K52" i="34"/>
  <c r="V51" i="34"/>
  <c r="O51" i="34"/>
  <c r="M51" i="34"/>
  <c r="AF51" i="34" s="1"/>
  <c r="K51" i="34"/>
  <c r="AD50" i="34"/>
  <c r="Z50" i="34"/>
  <c r="Y50" i="34"/>
  <c r="O50" i="34"/>
  <c r="K50" i="34"/>
  <c r="V49" i="34"/>
  <c r="M49" i="34" s="1"/>
  <c r="U49" i="34"/>
  <c r="O49" i="34"/>
  <c r="K49" i="34"/>
  <c r="V48" i="34"/>
  <c r="M48" i="34" s="1"/>
  <c r="U48" i="34"/>
  <c r="O48" i="34"/>
  <c r="K48" i="34"/>
  <c r="V47" i="34"/>
  <c r="M47" i="34" s="1"/>
  <c r="U47" i="34"/>
  <c r="O47" i="34"/>
  <c r="K47" i="34"/>
  <c r="X46" i="34"/>
  <c r="W46" i="34"/>
  <c r="V46" i="34"/>
  <c r="M46" i="34" s="1"/>
  <c r="U46" i="34"/>
  <c r="O46" i="34"/>
  <c r="K46" i="34"/>
  <c r="V45" i="34"/>
  <c r="M45" i="34" s="1"/>
  <c r="U45" i="34"/>
  <c r="O45" i="34"/>
  <c r="K45" i="34"/>
  <c r="V44" i="34"/>
  <c r="U44" i="34"/>
  <c r="O44" i="34"/>
  <c r="M44" i="34"/>
  <c r="AF44" i="34" s="1"/>
  <c r="K44" i="34"/>
  <c r="V43" i="34"/>
  <c r="M43" i="34" s="1"/>
  <c r="AF43" i="34" s="1"/>
  <c r="U43" i="34"/>
  <c r="O43" i="34"/>
  <c r="K43" i="34"/>
  <c r="AF42" i="34"/>
  <c r="V42" i="34"/>
  <c r="U42" i="34"/>
  <c r="O42" i="34"/>
  <c r="N42" i="34"/>
  <c r="Q42" i="34" s="1"/>
  <c r="M42" i="34"/>
  <c r="AE42" i="34" s="1"/>
  <c r="K42" i="34"/>
  <c r="V41" i="34"/>
  <c r="M41" i="34" s="1"/>
  <c r="U41" i="34"/>
  <c r="O41" i="34"/>
  <c r="K41" i="34"/>
  <c r="V40" i="34"/>
  <c r="M40" i="34" s="1"/>
  <c r="O40" i="34"/>
  <c r="K40" i="34"/>
  <c r="AD39" i="34"/>
  <c r="L21" i="33" s="1"/>
  <c r="Z39" i="34"/>
  <c r="L19" i="33" s="1"/>
  <c r="Y39" i="34"/>
  <c r="L18" i="33" s="1"/>
  <c r="O39" i="34"/>
  <c r="K39" i="34"/>
  <c r="V38" i="34"/>
  <c r="M38" i="34" s="1"/>
  <c r="U38" i="34"/>
  <c r="O38" i="34"/>
  <c r="K38" i="34"/>
  <c r="V37" i="34"/>
  <c r="M37" i="34" s="1"/>
  <c r="AF37" i="34" s="1"/>
  <c r="U37" i="34"/>
  <c r="O37" i="34"/>
  <c r="K37" i="34"/>
  <c r="V36" i="34"/>
  <c r="M36" i="34" s="1"/>
  <c r="AF36" i="34" s="1"/>
  <c r="U36" i="34"/>
  <c r="O36" i="34"/>
  <c r="K36" i="34"/>
  <c r="V35" i="34"/>
  <c r="M35" i="34" s="1"/>
  <c r="U35" i="34"/>
  <c r="O35" i="34"/>
  <c r="K35" i="34"/>
  <c r="X34" i="34"/>
  <c r="W34" i="34"/>
  <c r="V34" i="34"/>
  <c r="M34" i="34" s="1"/>
  <c r="O34" i="34"/>
  <c r="K34" i="34"/>
  <c r="AD33" i="34"/>
  <c r="K21" i="33" s="1"/>
  <c r="Z33" i="34"/>
  <c r="Y33" i="34"/>
  <c r="O33" i="34"/>
  <c r="K33" i="34"/>
  <c r="V32" i="34"/>
  <c r="M32" i="34" s="1"/>
  <c r="U32" i="34"/>
  <c r="O32" i="34"/>
  <c r="K32" i="34"/>
  <c r="V31" i="34"/>
  <c r="M31" i="34" s="1"/>
  <c r="U31" i="34"/>
  <c r="O31" i="34"/>
  <c r="K31" i="34"/>
  <c r="V30" i="34"/>
  <c r="M30" i="34" s="1"/>
  <c r="U30" i="34"/>
  <c r="O30" i="34"/>
  <c r="K30" i="34"/>
  <c r="V29" i="34"/>
  <c r="U29" i="34"/>
  <c r="O29" i="34"/>
  <c r="M29" i="34"/>
  <c r="AF29" i="34" s="1"/>
  <c r="K29" i="34"/>
  <c r="X28" i="34"/>
  <c r="W28" i="34"/>
  <c r="V28" i="34"/>
  <c r="M28" i="34" s="1"/>
  <c r="O28" i="34"/>
  <c r="K28" i="34"/>
  <c r="AD27" i="34"/>
  <c r="G21" i="33" s="1"/>
  <c r="Z27" i="34"/>
  <c r="Y27" i="34"/>
  <c r="G18" i="33" s="1"/>
  <c r="O27" i="34"/>
  <c r="K27" i="34"/>
  <c r="V26" i="34"/>
  <c r="M26" i="34" s="1"/>
  <c r="AF26" i="34" s="1"/>
  <c r="U26" i="34"/>
  <c r="O26" i="34"/>
  <c r="K26" i="34"/>
  <c r="V25" i="34"/>
  <c r="M25" i="34" s="1"/>
  <c r="U25" i="34"/>
  <c r="O25" i="34"/>
  <c r="K25" i="34"/>
  <c r="V24" i="34"/>
  <c r="M24" i="34" s="1"/>
  <c r="U24" i="34"/>
  <c r="O24" i="34"/>
  <c r="K24" i="34"/>
  <c r="V23" i="34"/>
  <c r="M23" i="34" s="1"/>
  <c r="U23" i="34"/>
  <c r="O23" i="34"/>
  <c r="K23" i="34"/>
  <c r="V22" i="34"/>
  <c r="M22" i="34" s="1"/>
  <c r="U22" i="34"/>
  <c r="O22" i="34"/>
  <c r="K22" i="34"/>
  <c r="V21" i="34"/>
  <c r="M21" i="34" s="1"/>
  <c r="O21" i="34"/>
  <c r="K21" i="34"/>
  <c r="AD20" i="34"/>
  <c r="F21" i="33" s="1"/>
  <c r="Z20" i="34"/>
  <c r="F19" i="33" s="1"/>
  <c r="Y20" i="34"/>
  <c r="O20" i="34"/>
  <c r="K20" i="34"/>
  <c r="V19" i="34"/>
  <c r="M19" i="34" s="1"/>
  <c r="AF19" i="34" s="1"/>
  <c r="U19" i="34"/>
  <c r="O19" i="34"/>
  <c r="K19" i="34"/>
  <c r="AF18" i="34"/>
  <c r="V18" i="34"/>
  <c r="U18" i="34"/>
  <c r="O18" i="34"/>
  <c r="N18" i="34"/>
  <c r="Q18" i="34" s="1"/>
  <c r="M18" i="34"/>
  <c r="AE18" i="34" s="1"/>
  <c r="K18" i="34"/>
  <c r="V17" i="34"/>
  <c r="M17" i="34" s="1"/>
  <c r="U17" i="34"/>
  <c r="O17" i="34"/>
  <c r="K17" i="34"/>
  <c r="V16" i="34"/>
  <c r="M16" i="34" s="1"/>
  <c r="U16" i="34"/>
  <c r="O16" i="34"/>
  <c r="K16" i="34"/>
  <c r="V15" i="34"/>
  <c r="M15" i="34" s="1"/>
  <c r="U15" i="34"/>
  <c r="O15" i="34"/>
  <c r="K15" i="34"/>
  <c r="V14" i="34"/>
  <c r="M14" i="34" s="1"/>
  <c r="O14" i="34"/>
  <c r="K14" i="34"/>
  <c r="AD13" i="34"/>
  <c r="Z13" i="34"/>
  <c r="Z2" i="34" s="1"/>
  <c r="L6" i="33" s="1"/>
  <c r="Y13" i="34"/>
  <c r="Y2" i="34" s="1"/>
  <c r="K6" i="33" s="1"/>
  <c r="O13" i="34"/>
  <c r="K13" i="34"/>
  <c r="V12" i="34"/>
  <c r="U12" i="34"/>
  <c r="O12" i="34"/>
  <c r="M12" i="34"/>
  <c r="AF12" i="34" s="1"/>
  <c r="K12" i="34"/>
  <c r="V11" i="34"/>
  <c r="O11" i="34"/>
  <c r="M11" i="34"/>
  <c r="AF11" i="34" s="1"/>
  <c r="K11" i="34"/>
  <c r="AD10" i="34"/>
  <c r="Z10" i="34"/>
  <c r="D19" i="33" s="1"/>
  <c r="Y10" i="34"/>
  <c r="O10" i="34"/>
  <c r="K10" i="34"/>
  <c r="V9" i="34"/>
  <c r="M9" i="34" s="1"/>
  <c r="U9" i="34"/>
  <c r="O9" i="34"/>
  <c r="K9" i="34"/>
  <c r="V8" i="34"/>
  <c r="M8" i="34" s="1"/>
  <c r="U8" i="34"/>
  <c r="O8" i="34"/>
  <c r="K8" i="34"/>
  <c r="V7" i="34"/>
  <c r="M7" i="34" s="1"/>
  <c r="U7" i="34"/>
  <c r="O7" i="34"/>
  <c r="K7" i="34"/>
  <c r="V6" i="34"/>
  <c r="U6" i="34"/>
  <c r="O6" i="34"/>
  <c r="M6" i="34"/>
  <c r="AF6" i="34" s="1"/>
  <c r="K6" i="34"/>
  <c r="V5" i="34"/>
  <c r="M5" i="34" s="1"/>
  <c r="AF5" i="34" s="1"/>
  <c r="O5" i="34"/>
  <c r="K5" i="34"/>
  <c r="H2" i="34"/>
  <c r="H1" i="34"/>
  <c r="F1" i="34"/>
  <c r="D1" i="34"/>
  <c r="F2" i="34" s="1"/>
  <c r="M22" i="33"/>
  <c r="L22" i="33"/>
  <c r="K22" i="33"/>
  <c r="J22" i="33"/>
  <c r="I22" i="33"/>
  <c r="H22" i="33"/>
  <c r="G22" i="33"/>
  <c r="F22" i="33"/>
  <c r="E22" i="33"/>
  <c r="D22" i="33"/>
  <c r="M21" i="33"/>
  <c r="J21" i="33"/>
  <c r="I21" i="33"/>
  <c r="H21" i="33"/>
  <c r="D21" i="33"/>
  <c r="M20" i="33"/>
  <c r="L20" i="33"/>
  <c r="K20" i="33"/>
  <c r="J20" i="33"/>
  <c r="I20" i="33"/>
  <c r="H20" i="33"/>
  <c r="G20" i="33"/>
  <c r="F20" i="33"/>
  <c r="E20" i="33"/>
  <c r="D20" i="33"/>
  <c r="M19" i="33"/>
  <c r="K19" i="33"/>
  <c r="J19" i="33"/>
  <c r="H19" i="33"/>
  <c r="G19" i="33"/>
  <c r="E19" i="33"/>
  <c r="K18" i="33"/>
  <c r="H18" i="33"/>
  <c r="F18" i="33"/>
  <c r="D18" i="33"/>
  <c r="M17" i="33"/>
  <c r="L17" i="33"/>
  <c r="K17" i="33"/>
  <c r="J17" i="33"/>
  <c r="I17" i="33"/>
  <c r="H17" i="33"/>
  <c r="G17" i="33"/>
  <c r="F17" i="33"/>
  <c r="E17" i="33"/>
  <c r="D17" i="33"/>
  <c r="M16" i="33"/>
  <c r="L16" i="33"/>
  <c r="K16" i="33"/>
  <c r="J16" i="33"/>
  <c r="I16" i="33"/>
  <c r="H16" i="33"/>
  <c r="G16" i="33"/>
  <c r="F16" i="33"/>
  <c r="E16" i="33"/>
  <c r="D16" i="33"/>
  <c r="M13" i="33"/>
  <c r="L13" i="33"/>
  <c r="K13" i="33"/>
  <c r="I6" i="33" s="1"/>
  <c r="J13" i="33"/>
  <c r="I13" i="33"/>
  <c r="H13" i="33"/>
  <c r="G6" i="33" s="1"/>
  <c r="G13" i="33"/>
  <c r="F13" i="33"/>
  <c r="E13" i="33"/>
  <c r="D13" i="33"/>
  <c r="M6" i="33"/>
  <c r="I3" i="33"/>
  <c r="F3" i="33"/>
  <c r="C3" i="33"/>
  <c r="AE35" i="34" l="1"/>
  <c r="AF35" i="34"/>
  <c r="N35" i="34"/>
  <c r="Q35" i="34" s="1"/>
  <c r="AE49" i="34"/>
  <c r="AF49" i="34"/>
  <c r="N49" i="34"/>
  <c r="Q49" i="34" s="1"/>
  <c r="AE63" i="34"/>
  <c r="AF63" i="34"/>
  <c r="N63" i="34"/>
  <c r="Q63" i="34" s="1"/>
  <c r="AE25" i="34"/>
  <c r="AF25" i="34"/>
  <c r="N25" i="34"/>
  <c r="Q25" i="34" s="1"/>
  <c r="M39" i="34"/>
  <c r="N39" i="34" s="1"/>
  <c r="AF34" i="34"/>
  <c r="AE34" i="34"/>
  <c r="AE71" i="34"/>
  <c r="AF71" i="34"/>
  <c r="N71" i="34"/>
  <c r="Q71" i="34" s="1"/>
  <c r="Q57" i="36"/>
  <c r="P57" i="36"/>
  <c r="Q36" i="36"/>
  <c r="P36" i="36"/>
  <c r="Q26" i="36"/>
  <c r="P26" i="36"/>
  <c r="Q11" i="36"/>
  <c r="P11" i="36"/>
  <c r="N20" i="36"/>
  <c r="M13" i="34"/>
  <c r="AF13" i="34" s="1"/>
  <c r="AG11" i="34" s="1"/>
  <c r="Q43" i="36"/>
  <c r="P43" i="36"/>
  <c r="E18" i="33"/>
  <c r="AF13" i="36"/>
  <c r="AG11" i="36" s="1"/>
  <c r="AE13" i="36"/>
  <c r="N13" i="36"/>
  <c r="Q21" i="36"/>
  <c r="P21" i="36"/>
  <c r="AD2" i="34"/>
  <c r="N6" i="33" s="1"/>
  <c r="AE60" i="36"/>
  <c r="N56" i="34"/>
  <c r="Q56" i="34" s="1"/>
  <c r="Q34" i="36"/>
  <c r="P34" i="36"/>
  <c r="Q28" i="36"/>
  <c r="P28" i="36"/>
  <c r="N39" i="36"/>
  <c r="AF39" i="36"/>
  <c r="AG34" i="36" s="1"/>
  <c r="AE39" i="36"/>
  <c r="AF56" i="34"/>
  <c r="Q14" i="36"/>
  <c r="P14" i="36"/>
  <c r="Q12" i="36"/>
  <c r="P12" i="36"/>
  <c r="Q64" i="36"/>
  <c r="P64" i="36"/>
  <c r="F7" i="39"/>
  <c r="G7" i="39"/>
  <c r="G8" i="39"/>
  <c r="F8" i="39"/>
  <c r="L15" i="39"/>
  <c r="I8" i="39" s="1"/>
  <c r="I7" i="39"/>
  <c r="E7" i="39"/>
  <c r="Q27" i="38"/>
  <c r="R21" i="38" s="1"/>
  <c r="P27" i="38"/>
  <c r="G14" i="37"/>
  <c r="G15" i="37" s="1"/>
  <c r="Q67" i="38"/>
  <c r="R62" i="38" s="1"/>
  <c r="P67" i="38"/>
  <c r="J14" i="37"/>
  <c r="J15" i="37" s="1"/>
  <c r="Q50" i="38"/>
  <c r="R40" i="38" s="1"/>
  <c r="P50" i="38"/>
  <c r="H14" i="37"/>
  <c r="H15" i="37" s="1"/>
  <c r="Q20" i="38"/>
  <c r="R14" i="38" s="1"/>
  <c r="P20" i="38"/>
  <c r="F14" i="37"/>
  <c r="F15" i="37" s="1"/>
  <c r="Q61" i="38"/>
  <c r="R51" i="38" s="1"/>
  <c r="P61" i="38"/>
  <c r="I14" i="37"/>
  <c r="I15" i="37" s="1"/>
  <c r="Q13" i="38"/>
  <c r="R11" i="38" s="1"/>
  <c r="E14" i="37"/>
  <c r="E15" i="37" s="1"/>
  <c r="P13" i="38"/>
  <c r="Q73" i="38"/>
  <c r="R68" i="38" s="1"/>
  <c r="P73" i="38"/>
  <c r="M14" i="37"/>
  <c r="M15" i="37" s="1"/>
  <c r="L14" i="37"/>
  <c r="L15" i="37" s="1"/>
  <c r="Q39" i="38"/>
  <c r="R34" i="38" s="1"/>
  <c r="P39" i="38"/>
  <c r="K15" i="37"/>
  <c r="D2" i="38"/>
  <c r="Q10" i="38"/>
  <c r="R5" i="38" s="1"/>
  <c r="P10" i="38"/>
  <c r="D14" i="37"/>
  <c r="P72" i="36"/>
  <c r="M14" i="35"/>
  <c r="M15" i="35" s="1"/>
  <c r="Q72" i="36"/>
  <c r="R67" i="36" s="1"/>
  <c r="P54" i="36"/>
  <c r="Q54" i="36"/>
  <c r="P50" i="36"/>
  <c r="Q50" i="36"/>
  <c r="R40" i="36" s="1"/>
  <c r="H14" i="35"/>
  <c r="H15" i="35" s="1"/>
  <c r="N66" i="36"/>
  <c r="AF66" i="36"/>
  <c r="AG61" i="36" s="1"/>
  <c r="AE66" i="36"/>
  <c r="N33" i="36"/>
  <c r="AE33" i="36"/>
  <c r="AF33" i="36"/>
  <c r="AG28" i="36" s="1"/>
  <c r="N10" i="36"/>
  <c r="AF10" i="36"/>
  <c r="AG5" i="36" s="1"/>
  <c r="AE10" i="36"/>
  <c r="G14" i="35"/>
  <c r="G15" i="35" s="1"/>
  <c r="Q27" i="36"/>
  <c r="R21" i="36" s="1"/>
  <c r="P27" i="36"/>
  <c r="P60" i="36"/>
  <c r="I14" i="35"/>
  <c r="I15" i="35" s="1"/>
  <c r="Q60" i="36"/>
  <c r="R51" i="36" s="1"/>
  <c r="F14" i="35"/>
  <c r="F15" i="35" s="1"/>
  <c r="Q20" i="36"/>
  <c r="R14" i="36" s="1"/>
  <c r="P20" i="36"/>
  <c r="N31" i="34"/>
  <c r="AF31" i="34"/>
  <c r="AE31" i="34"/>
  <c r="N16" i="34"/>
  <c r="AF16" i="34"/>
  <c r="AE16" i="34"/>
  <c r="AF21" i="34"/>
  <c r="AE21" i="34"/>
  <c r="M27" i="34"/>
  <c r="N21" i="34"/>
  <c r="N24" i="34"/>
  <c r="AF24" i="34"/>
  <c r="AE24" i="34"/>
  <c r="N48" i="34"/>
  <c r="AF48" i="34"/>
  <c r="AE48" i="34"/>
  <c r="N8" i="34"/>
  <c r="AF8" i="34"/>
  <c r="AE8" i="34"/>
  <c r="N38" i="34"/>
  <c r="AF38" i="34"/>
  <c r="AE38" i="34"/>
  <c r="N41" i="34"/>
  <c r="AF41" i="34"/>
  <c r="AE41" i="34"/>
  <c r="N53" i="34"/>
  <c r="AF53" i="34"/>
  <c r="AE53" i="34"/>
  <c r="N68" i="34"/>
  <c r="AF68" i="34"/>
  <c r="AE68" i="34"/>
  <c r="N32" i="34"/>
  <c r="AF32" i="34"/>
  <c r="AE32" i="34"/>
  <c r="AF14" i="34"/>
  <c r="AE14" i="34"/>
  <c r="M20" i="34"/>
  <c r="N14" i="34"/>
  <c r="N17" i="34"/>
  <c r="AF17" i="34"/>
  <c r="AE17" i="34"/>
  <c r="N22" i="34"/>
  <c r="AF22" i="34"/>
  <c r="AE22" i="34"/>
  <c r="N7" i="34"/>
  <c r="AF7" i="34"/>
  <c r="AE7" i="34"/>
  <c r="N45" i="34"/>
  <c r="AF45" i="34"/>
  <c r="AE45" i="34"/>
  <c r="N46" i="34"/>
  <c r="AF46" i="34"/>
  <c r="AE46" i="34"/>
  <c r="M66" i="34"/>
  <c r="N61" i="34"/>
  <c r="AF61" i="34"/>
  <c r="AE61" i="34"/>
  <c r="N9" i="34"/>
  <c r="AF9" i="34"/>
  <c r="AE9" i="34"/>
  <c r="N59" i="34"/>
  <c r="AF59" i="34"/>
  <c r="AE59" i="34"/>
  <c r="N62" i="34"/>
  <c r="AF62" i="34"/>
  <c r="AE62" i="34"/>
  <c r="N54" i="34"/>
  <c r="AF54" i="34"/>
  <c r="AE54" i="34"/>
  <c r="N69" i="34"/>
  <c r="AF69" i="34"/>
  <c r="AE69" i="34"/>
  <c r="N30" i="34"/>
  <c r="AF30" i="34"/>
  <c r="AE30" i="34"/>
  <c r="N67" i="34"/>
  <c r="AF67" i="34"/>
  <c r="AE67" i="34"/>
  <c r="M72" i="34"/>
  <c r="N15" i="34"/>
  <c r="AF15" i="34"/>
  <c r="AE15" i="34"/>
  <c r="N23" i="34"/>
  <c r="AF23" i="34"/>
  <c r="AE23" i="34"/>
  <c r="AF28" i="34"/>
  <c r="AE28" i="34"/>
  <c r="M33" i="34"/>
  <c r="N28" i="34"/>
  <c r="N47" i="34"/>
  <c r="AF47" i="34"/>
  <c r="AE47" i="34"/>
  <c r="N40" i="34"/>
  <c r="AF40" i="34"/>
  <c r="M50" i="34"/>
  <c r="AE40" i="34"/>
  <c r="N55" i="34"/>
  <c r="AF55" i="34"/>
  <c r="AE55" i="34"/>
  <c r="N70" i="34"/>
  <c r="AF70" i="34"/>
  <c r="AE70" i="34"/>
  <c r="E6" i="33"/>
  <c r="F6" i="33"/>
  <c r="N6" i="34"/>
  <c r="N29" i="34"/>
  <c r="N37" i="34"/>
  <c r="N44" i="34"/>
  <c r="N52" i="34"/>
  <c r="N58" i="34"/>
  <c r="N65" i="34"/>
  <c r="N5" i="34"/>
  <c r="N51" i="34"/>
  <c r="N12" i="34"/>
  <c r="N19" i="34"/>
  <c r="N26" i="34"/>
  <c r="N36" i="34"/>
  <c r="N43" i="34"/>
  <c r="N57" i="34"/>
  <c r="N64" i="34"/>
  <c r="M10" i="34"/>
  <c r="N11" i="34"/>
  <c r="N34" i="34"/>
  <c r="AE6" i="34"/>
  <c r="P18" i="34"/>
  <c r="AE29" i="34"/>
  <c r="P35" i="34"/>
  <c r="AE37" i="34"/>
  <c r="P42" i="34"/>
  <c r="AE44" i="34"/>
  <c r="P49" i="34"/>
  <c r="AE52" i="34"/>
  <c r="P56" i="34"/>
  <c r="AE58" i="34"/>
  <c r="P63" i="34"/>
  <c r="AE65" i="34"/>
  <c r="P71" i="34"/>
  <c r="E21" i="33"/>
  <c r="AE5" i="34"/>
  <c r="AE13" i="34"/>
  <c r="AE51" i="34"/>
  <c r="M60" i="34"/>
  <c r="AE12" i="34"/>
  <c r="AE19" i="34"/>
  <c r="AE26" i="34"/>
  <c r="AE36" i="34"/>
  <c r="AE43" i="34"/>
  <c r="AE57" i="34"/>
  <c r="AE64" i="34"/>
  <c r="AE11" i="34"/>
  <c r="AD72" i="32"/>
  <c r="Z72" i="32"/>
  <c r="Y72" i="32"/>
  <c r="M18" i="31" s="1"/>
  <c r="O72" i="32"/>
  <c r="K72" i="32"/>
  <c r="V71" i="32"/>
  <c r="M71" i="32" s="1"/>
  <c r="AE71" i="32" s="1"/>
  <c r="U71" i="32"/>
  <c r="O71" i="32"/>
  <c r="K71" i="32"/>
  <c r="V70" i="32"/>
  <c r="M70" i="32" s="1"/>
  <c r="U70" i="32"/>
  <c r="O70" i="32"/>
  <c r="K70" i="32"/>
  <c r="V69" i="32"/>
  <c r="M69" i="32" s="1"/>
  <c r="U69" i="32"/>
  <c r="O69" i="32"/>
  <c r="K69" i="32"/>
  <c r="V68" i="32"/>
  <c r="M68" i="32" s="1"/>
  <c r="U68" i="32"/>
  <c r="O68" i="32"/>
  <c r="K68" i="32"/>
  <c r="X67" i="32"/>
  <c r="W67" i="32"/>
  <c r="V67" i="32"/>
  <c r="M67" i="32" s="1"/>
  <c r="O67" i="32"/>
  <c r="K67" i="32"/>
  <c r="AD66" i="32"/>
  <c r="Z66" i="32"/>
  <c r="J19" i="31" s="1"/>
  <c r="Y66" i="32"/>
  <c r="J18" i="31" s="1"/>
  <c r="O66" i="32"/>
  <c r="K66" i="32"/>
  <c r="V65" i="32"/>
  <c r="U65" i="32"/>
  <c r="O65" i="32"/>
  <c r="M65" i="32"/>
  <c r="AF65" i="32" s="1"/>
  <c r="K65" i="32"/>
  <c r="V64" i="32"/>
  <c r="U64" i="32"/>
  <c r="O64" i="32"/>
  <c r="M64" i="32"/>
  <c r="AF64" i="32" s="1"/>
  <c r="K64" i="32"/>
  <c r="V63" i="32"/>
  <c r="U63" i="32"/>
  <c r="O63" i="32"/>
  <c r="M63" i="32"/>
  <c r="AE63" i="32" s="1"/>
  <c r="K63" i="32"/>
  <c r="V62" i="32"/>
  <c r="M62" i="32" s="1"/>
  <c r="U62" i="32"/>
  <c r="O62" i="32"/>
  <c r="K62" i="32"/>
  <c r="V61" i="32"/>
  <c r="M61" i="32" s="1"/>
  <c r="O61" i="32"/>
  <c r="K61" i="32"/>
  <c r="AD60" i="32"/>
  <c r="I21" i="31" s="1"/>
  <c r="Z60" i="32"/>
  <c r="I19" i="31" s="1"/>
  <c r="Y60" i="32"/>
  <c r="I18" i="31" s="1"/>
  <c r="O60" i="32"/>
  <c r="K60" i="32"/>
  <c r="V59" i="32"/>
  <c r="M59" i="32" s="1"/>
  <c r="U59" i="32"/>
  <c r="O59" i="32"/>
  <c r="K59" i="32"/>
  <c r="V58" i="32"/>
  <c r="U58" i="32"/>
  <c r="O58" i="32"/>
  <c r="N58" i="32"/>
  <c r="Q58" i="32" s="1"/>
  <c r="M58" i="32"/>
  <c r="AF58" i="32" s="1"/>
  <c r="K58" i="32"/>
  <c r="V57" i="32"/>
  <c r="U57" i="32"/>
  <c r="O57" i="32"/>
  <c r="M57" i="32"/>
  <c r="AF57" i="32" s="1"/>
  <c r="K57" i="32"/>
  <c r="V56" i="32"/>
  <c r="M56" i="32" s="1"/>
  <c r="AE56" i="32" s="1"/>
  <c r="U56" i="32"/>
  <c r="O56" i="32"/>
  <c r="K56" i="32"/>
  <c r="V55" i="32"/>
  <c r="M55" i="32" s="1"/>
  <c r="U55" i="32"/>
  <c r="O55" i="32"/>
  <c r="K55" i="32"/>
  <c r="V54" i="32"/>
  <c r="M54" i="32" s="1"/>
  <c r="U54" i="32"/>
  <c r="O54" i="32"/>
  <c r="K54" i="32"/>
  <c r="V53" i="32"/>
  <c r="M53" i="32" s="1"/>
  <c r="U53" i="32"/>
  <c r="O53" i="32"/>
  <c r="K53" i="32"/>
  <c r="V52" i="32"/>
  <c r="M52" i="32" s="1"/>
  <c r="U52" i="32"/>
  <c r="O52" i="32"/>
  <c r="K52" i="32"/>
  <c r="V51" i="32"/>
  <c r="O51" i="32"/>
  <c r="N51" i="32"/>
  <c r="Q51" i="32" s="1"/>
  <c r="M51" i="32"/>
  <c r="AF51" i="32" s="1"/>
  <c r="K51" i="32"/>
  <c r="AD50" i="32"/>
  <c r="Z50" i="32"/>
  <c r="Y50" i="32"/>
  <c r="O50" i="32"/>
  <c r="K50" i="32"/>
  <c r="V49" i="32"/>
  <c r="M49" i="32" s="1"/>
  <c r="AE49" i="32" s="1"/>
  <c r="U49" i="32"/>
  <c r="O49" i="32"/>
  <c r="K49" i="32"/>
  <c r="V48" i="32"/>
  <c r="M48" i="32" s="1"/>
  <c r="U48" i="32"/>
  <c r="O48" i="32"/>
  <c r="K48" i="32"/>
  <c r="V47" i="32"/>
  <c r="M47" i="32" s="1"/>
  <c r="U47" i="32"/>
  <c r="O47" i="32"/>
  <c r="K47" i="32"/>
  <c r="X46" i="32"/>
  <c r="W46" i="32"/>
  <c r="V46" i="32"/>
  <c r="M46" i="32" s="1"/>
  <c r="U46" i="32"/>
  <c r="O46" i="32"/>
  <c r="K46" i="32"/>
  <c r="V45" i="32"/>
  <c r="M45" i="32" s="1"/>
  <c r="U45" i="32"/>
  <c r="O45" i="32"/>
  <c r="K45" i="32"/>
  <c r="V44" i="32"/>
  <c r="U44" i="32"/>
  <c r="O44" i="32"/>
  <c r="N44" i="32"/>
  <c r="Q44" i="32" s="1"/>
  <c r="M44" i="32"/>
  <c r="AF44" i="32" s="1"/>
  <c r="K44" i="32"/>
  <c r="V43" i="32"/>
  <c r="M43" i="32" s="1"/>
  <c r="AF43" i="32" s="1"/>
  <c r="U43" i="32"/>
  <c r="O43" i="32"/>
  <c r="K43" i="32"/>
  <c r="V42" i="32"/>
  <c r="U42" i="32"/>
  <c r="O42" i="32"/>
  <c r="M42" i="32"/>
  <c r="AE42" i="32" s="1"/>
  <c r="K42" i="32"/>
  <c r="V41" i="32"/>
  <c r="M41" i="32" s="1"/>
  <c r="U41" i="32"/>
  <c r="O41" i="32"/>
  <c r="K41" i="32"/>
  <c r="V40" i="32"/>
  <c r="M40" i="32" s="1"/>
  <c r="O40" i="32"/>
  <c r="K40" i="32"/>
  <c r="AD39" i="32"/>
  <c r="Z39" i="32"/>
  <c r="L19" i="31" s="1"/>
  <c r="Y39" i="32"/>
  <c r="L18" i="31" s="1"/>
  <c r="O39" i="32"/>
  <c r="K39" i="32"/>
  <c r="V38" i="32"/>
  <c r="M38" i="32" s="1"/>
  <c r="U38" i="32"/>
  <c r="O38" i="32"/>
  <c r="K38" i="32"/>
  <c r="AE37" i="32"/>
  <c r="V37" i="32"/>
  <c r="U37" i="32"/>
  <c r="O37" i="32"/>
  <c r="N37" i="32"/>
  <c r="M37" i="32"/>
  <c r="AF37" i="32" s="1"/>
  <c r="K37" i="32"/>
  <c r="V36" i="32"/>
  <c r="M36" i="32" s="1"/>
  <c r="AF36" i="32" s="1"/>
  <c r="U36" i="32"/>
  <c r="O36" i="32"/>
  <c r="K36" i="32"/>
  <c r="V35" i="32"/>
  <c r="M35" i="32" s="1"/>
  <c r="AE35" i="32" s="1"/>
  <c r="U35" i="32"/>
  <c r="O35" i="32"/>
  <c r="K35" i="32"/>
  <c r="X34" i="32"/>
  <c r="W34" i="32"/>
  <c r="V34" i="32"/>
  <c r="O34" i="32"/>
  <c r="M34" i="32"/>
  <c r="K34" i="32"/>
  <c r="AD33" i="32"/>
  <c r="Z33" i="32"/>
  <c r="Y33" i="32"/>
  <c r="O33" i="32"/>
  <c r="K33" i="32"/>
  <c r="V32" i="32"/>
  <c r="M32" i="32" s="1"/>
  <c r="U32" i="32"/>
  <c r="O32" i="32"/>
  <c r="K32" i="32"/>
  <c r="V31" i="32"/>
  <c r="M31" i="32" s="1"/>
  <c r="U31" i="32"/>
  <c r="O31" i="32"/>
  <c r="K31" i="32"/>
  <c r="V30" i="32"/>
  <c r="M30" i="32" s="1"/>
  <c r="U30" i="32"/>
  <c r="O30" i="32"/>
  <c r="K30" i="32"/>
  <c r="V29" i="32"/>
  <c r="M29" i="32" s="1"/>
  <c r="U29" i="32"/>
  <c r="O29" i="32"/>
  <c r="K29" i="32"/>
  <c r="X28" i="32"/>
  <c r="W28" i="32"/>
  <c r="V28" i="32"/>
  <c r="M28" i="32" s="1"/>
  <c r="O28" i="32"/>
  <c r="K28" i="32"/>
  <c r="AD27" i="32"/>
  <c r="G21" i="31" s="1"/>
  <c r="Z27" i="32"/>
  <c r="Y27" i="32"/>
  <c r="O27" i="32"/>
  <c r="K27" i="32"/>
  <c r="V26" i="32"/>
  <c r="U26" i="32"/>
  <c r="O26" i="32"/>
  <c r="M26" i="32"/>
  <c r="AF26" i="32" s="1"/>
  <c r="K26" i="32"/>
  <c r="V25" i="32"/>
  <c r="M25" i="32" s="1"/>
  <c r="AE25" i="32" s="1"/>
  <c r="U25" i="32"/>
  <c r="O25" i="32"/>
  <c r="K25" i="32"/>
  <c r="V24" i="32"/>
  <c r="M24" i="32" s="1"/>
  <c r="U24" i="32"/>
  <c r="O24" i="32"/>
  <c r="K24" i="32"/>
  <c r="V23" i="32"/>
  <c r="M23" i="32" s="1"/>
  <c r="U23" i="32"/>
  <c r="O23" i="32"/>
  <c r="K23" i="32"/>
  <c r="V22" i="32"/>
  <c r="M22" i="32" s="1"/>
  <c r="U22" i="32"/>
  <c r="O22" i="32"/>
  <c r="K22" i="32"/>
  <c r="V21" i="32"/>
  <c r="M21" i="32" s="1"/>
  <c r="O21" i="32"/>
  <c r="K21" i="32"/>
  <c r="AD20" i="32"/>
  <c r="F21" i="31" s="1"/>
  <c r="Z20" i="32"/>
  <c r="Y20" i="32"/>
  <c r="O20" i="32"/>
  <c r="K20" i="32"/>
  <c r="V19" i="32"/>
  <c r="U19" i="32"/>
  <c r="O19" i="32"/>
  <c r="M19" i="32"/>
  <c r="AF19" i="32" s="1"/>
  <c r="K19" i="32"/>
  <c r="V18" i="32"/>
  <c r="M18" i="32" s="1"/>
  <c r="AE18" i="32" s="1"/>
  <c r="U18" i="32"/>
  <c r="O18" i="32"/>
  <c r="K18" i="32"/>
  <c r="V17" i="32"/>
  <c r="M17" i="32" s="1"/>
  <c r="U17" i="32"/>
  <c r="O17" i="32"/>
  <c r="K17" i="32"/>
  <c r="V16" i="32"/>
  <c r="M16" i="32" s="1"/>
  <c r="U16" i="32"/>
  <c r="O16" i="32"/>
  <c r="K16" i="32"/>
  <c r="V15" i="32"/>
  <c r="M15" i="32" s="1"/>
  <c r="U15" i="32"/>
  <c r="O15" i="32"/>
  <c r="K15" i="32"/>
  <c r="V14" i="32"/>
  <c r="M14" i="32" s="1"/>
  <c r="O14" i="32"/>
  <c r="K14" i="32"/>
  <c r="AD13" i="32"/>
  <c r="AD2" i="32" s="1"/>
  <c r="N6" i="31" s="1"/>
  <c r="Z13" i="32"/>
  <c r="Z2" i="32" s="1"/>
  <c r="L6" i="31" s="1"/>
  <c r="Y13" i="32"/>
  <c r="Y2" i="32" s="1"/>
  <c r="K6" i="31" s="1"/>
  <c r="O13" i="32"/>
  <c r="K13" i="32"/>
  <c r="V12" i="32"/>
  <c r="M12" i="32" s="1"/>
  <c r="AF12" i="32" s="1"/>
  <c r="U12" i="32"/>
  <c r="O12" i="32"/>
  <c r="K12" i="32"/>
  <c r="V11" i="32"/>
  <c r="M11" i="32" s="1"/>
  <c r="AF11" i="32" s="1"/>
  <c r="O11" i="32"/>
  <c r="K11" i="32"/>
  <c r="AD10" i="32"/>
  <c r="Z10" i="32"/>
  <c r="Y10" i="32"/>
  <c r="O10" i="32"/>
  <c r="K10" i="32"/>
  <c r="V9" i="32"/>
  <c r="M9" i="32" s="1"/>
  <c r="U9" i="32"/>
  <c r="O9" i="32"/>
  <c r="K9" i="32"/>
  <c r="V8" i="32"/>
  <c r="M8" i="32" s="1"/>
  <c r="U8" i="32"/>
  <c r="O8" i="32"/>
  <c r="K8" i="32"/>
  <c r="V7" i="32"/>
  <c r="M7" i="32" s="1"/>
  <c r="U7" i="32"/>
  <c r="O7" i="32"/>
  <c r="K7" i="32"/>
  <c r="V6" i="32"/>
  <c r="U6" i="32"/>
  <c r="O6" i="32"/>
  <c r="M6" i="32"/>
  <c r="AF6" i="32" s="1"/>
  <c r="K6" i="32"/>
  <c r="V5" i="32"/>
  <c r="O5" i="32"/>
  <c r="M5" i="32"/>
  <c r="AF5" i="32" s="1"/>
  <c r="K5" i="32"/>
  <c r="H2" i="32"/>
  <c r="H1" i="32"/>
  <c r="F1" i="32"/>
  <c r="D1" i="32"/>
  <c r="M22" i="31"/>
  <c r="L22" i="31"/>
  <c r="K22" i="31"/>
  <c r="J22" i="31"/>
  <c r="I22" i="31"/>
  <c r="H22" i="31"/>
  <c r="G22" i="31"/>
  <c r="F22" i="31"/>
  <c r="E22" i="31"/>
  <c r="D22" i="31"/>
  <c r="M21" i="31"/>
  <c r="L21" i="31"/>
  <c r="K21" i="31"/>
  <c r="J21" i="31"/>
  <c r="H21" i="31"/>
  <c r="D21" i="31"/>
  <c r="M20" i="31"/>
  <c r="L20" i="31"/>
  <c r="K20" i="31"/>
  <c r="J20" i="31"/>
  <c r="I20" i="31"/>
  <c r="H20" i="31"/>
  <c r="G20" i="31"/>
  <c r="F20" i="31"/>
  <c r="E20" i="31"/>
  <c r="D20" i="31"/>
  <c r="M19" i="31"/>
  <c r="K19" i="31"/>
  <c r="H19" i="31"/>
  <c r="G19" i="31"/>
  <c r="F19" i="31"/>
  <c r="E19" i="31"/>
  <c r="D19" i="31"/>
  <c r="K18" i="31"/>
  <c r="H18" i="31"/>
  <c r="G18" i="31"/>
  <c r="F18" i="31"/>
  <c r="E18" i="31"/>
  <c r="D18" i="31"/>
  <c r="M17" i="31"/>
  <c r="L17" i="31"/>
  <c r="K17" i="31"/>
  <c r="J17" i="31"/>
  <c r="I17" i="31"/>
  <c r="H17" i="31"/>
  <c r="G17" i="31"/>
  <c r="F17" i="31"/>
  <c r="E17" i="31"/>
  <c r="D17" i="31"/>
  <c r="M16" i="31"/>
  <c r="L16" i="31"/>
  <c r="K16" i="31"/>
  <c r="J16" i="31"/>
  <c r="I16" i="31"/>
  <c r="H16" i="31"/>
  <c r="G16" i="31"/>
  <c r="F16" i="31"/>
  <c r="E16" i="31"/>
  <c r="D16" i="31"/>
  <c r="M13" i="31"/>
  <c r="L13" i="31"/>
  <c r="K13" i="31"/>
  <c r="I6" i="31" s="1"/>
  <c r="J13" i="31"/>
  <c r="I13" i="31"/>
  <c r="H13" i="31"/>
  <c r="G13" i="31"/>
  <c r="F13" i="31"/>
  <c r="E13" i="31"/>
  <c r="D13" i="31"/>
  <c r="M6" i="31"/>
  <c r="I3" i="31"/>
  <c r="F3" i="31"/>
  <c r="C3" i="31"/>
  <c r="AF52" i="32" l="1"/>
  <c r="AE52" i="32"/>
  <c r="N52" i="32"/>
  <c r="Q52" i="32" s="1"/>
  <c r="AF29" i="32"/>
  <c r="N29" i="32"/>
  <c r="Q29" i="32" s="1"/>
  <c r="AE29" i="32"/>
  <c r="M39" i="32"/>
  <c r="F2" i="32"/>
  <c r="AE58" i="32"/>
  <c r="AF34" i="32"/>
  <c r="E14" i="35"/>
  <c r="E15" i="35" s="1"/>
  <c r="Q13" i="36"/>
  <c r="R11" i="36" s="1"/>
  <c r="P13" i="36"/>
  <c r="N5" i="32"/>
  <c r="N65" i="32"/>
  <c r="Q65" i="32" s="1"/>
  <c r="N6" i="32"/>
  <c r="Q6" i="32" s="1"/>
  <c r="AE44" i="32"/>
  <c r="P25" i="34"/>
  <c r="AE39" i="34"/>
  <c r="N13" i="34"/>
  <c r="Q13" i="34" s="1"/>
  <c r="R11" i="34" s="1"/>
  <c r="AF39" i="34"/>
  <c r="AG34" i="34" s="1"/>
  <c r="Q39" i="36"/>
  <c r="R34" i="36" s="1"/>
  <c r="L14" i="35"/>
  <c r="L15" i="35" s="1"/>
  <c r="P39" i="36"/>
  <c r="AE65" i="32"/>
  <c r="AE6" i="32"/>
  <c r="Q37" i="32"/>
  <c r="E8" i="39"/>
  <c r="G7" i="37"/>
  <c r="F7" i="37"/>
  <c r="E7" i="37"/>
  <c r="D15" i="37"/>
  <c r="I7" i="37"/>
  <c r="I8" i="37"/>
  <c r="Q33" i="36"/>
  <c r="R28" i="36" s="1"/>
  <c r="P33" i="36"/>
  <c r="K14" i="35"/>
  <c r="P66" i="36"/>
  <c r="Q66" i="36"/>
  <c r="R61" i="36" s="1"/>
  <c r="J14" i="35"/>
  <c r="J15" i="35" s="1"/>
  <c r="D14" i="35"/>
  <c r="Q10" i="36"/>
  <c r="R5" i="36" s="1"/>
  <c r="P10" i="36"/>
  <c r="D2" i="36"/>
  <c r="P39" i="34"/>
  <c r="Q39" i="34"/>
  <c r="R34" i="34" s="1"/>
  <c r="L14" i="33"/>
  <c r="L15" i="33" s="1"/>
  <c r="Q6" i="34"/>
  <c r="P6" i="34"/>
  <c r="Q19" i="34"/>
  <c r="P19" i="34"/>
  <c r="Q26" i="34"/>
  <c r="P26" i="34"/>
  <c r="N66" i="34"/>
  <c r="AF66" i="34"/>
  <c r="AG61" i="34" s="1"/>
  <c r="AE66" i="34"/>
  <c r="Q7" i="34"/>
  <c r="P7" i="34"/>
  <c r="Q32" i="34"/>
  <c r="P32" i="34"/>
  <c r="Q22" i="34"/>
  <c r="P22" i="34"/>
  <c r="Q64" i="34"/>
  <c r="P64" i="34"/>
  <c r="Q44" i="34"/>
  <c r="P44" i="34"/>
  <c r="Q55" i="34"/>
  <c r="P55" i="34"/>
  <c r="P16" i="34"/>
  <c r="Q16" i="34"/>
  <c r="Q68" i="34"/>
  <c r="P68" i="34"/>
  <c r="N60" i="34"/>
  <c r="AF60" i="34"/>
  <c r="AG51" i="34" s="1"/>
  <c r="AE60" i="34"/>
  <c r="Q57" i="34"/>
  <c r="P57" i="34"/>
  <c r="Q37" i="34"/>
  <c r="P37" i="34"/>
  <c r="Q45" i="34"/>
  <c r="P45" i="34"/>
  <c r="Q17" i="34"/>
  <c r="P17" i="34"/>
  <c r="Q40" i="34"/>
  <c r="P40" i="34"/>
  <c r="Q15" i="34"/>
  <c r="P15" i="34"/>
  <c r="Q41" i="34"/>
  <c r="P41" i="34"/>
  <c r="Q12" i="34"/>
  <c r="P12" i="34"/>
  <c r="P54" i="34"/>
  <c r="Q54" i="34"/>
  <c r="Q21" i="34"/>
  <c r="P21" i="34"/>
  <c r="Q51" i="34"/>
  <c r="P51" i="34"/>
  <c r="P47" i="34"/>
  <c r="Q47" i="34"/>
  <c r="Q28" i="34"/>
  <c r="P28" i="34"/>
  <c r="Q38" i="34"/>
  <c r="P38" i="34"/>
  <c r="Q34" i="34"/>
  <c r="P34" i="34"/>
  <c r="N33" i="34"/>
  <c r="AF33" i="34"/>
  <c r="AG28" i="34" s="1"/>
  <c r="AE33" i="34"/>
  <c r="Q62" i="34"/>
  <c r="P62" i="34"/>
  <c r="Q11" i="34"/>
  <c r="P11" i="34"/>
  <c r="P46" i="34"/>
  <c r="Q46" i="34"/>
  <c r="N10" i="34"/>
  <c r="AF10" i="34"/>
  <c r="AG5" i="34" s="1"/>
  <c r="AE10" i="34"/>
  <c r="P8" i="34"/>
  <c r="Q8" i="34"/>
  <c r="Q59" i="34"/>
  <c r="P59" i="34"/>
  <c r="Q43" i="34"/>
  <c r="P43" i="34"/>
  <c r="Q29" i="34"/>
  <c r="P29" i="34"/>
  <c r="AF50" i="34"/>
  <c r="AG40" i="34" s="1"/>
  <c r="AE50" i="34"/>
  <c r="N50" i="34"/>
  <c r="P23" i="34"/>
  <c r="Q23" i="34"/>
  <c r="Q14" i="34"/>
  <c r="P14" i="34"/>
  <c r="Q53" i="34"/>
  <c r="P53" i="34"/>
  <c r="Q48" i="34"/>
  <c r="P48" i="34"/>
  <c r="Q24" i="34"/>
  <c r="P24" i="34"/>
  <c r="AF72" i="34"/>
  <c r="AG67" i="34" s="1"/>
  <c r="AE72" i="34"/>
  <c r="N72" i="34"/>
  <c r="Q61" i="34"/>
  <c r="P61" i="34"/>
  <c r="AF27" i="34"/>
  <c r="AG21" i="34" s="1"/>
  <c r="AE27" i="34"/>
  <c r="N27" i="34"/>
  <c r="Q5" i="34"/>
  <c r="P5" i="34"/>
  <c r="Q65" i="34"/>
  <c r="P65" i="34"/>
  <c r="Q70" i="34"/>
  <c r="P70" i="34"/>
  <c r="Q67" i="34"/>
  <c r="P67" i="34"/>
  <c r="Q58" i="34"/>
  <c r="P58" i="34"/>
  <c r="Q52" i="34"/>
  <c r="P52" i="34"/>
  <c r="Q30" i="34"/>
  <c r="P30" i="34"/>
  <c r="Q36" i="34"/>
  <c r="P36" i="34"/>
  <c r="P69" i="34"/>
  <c r="Q69" i="34"/>
  <c r="Q9" i="34"/>
  <c r="P9" i="34"/>
  <c r="AF20" i="34"/>
  <c r="AG14" i="34" s="1"/>
  <c r="AE20" i="34"/>
  <c r="N20" i="34"/>
  <c r="P31" i="34"/>
  <c r="Q31" i="34"/>
  <c r="N32" i="32"/>
  <c r="AE32" i="32"/>
  <c r="AF32" i="32"/>
  <c r="N9" i="32"/>
  <c r="AE9" i="32"/>
  <c r="AF9" i="32"/>
  <c r="N23" i="32"/>
  <c r="AF23" i="32"/>
  <c r="AE23" i="32"/>
  <c r="N40" i="32"/>
  <c r="AF40" i="32"/>
  <c r="M50" i="32"/>
  <c r="AE40" i="32"/>
  <c r="G6" i="31"/>
  <c r="F6" i="31"/>
  <c r="E6" i="31"/>
  <c r="N45" i="32"/>
  <c r="AF45" i="32"/>
  <c r="AE45" i="32"/>
  <c r="Q5" i="32"/>
  <c r="P5" i="32"/>
  <c r="N31" i="32"/>
  <c r="AF31" i="32"/>
  <c r="AE31" i="32"/>
  <c r="N48" i="32"/>
  <c r="AE48" i="32"/>
  <c r="AF48" i="32"/>
  <c r="N7" i="32"/>
  <c r="AF7" i="32"/>
  <c r="AE7" i="32"/>
  <c r="AF21" i="32"/>
  <c r="AE21" i="32"/>
  <c r="M27" i="32"/>
  <c r="N21" i="32"/>
  <c r="N24" i="32"/>
  <c r="AE24" i="32"/>
  <c r="AF24" i="32"/>
  <c r="N38" i="32"/>
  <c r="AF38" i="32"/>
  <c r="AE38" i="32"/>
  <c r="N41" i="32"/>
  <c r="AE41" i="32"/>
  <c r="AF41" i="32"/>
  <c r="N46" i="32"/>
  <c r="AF46" i="32"/>
  <c r="AE46" i="32"/>
  <c r="N53" i="32"/>
  <c r="AF53" i="32"/>
  <c r="AE53" i="32"/>
  <c r="N68" i="32"/>
  <c r="AF68" i="32"/>
  <c r="AE68" i="32"/>
  <c r="N70" i="32"/>
  <c r="AE70" i="32"/>
  <c r="AF70" i="32"/>
  <c r="N15" i="32"/>
  <c r="AF15" i="32"/>
  <c r="AE15" i="32"/>
  <c r="N39" i="32"/>
  <c r="AF39" i="32"/>
  <c r="AG34" i="32" s="1"/>
  <c r="AE39" i="32"/>
  <c r="N16" i="32"/>
  <c r="AF16" i="32"/>
  <c r="AE16" i="32"/>
  <c r="M66" i="32"/>
  <c r="N61" i="32"/>
  <c r="AF61" i="32"/>
  <c r="AE61" i="32"/>
  <c r="AF14" i="32"/>
  <c r="AE14" i="32"/>
  <c r="M20" i="32"/>
  <c r="N14" i="32"/>
  <c r="N59" i="32"/>
  <c r="AF59" i="32"/>
  <c r="AE59" i="32"/>
  <c r="N62" i="32"/>
  <c r="AE62" i="32"/>
  <c r="AF62" i="32"/>
  <c r="N55" i="32"/>
  <c r="AE55" i="32"/>
  <c r="AF55" i="32"/>
  <c r="N8" i="32"/>
  <c r="AF8" i="32"/>
  <c r="AE8" i="32"/>
  <c r="N22" i="32"/>
  <c r="AF22" i="32"/>
  <c r="AE22" i="32"/>
  <c r="N54" i="32"/>
  <c r="AF54" i="32"/>
  <c r="AE54" i="32"/>
  <c r="N69" i="32"/>
  <c r="AF69" i="32"/>
  <c r="AE69" i="32"/>
  <c r="N17" i="32"/>
  <c r="AE17" i="32"/>
  <c r="AF17" i="32"/>
  <c r="AF28" i="32"/>
  <c r="AE28" i="32"/>
  <c r="M33" i="32"/>
  <c r="N28" i="32"/>
  <c r="N30" i="32"/>
  <c r="AF30" i="32"/>
  <c r="AE30" i="32"/>
  <c r="N47" i="32"/>
  <c r="AF47" i="32"/>
  <c r="AE47" i="32"/>
  <c r="N67" i="32"/>
  <c r="AF67" i="32"/>
  <c r="AE67" i="32"/>
  <c r="M72" i="32"/>
  <c r="M13" i="32"/>
  <c r="AF18" i="32"/>
  <c r="AF25" i="32"/>
  <c r="AE34" i="32"/>
  <c r="AF35" i="32"/>
  <c r="AF42" i="32"/>
  <c r="AF49" i="32"/>
  <c r="AF56" i="32"/>
  <c r="AF63" i="32"/>
  <c r="AF71" i="32"/>
  <c r="N12" i="32"/>
  <c r="N19" i="32"/>
  <c r="N26" i="32"/>
  <c r="P29" i="32"/>
  <c r="N36" i="32"/>
  <c r="P37" i="32"/>
  <c r="N43" i="32"/>
  <c r="P44" i="32"/>
  <c r="P52" i="32"/>
  <c r="N57" i="32"/>
  <c r="P58" i="32"/>
  <c r="N64" i="32"/>
  <c r="M10" i="32"/>
  <c r="N11" i="32"/>
  <c r="N34" i="32"/>
  <c r="P51" i="32"/>
  <c r="N18" i="32"/>
  <c r="N25" i="32"/>
  <c r="N35" i="32"/>
  <c r="N42" i="32"/>
  <c r="N49" i="32"/>
  <c r="N56" i="32"/>
  <c r="N63" i="32"/>
  <c r="N71" i="32"/>
  <c r="E21" i="31"/>
  <c r="AE5" i="32"/>
  <c r="AE51" i="32"/>
  <c r="M60" i="32"/>
  <c r="AE12" i="32"/>
  <c r="AE19" i="32"/>
  <c r="AE26" i="32"/>
  <c r="AE36" i="32"/>
  <c r="AE43" i="32"/>
  <c r="AE57" i="32"/>
  <c r="AE64" i="32"/>
  <c r="AE11" i="32"/>
  <c r="P6" i="32" l="1"/>
  <c r="E14" i="33"/>
  <c r="E15" i="33" s="1"/>
  <c r="P65" i="32"/>
  <c r="P13" i="34"/>
  <c r="G8" i="37"/>
  <c r="E8" i="37"/>
  <c r="F8" i="37"/>
  <c r="G7" i="35"/>
  <c r="D15" i="35"/>
  <c r="F7" i="35"/>
  <c r="E7" i="35"/>
  <c r="I7" i="35"/>
  <c r="K15" i="35"/>
  <c r="I8" i="35" s="1"/>
  <c r="Q66" i="34"/>
  <c r="R61" i="34" s="1"/>
  <c r="P66" i="34"/>
  <c r="J14" i="33"/>
  <c r="J15" i="33" s="1"/>
  <c r="Q27" i="34"/>
  <c r="R21" i="34" s="1"/>
  <c r="P27" i="34"/>
  <c r="G14" i="33"/>
  <c r="G15" i="33" s="1"/>
  <c r="P60" i="34"/>
  <c r="I14" i="33"/>
  <c r="I15" i="33" s="1"/>
  <c r="Q60" i="34"/>
  <c r="R51" i="34" s="1"/>
  <c r="Q10" i="34"/>
  <c r="R5" i="34" s="1"/>
  <c r="P10" i="34"/>
  <c r="D2" i="34"/>
  <c r="D14" i="33"/>
  <c r="Q50" i="34"/>
  <c r="R40" i="34" s="1"/>
  <c r="P50" i="34"/>
  <c r="H14" i="33"/>
  <c r="H15" i="33" s="1"/>
  <c r="Q20" i="34"/>
  <c r="R14" i="34" s="1"/>
  <c r="P20" i="34"/>
  <c r="F14" i="33"/>
  <c r="F15" i="33" s="1"/>
  <c r="Q33" i="34"/>
  <c r="R28" i="34" s="1"/>
  <c r="P33" i="34"/>
  <c r="K14" i="33"/>
  <c r="Q72" i="34"/>
  <c r="R67" i="34" s="1"/>
  <c r="P72" i="34"/>
  <c r="M14" i="33"/>
  <c r="M15" i="33" s="1"/>
  <c r="Q56" i="32"/>
  <c r="P56" i="32"/>
  <c r="AF20" i="32"/>
  <c r="AG14" i="32" s="1"/>
  <c r="AE20" i="32"/>
  <c r="N20" i="32"/>
  <c r="Q49" i="32"/>
  <c r="P49" i="32"/>
  <c r="P39" i="32"/>
  <c r="L14" i="31"/>
  <c r="L15" i="31" s="1"/>
  <c r="Q39" i="32"/>
  <c r="R34" i="32" s="1"/>
  <c r="Q17" i="32"/>
  <c r="P17" i="32"/>
  <c r="Q57" i="32"/>
  <c r="P57" i="32"/>
  <c r="P53" i="32"/>
  <c r="Q53" i="32"/>
  <c r="Q55" i="32"/>
  <c r="P55" i="32"/>
  <c r="Q40" i="32"/>
  <c r="P40" i="32"/>
  <c r="Q25" i="32"/>
  <c r="P25" i="32"/>
  <c r="P15" i="32"/>
  <c r="Q15" i="32"/>
  <c r="AF27" i="32"/>
  <c r="AG21" i="32" s="1"/>
  <c r="AE27" i="32"/>
  <c r="N27" i="32"/>
  <c r="P47" i="32"/>
  <c r="Q47" i="32"/>
  <c r="P46" i="32"/>
  <c r="Q46" i="32"/>
  <c r="P23" i="32"/>
  <c r="Q23" i="32"/>
  <c r="Q70" i="32"/>
  <c r="P70" i="32"/>
  <c r="P45" i="32"/>
  <c r="Q45" i="32"/>
  <c r="P8" i="32"/>
  <c r="Q8" i="32"/>
  <c r="Q35" i="32"/>
  <c r="P35" i="32"/>
  <c r="Q43" i="32"/>
  <c r="P43" i="32"/>
  <c r="Q36" i="32"/>
  <c r="P36" i="32"/>
  <c r="N66" i="32"/>
  <c r="AF66" i="32"/>
  <c r="AG61" i="32" s="1"/>
  <c r="AE66" i="32"/>
  <c r="Q26" i="32"/>
  <c r="P26" i="32"/>
  <c r="Q28" i="32"/>
  <c r="P28" i="32"/>
  <c r="P54" i="32"/>
  <c r="Q54" i="32"/>
  <c r="Q62" i="32"/>
  <c r="P62" i="32"/>
  <c r="P7" i="32"/>
  <c r="Q7" i="32"/>
  <c r="Q9" i="32"/>
  <c r="P9" i="32"/>
  <c r="Q14" i="32"/>
  <c r="P14" i="32"/>
  <c r="Q24" i="32"/>
  <c r="P24" i="32"/>
  <c r="Q21" i="32"/>
  <c r="P21" i="32"/>
  <c r="N10" i="32"/>
  <c r="AF10" i="32"/>
  <c r="AG5" i="32" s="1"/>
  <c r="AE10" i="32"/>
  <c r="AF50" i="32"/>
  <c r="AG40" i="32" s="1"/>
  <c r="AE50" i="32"/>
  <c r="N50" i="32"/>
  <c r="Q67" i="32"/>
  <c r="P67" i="32"/>
  <c r="Q42" i="32"/>
  <c r="P42" i="32"/>
  <c r="P31" i="32"/>
  <c r="Q31" i="32"/>
  <c r="Q18" i="32"/>
  <c r="P18" i="32"/>
  <c r="P69" i="32"/>
  <c r="Q69" i="32"/>
  <c r="N60" i="32"/>
  <c r="AF60" i="32"/>
  <c r="AG51" i="32" s="1"/>
  <c r="AE60" i="32"/>
  <c r="Q61" i="32"/>
  <c r="P61" i="32"/>
  <c r="Q34" i="32"/>
  <c r="P34" i="32"/>
  <c r="P30" i="32"/>
  <c r="Q30" i="32"/>
  <c r="Q41" i="32"/>
  <c r="P41" i="32"/>
  <c r="Q11" i="32"/>
  <c r="P11" i="32"/>
  <c r="N33" i="32"/>
  <c r="AF33" i="32"/>
  <c r="AG28" i="32" s="1"/>
  <c r="AE33" i="32"/>
  <c r="Q12" i="32"/>
  <c r="P12" i="32"/>
  <c r="P68" i="32"/>
  <c r="Q68" i="32"/>
  <c r="P38" i="32"/>
  <c r="Q38" i="32"/>
  <c r="Q19" i="32"/>
  <c r="P19" i="32"/>
  <c r="AF13" i="32"/>
  <c r="AG11" i="32" s="1"/>
  <c r="AE13" i="32"/>
  <c r="N13" i="32"/>
  <c r="Q71" i="32"/>
  <c r="P71" i="32"/>
  <c r="AF72" i="32"/>
  <c r="AG67" i="32" s="1"/>
  <c r="AE72" i="32"/>
  <c r="N72" i="32"/>
  <c r="P16" i="32"/>
  <c r="Q16" i="32"/>
  <c r="Q63" i="32"/>
  <c r="P63" i="32"/>
  <c r="Q64" i="32"/>
  <c r="P64" i="32"/>
  <c r="P22" i="32"/>
  <c r="Q22" i="32"/>
  <c r="P59" i="32"/>
  <c r="Q59" i="32"/>
  <c r="Q48" i="32"/>
  <c r="P48" i="32"/>
  <c r="Q32" i="32"/>
  <c r="P32" i="32"/>
  <c r="G8" i="35" l="1"/>
  <c r="F8" i="35"/>
  <c r="E8" i="35"/>
  <c r="K15" i="33"/>
  <c r="I8" i="33" s="1"/>
  <c r="I7" i="33"/>
  <c r="D15" i="33"/>
  <c r="G7" i="33"/>
  <c r="F7" i="33"/>
  <c r="E7" i="33"/>
  <c r="Q50" i="32"/>
  <c r="R40" i="32" s="1"/>
  <c r="P50" i="32"/>
  <c r="H14" i="31"/>
  <c r="H15" i="31" s="1"/>
  <c r="Q33" i="32"/>
  <c r="R28" i="32" s="1"/>
  <c r="P33" i="32"/>
  <c r="K14" i="31"/>
  <c r="Q20" i="32"/>
  <c r="R14" i="32" s="1"/>
  <c r="P20" i="32"/>
  <c r="F14" i="31"/>
  <c r="F15" i="31" s="1"/>
  <c r="P60" i="32"/>
  <c r="Q60" i="32"/>
  <c r="R51" i="32" s="1"/>
  <c r="I14" i="31"/>
  <c r="I15" i="31" s="1"/>
  <c r="P66" i="32"/>
  <c r="J14" i="31"/>
  <c r="J15" i="31" s="1"/>
  <c r="Q66" i="32"/>
  <c r="R61" i="32" s="1"/>
  <c r="Q10" i="32"/>
  <c r="R5" i="32" s="1"/>
  <c r="P10" i="32"/>
  <c r="D2" i="32"/>
  <c r="D14" i="31"/>
  <c r="Q27" i="32"/>
  <c r="R21" i="32" s="1"/>
  <c r="P27" i="32"/>
  <c r="G14" i="31"/>
  <c r="G15" i="31" s="1"/>
  <c r="Q72" i="32"/>
  <c r="R67" i="32" s="1"/>
  <c r="P72" i="32"/>
  <c r="M14" i="31"/>
  <c r="M15" i="31" s="1"/>
  <c r="Q13" i="32"/>
  <c r="R11" i="32" s="1"/>
  <c r="P13" i="32"/>
  <c r="E14" i="31"/>
  <c r="E15" i="31" s="1"/>
  <c r="G8" i="33" l="1"/>
  <c r="F8" i="33"/>
  <c r="E8" i="33"/>
  <c r="D15" i="31"/>
  <c r="G7" i="31"/>
  <c r="F7" i="31"/>
  <c r="E7" i="31"/>
  <c r="I7" i="31"/>
  <c r="K15" i="31"/>
  <c r="I8" i="31" s="1"/>
  <c r="G8" i="31" l="1"/>
  <c r="F8" i="31"/>
  <c r="E8" i="31"/>
  <c r="AD72" i="28" l="1"/>
  <c r="Z72" i="28"/>
  <c r="Y72" i="28"/>
  <c r="O72" i="28"/>
  <c r="K72" i="28"/>
  <c r="M13" i="27" s="1"/>
  <c r="V71" i="28"/>
  <c r="M71" i="28" s="1"/>
  <c r="AF71" i="28" s="1"/>
  <c r="U71" i="28"/>
  <c r="O71" i="28"/>
  <c r="K71" i="28"/>
  <c r="G71" i="28"/>
  <c r="V70" i="28"/>
  <c r="M70" i="28" s="1"/>
  <c r="AF70" i="28" s="1"/>
  <c r="U70" i="28"/>
  <c r="O70" i="28"/>
  <c r="K70" i="28"/>
  <c r="G70" i="28"/>
  <c r="V69" i="28"/>
  <c r="M69" i="28" s="1"/>
  <c r="U69" i="28"/>
  <c r="O69" i="28"/>
  <c r="K69" i="28"/>
  <c r="G69" i="28"/>
  <c r="V68" i="28"/>
  <c r="M68" i="28" s="1"/>
  <c r="AE68" i="28" s="1"/>
  <c r="U68" i="28"/>
  <c r="O68" i="28"/>
  <c r="K68" i="28"/>
  <c r="G68" i="28"/>
  <c r="X67" i="28"/>
  <c r="W67" i="28"/>
  <c r="V67" i="28"/>
  <c r="M67" i="28" s="1"/>
  <c r="O67" i="28"/>
  <c r="K67" i="28"/>
  <c r="G67" i="28"/>
  <c r="AD66" i="28"/>
  <c r="J21" i="27" s="1"/>
  <c r="Z66" i="28"/>
  <c r="J19" i="27" s="1"/>
  <c r="Y66" i="28"/>
  <c r="O66" i="28"/>
  <c r="K66" i="28"/>
  <c r="J13" i="27" s="1"/>
  <c r="V65" i="28"/>
  <c r="M65" i="28" s="1"/>
  <c r="U65" i="28"/>
  <c r="O65" i="28"/>
  <c r="K65" i="28"/>
  <c r="G65" i="28"/>
  <c r="V64" i="28"/>
  <c r="U64" i="28"/>
  <c r="O64" i="28"/>
  <c r="M64" i="28"/>
  <c r="AF64" i="28" s="1"/>
  <c r="K64" i="28"/>
  <c r="G64" i="28"/>
  <c r="V63" i="28"/>
  <c r="U63" i="28"/>
  <c r="O63" i="28"/>
  <c r="M63" i="28"/>
  <c r="AF63" i="28" s="1"/>
  <c r="K63" i="28"/>
  <c r="G63" i="28"/>
  <c r="V62" i="28"/>
  <c r="M62" i="28" s="1"/>
  <c r="U62" i="28"/>
  <c r="O62" i="28"/>
  <c r="K62" i="28"/>
  <c r="G62" i="28"/>
  <c r="V61" i="28"/>
  <c r="M61" i="28" s="1"/>
  <c r="AF61" i="28" s="1"/>
  <c r="O61" i="28"/>
  <c r="K61" i="28"/>
  <c r="G61" i="28"/>
  <c r="AD60" i="28"/>
  <c r="I21" i="27" s="1"/>
  <c r="Z60" i="28"/>
  <c r="I19" i="27" s="1"/>
  <c r="Y60" i="28"/>
  <c r="O60" i="28"/>
  <c r="K60" i="28"/>
  <c r="V59" i="28"/>
  <c r="M59" i="28" s="1"/>
  <c r="AF59" i="28" s="1"/>
  <c r="U59" i="28"/>
  <c r="O59" i="28"/>
  <c r="K59" i="28"/>
  <c r="G59" i="28"/>
  <c r="V58" i="28"/>
  <c r="M58" i="28" s="1"/>
  <c r="U58" i="28"/>
  <c r="O58" i="28"/>
  <c r="K58" i="28"/>
  <c r="G58" i="28"/>
  <c r="V57" i="28"/>
  <c r="U57" i="28"/>
  <c r="O57" i="28"/>
  <c r="M57" i="28"/>
  <c r="AF57" i="28" s="1"/>
  <c r="K57" i="28"/>
  <c r="G57" i="28"/>
  <c r="V56" i="28"/>
  <c r="M56" i="28" s="1"/>
  <c r="U56" i="28"/>
  <c r="O56" i="28"/>
  <c r="K56" i="28"/>
  <c r="G56" i="28"/>
  <c r="V55" i="28"/>
  <c r="U55" i="28"/>
  <c r="O55" i="28"/>
  <c r="M55" i="28"/>
  <c r="AF55" i="28" s="1"/>
  <c r="K55" i="28"/>
  <c r="G55" i="28"/>
  <c r="V54" i="28"/>
  <c r="U54" i="28"/>
  <c r="O54" i="28"/>
  <c r="M54" i="28"/>
  <c r="AF54" i="28" s="1"/>
  <c r="K54" i="28"/>
  <c r="G54" i="28"/>
  <c r="V53" i="28"/>
  <c r="M53" i="28" s="1"/>
  <c r="U53" i="28"/>
  <c r="O53" i="28"/>
  <c r="K53" i="28"/>
  <c r="G53" i="28"/>
  <c r="V52" i="28"/>
  <c r="U52" i="28"/>
  <c r="O52" i="28"/>
  <c r="M52" i="28"/>
  <c r="AE52" i="28" s="1"/>
  <c r="K52" i="28"/>
  <c r="G52" i="28"/>
  <c r="V51" i="28"/>
  <c r="M51" i="28" s="1"/>
  <c r="O51" i="28"/>
  <c r="K51" i="28"/>
  <c r="G51" i="28"/>
  <c r="AD50" i="28"/>
  <c r="Z50" i="28"/>
  <c r="Y50" i="28"/>
  <c r="H18" i="27" s="1"/>
  <c r="O50" i="28"/>
  <c r="K50" i="28"/>
  <c r="H13" i="27" s="1"/>
  <c r="V49" i="28"/>
  <c r="U49" i="28"/>
  <c r="O49" i="28"/>
  <c r="M49" i="28"/>
  <c r="AF49" i="28" s="1"/>
  <c r="K49" i="28"/>
  <c r="G49" i="28"/>
  <c r="V48" i="28"/>
  <c r="M48" i="28" s="1"/>
  <c r="U48" i="28"/>
  <c r="O48" i="28"/>
  <c r="K48" i="28"/>
  <c r="G48" i="28"/>
  <c r="V47" i="28"/>
  <c r="M47" i="28" s="1"/>
  <c r="U47" i="28"/>
  <c r="O47" i="28"/>
  <c r="K47" i="28"/>
  <c r="G47" i="28"/>
  <c r="X46" i="28"/>
  <c r="W46" i="28"/>
  <c r="V46" i="28"/>
  <c r="M46" i="28" s="1"/>
  <c r="U46" i="28"/>
  <c r="O46" i="28"/>
  <c r="K46" i="28"/>
  <c r="G46" i="28"/>
  <c r="V45" i="28"/>
  <c r="U45" i="28"/>
  <c r="O45" i="28"/>
  <c r="M45" i="28"/>
  <c r="AE45" i="28" s="1"/>
  <c r="K45" i="28"/>
  <c r="G45" i="28"/>
  <c r="V44" i="28"/>
  <c r="M44" i="28" s="1"/>
  <c r="U44" i="28"/>
  <c r="O44" i="28"/>
  <c r="K44" i="28"/>
  <c r="G44" i="28"/>
  <c r="V43" i="28"/>
  <c r="U43" i="28"/>
  <c r="O43" i="28"/>
  <c r="M43" i="28"/>
  <c r="AF43" i="28" s="1"/>
  <c r="K43" i="28"/>
  <c r="G43" i="28"/>
  <c r="V42" i="28"/>
  <c r="M42" i="28" s="1"/>
  <c r="U42" i="28"/>
  <c r="O42" i="28"/>
  <c r="K42" i="28"/>
  <c r="G42" i="28"/>
  <c r="V41" i="28"/>
  <c r="M41" i="28" s="1"/>
  <c r="AE41" i="28" s="1"/>
  <c r="U41" i="28"/>
  <c r="O41" i="28"/>
  <c r="K41" i="28"/>
  <c r="G41" i="28"/>
  <c r="V40" i="28"/>
  <c r="O40" i="28"/>
  <c r="M40" i="28"/>
  <c r="AF40" i="28" s="1"/>
  <c r="K40" i="28"/>
  <c r="G40" i="28"/>
  <c r="AD39" i="28"/>
  <c r="L21" i="27" s="1"/>
  <c r="Z39" i="28"/>
  <c r="L19" i="27" s="1"/>
  <c r="Y39" i="28"/>
  <c r="O39" i="28"/>
  <c r="K39" i="28"/>
  <c r="V38" i="28"/>
  <c r="M38" i="28" s="1"/>
  <c r="AF38" i="28" s="1"/>
  <c r="U38" i="28"/>
  <c r="O38" i="28"/>
  <c r="K38" i="28"/>
  <c r="G38" i="28"/>
  <c r="V37" i="28"/>
  <c r="M37" i="28" s="1"/>
  <c r="U37" i="28"/>
  <c r="O37" i="28"/>
  <c r="K37" i="28"/>
  <c r="G37" i="28"/>
  <c r="V36" i="28"/>
  <c r="U36" i="28"/>
  <c r="O36" i="28"/>
  <c r="M36" i="28"/>
  <c r="AE36" i="28" s="1"/>
  <c r="K36" i="28"/>
  <c r="G36" i="28"/>
  <c r="V35" i="28"/>
  <c r="M35" i="28" s="1"/>
  <c r="U35" i="28"/>
  <c r="O35" i="28"/>
  <c r="K35" i="28"/>
  <c r="G35" i="28"/>
  <c r="X34" i="28"/>
  <c r="W34" i="28"/>
  <c r="V34" i="28"/>
  <c r="M34" i="28" s="1"/>
  <c r="O34" i="28"/>
  <c r="K34" i="28"/>
  <c r="G34" i="28"/>
  <c r="AD33" i="28"/>
  <c r="Z33" i="28"/>
  <c r="Y33" i="28"/>
  <c r="O33" i="28"/>
  <c r="K33" i="28"/>
  <c r="K13" i="27" s="1"/>
  <c r="V32" i="28"/>
  <c r="M32" i="28" s="1"/>
  <c r="AF32" i="28" s="1"/>
  <c r="U32" i="28"/>
  <c r="O32" i="28"/>
  <c r="K32" i="28"/>
  <c r="G32" i="28"/>
  <c r="V31" i="28"/>
  <c r="U31" i="28"/>
  <c r="O31" i="28"/>
  <c r="M31" i="28"/>
  <c r="AF31" i="28" s="1"/>
  <c r="K31" i="28"/>
  <c r="G31" i="28"/>
  <c r="V30" i="28"/>
  <c r="M30" i="28" s="1"/>
  <c r="U30" i="28"/>
  <c r="O30" i="28"/>
  <c r="K30" i="28"/>
  <c r="G30" i="28"/>
  <c r="V29" i="28"/>
  <c r="U29" i="28"/>
  <c r="O29" i="28"/>
  <c r="M29" i="28"/>
  <c r="AE29" i="28" s="1"/>
  <c r="K29" i="28"/>
  <c r="G29" i="28"/>
  <c r="X28" i="28"/>
  <c r="W28" i="28"/>
  <c r="V28" i="28"/>
  <c r="M28" i="28" s="1"/>
  <c r="O28" i="28"/>
  <c r="K28" i="28"/>
  <c r="G28" i="28"/>
  <c r="AD27" i="28"/>
  <c r="Z27" i="28"/>
  <c r="G19" i="27" s="1"/>
  <c r="Y27" i="28"/>
  <c r="G18" i="27" s="1"/>
  <c r="O27" i="28"/>
  <c r="K27" i="28"/>
  <c r="G13" i="27" s="1"/>
  <c r="V26" i="28"/>
  <c r="M26" i="28" s="1"/>
  <c r="U26" i="28"/>
  <c r="O26" i="28"/>
  <c r="K26" i="28"/>
  <c r="G26" i="28"/>
  <c r="V25" i="28"/>
  <c r="M25" i="28" s="1"/>
  <c r="N25" i="28" s="1"/>
  <c r="U25" i="28"/>
  <c r="O25" i="28"/>
  <c r="K25" i="28"/>
  <c r="G25" i="28"/>
  <c r="V24" i="28"/>
  <c r="U24" i="28"/>
  <c r="O24" i="28"/>
  <c r="M24" i="28"/>
  <c r="AF24" i="28" s="1"/>
  <c r="K24" i="28"/>
  <c r="G24" i="28"/>
  <c r="V23" i="28"/>
  <c r="M23" i="28" s="1"/>
  <c r="U23" i="28"/>
  <c r="O23" i="28"/>
  <c r="K23" i="28"/>
  <c r="G23" i="28"/>
  <c r="V22" i="28"/>
  <c r="U22" i="28"/>
  <c r="O22" i="28"/>
  <c r="M22" i="28"/>
  <c r="AE22" i="28" s="1"/>
  <c r="K22" i="28"/>
  <c r="G22" i="28"/>
  <c r="V21" i="28"/>
  <c r="M21" i="28" s="1"/>
  <c r="O21" i="28"/>
  <c r="K21" i="28"/>
  <c r="G21" i="28"/>
  <c r="AD20" i="28"/>
  <c r="Z20" i="28"/>
  <c r="Z2" i="28" s="1"/>
  <c r="L6" i="27" s="1"/>
  <c r="Y20" i="28"/>
  <c r="F18" i="27" s="1"/>
  <c r="O20" i="28"/>
  <c r="K20" i="28"/>
  <c r="F13" i="27" s="1"/>
  <c r="V19" i="28"/>
  <c r="U19" i="28"/>
  <c r="O19" i="28"/>
  <c r="M19" i="28"/>
  <c r="AE19" i="28" s="1"/>
  <c r="K19" i="28"/>
  <c r="G19" i="28"/>
  <c r="V18" i="28"/>
  <c r="U18" i="28"/>
  <c r="O18" i="28"/>
  <c r="M18" i="28"/>
  <c r="AF18" i="28" s="1"/>
  <c r="K18" i="28"/>
  <c r="G18" i="28"/>
  <c r="V17" i="28"/>
  <c r="M17" i="28" s="1"/>
  <c r="U17" i="28"/>
  <c r="O17" i="28"/>
  <c r="K17" i="28"/>
  <c r="G17" i="28"/>
  <c r="V16" i="28"/>
  <c r="U16" i="28"/>
  <c r="O16" i="28"/>
  <c r="M16" i="28"/>
  <c r="AE16" i="28" s="1"/>
  <c r="K16" i="28"/>
  <c r="G16" i="28"/>
  <c r="V15" i="28"/>
  <c r="M15" i="28" s="1"/>
  <c r="AF15" i="28" s="1"/>
  <c r="U15" i="28"/>
  <c r="O15" i="28"/>
  <c r="K15" i="28"/>
  <c r="G15" i="28"/>
  <c r="V14" i="28"/>
  <c r="M14" i="28" s="1"/>
  <c r="O14" i="28"/>
  <c r="K14" i="28"/>
  <c r="G14" i="28"/>
  <c r="AD13" i="28"/>
  <c r="Z13" i="28"/>
  <c r="Y13" i="28"/>
  <c r="E18" i="27" s="1"/>
  <c r="O13" i="28"/>
  <c r="K13" i="28"/>
  <c r="E13" i="27" s="1"/>
  <c r="V12" i="28"/>
  <c r="M12" i="28" s="1"/>
  <c r="U12" i="28"/>
  <c r="O12" i="28"/>
  <c r="K12" i="28"/>
  <c r="G12" i="28"/>
  <c r="V11" i="28"/>
  <c r="O11" i="28"/>
  <c r="M11" i="28"/>
  <c r="AE11" i="28" s="1"/>
  <c r="K11" i="28"/>
  <c r="G11" i="28"/>
  <c r="AD10" i="28"/>
  <c r="D21" i="27" s="1"/>
  <c r="Z10" i="28"/>
  <c r="Y10" i="28"/>
  <c r="D18" i="27" s="1"/>
  <c r="O10" i="28"/>
  <c r="K10" i="28"/>
  <c r="D13" i="27" s="1"/>
  <c r="V9" i="28"/>
  <c r="U9" i="28"/>
  <c r="O9" i="28"/>
  <c r="M9" i="28"/>
  <c r="AF9" i="28" s="1"/>
  <c r="K9" i="28"/>
  <c r="G9" i="28"/>
  <c r="V8" i="28"/>
  <c r="M8" i="28" s="1"/>
  <c r="AF8" i="28" s="1"/>
  <c r="U8" i="28"/>
  <c r="O8" i="28"/>
  <c r="K8" i="28"/>
  <c r="G8" i="28"/>
  <c r="V7" i="28"/>
  <c r="M7" i="28" s="1"/>
  <c r="U7" i="28"/>
  <c r="O7" i="28"/>
  <c r="N7" i="28"/>
  <c r="K7" i="28"/>
  <c r="G7" i="28"/>
  <c r="V6" i="28"/>
  <c r="M6" i="28" s="1"/>
  <c r="N6" i="28" s="1"/>
  <c r="U6" i="28"/>
  <c r="O6" i="28"/>
  <c r="K6" i="28"/>
  <c r="G6" i="28"/>
  <c r="V5" i="28"/>
  <c r="M5" i="28" s="1"/>
  <c r="O5" i="28"/>
  <c r="K5" i="28"/>
  <c r="G5" i="28"/>
  <c r="H2" i="28"/>
  <c r="H1" i="28"/>
  <c r="D1" i="28"/>
  <c r="F3" i="27" s="1"/>
  <c r="M22" i="27"/>
  <c r="L22" i="27"/>
  <c r="K22" i="27"/>
  <c r="J22" i="27"/>
  <c r="I22" i="27"/>
  <c r="H22" i="27"/>
  <c r="G22" i="27"/>
  <c r="F22" i="27"/>
  <c r="E22" i="27"/>
  <c r="D22" i="27"/>
  <c r="M21" i="27"/>
  <c r="K21" i="27"/>
  <c r="H21" i="27"/>
  <c r="G21" i="27"/>
  <c r="F21" i="27"/>
  <c r="E21" i="27"/>
  <c r="M20" i="27"/>
  <c r="L20" i="27"/>
  <c r="K20" i="27"/>
  <c r="J20" i="27"/>
  <c r="I20" i="27"/>
  <c r="H20" i="27"/>
  <c r="G20" i="27"/>
  <c r="F20" i="27"/>
  <c r="E20" i="27"/>
  <c r="D20" i="27"/>
  <c r="M19" i="27"/>
  <c r="K19" i="27"/>
  <c r="H19" i="27"/>
  <c r="F19" i="27"/>
  <c r="E19" i="27"/>
  <c r="D19" i="27"/>
  <c r="M18" i="27"/>
  <c r="L18" i="27"/>
  <c r="K18" i="27"/>
  <c r="J18" i="27"/>
  <c r="I18" i="27"/>
  <c r="M17" i="27"/>
  <c r="L17" i="27"/>
  <c r="K17" i="27"/>
  <c r="J17" i="27"/>
  <c r="I17" i="27"/>
  <c r="H17" i="27"/>
  <c r="G17" i="27"/>
  <c r="F17" i="27"/>
  <c r="E17" i="27"/>
  <c r="D17" i="27"/>
  <c r="M16" i="27"/>
  <c r="L16" i="27"/>
  <c r="K16" i="27"/>
  <c r="J16" i="27"/>
  <c r="I16" i="27"/>
  <c r="H16" i="27"/>
  <c r="G16" i="27"/>
  <c r="F16" i="27"/>
  <c r="E16" i="27"/>
  <c r="D16" i="27"/>
  <c r="L13" i="27"/>
  <c r="I13" i="27"/>
  <c r="M6" i="27"/>
  <c r="C3" i="27"/>
  <c r="N26" i="28" l="1"/>
  <c r="AF26" i="28"/>
  <c r="AE26" i="28"/>
  <c r="AF65" i="28"/>
  <c r="AE65" i="28"/>
  <c r="N65" i="28"/>
  <c r="AF28" i="28"/>
  <c r="AE28" i="28"/>
  <c r="N28" i="28"/>
  <c r="Q28" i="28" s="1"/>
  <c r="N17" i="28"/>
  <c r="AF17" i="28"/>
  <c r="AE17" i="28"/>
  <c r="AF58" i="28"/>
  <c r="AE58" i="28"/>
  <c r="N58" i="28"/>
  <c r="Q58" i="28" s="1"/>
  <c r="AF47" i="28"/>
  <c r="AE47" i="28"/>
  <c r="N47" i="28"/>
  <c r="AF67" i="28"/>
  <c r="AE67" i="28"/>
  <c r="N67" i="28"/>
  <c r="Q67" i="28" s="1"/>
  <c r="AF48" i="28"/>
  <c r="N48" i="28"/>
  <c r="Q48" i="28" s="1"/>
  <c r="AF56" i="28"/>
  <c r="AE56" i="28"/>
  <c r="N56" i="28"/>
  <c r="M39" i="28"/>
  <c r="AF39" i="28" s="1"/>
  <c r="AG34" i="28" s="1"/>
  <c r="N34" i="28"/>
  <c r="Q34" i="28" s="1"/>
  <c r="AF19" i="28"/>
  <c r="N57" i="28"/>
  <c r="Q57" i="28" s="1"/>
  <c r="I6" i="27"/>
  <c r="F1" i="28"/>
  <c r="AD2" i="28"/>
  <c r="N6" i="27" s="1"/>
  <c r="N40" i="28"/>
  <c r="N18" i="28"/>
  <c r="Q18" i="28" s="1"/>
  <c r="N49" i="28"/>
  <c r="Q49" i="28" s="1"/>
  <c r="AE40" i="28"/>
  <c r="AE49" i="28"/>
  <c r="N19" i="28"/>
  <c r="Q19" i="28" s="1"/>
  <c r="P17" i="28"/>
  <c r="Q7" i="28"/>
  <c r="P7" i="28"/>
  <c r="N14" i="28"/>
  <c r="M20" i="28"/>
  <c r="AF14" i="28"/>
  <c r="AE14" i="28"/>
  <c r="N69" i="28"/>
  <c r="AF69" i="28"/>
  <c r="AE69" i="28"/>
  <c r="N23" i="28"/>
  <c r="AF23" i="28"/>
  <c r="AE23" i="28"/>
  <c r="AF7" i="28"/>
  <c r="AE7" i="28"/>
  <c r="N21" i="28"/>
  <c r="AF21" i="28"/>
  <c r="M27" i="28"/>
  <c r="AE21" i="28"/>
  <c r="Q6" i="28"/>
  <c r="P6" i="28"/>
  <c r="N42" i="28"/>
  <c r="AE42" i="28"/>
  <c r="AF42" i="28"/>
  <c r="M60" i="28"/>
  <c r="N51" i="28"/>
  <c r="AF51" i="28"/>
  <c r="AE51" i="28"/>
  <c r="N46" i="28"/>
  <c r="AF46" i="28"/>
  <c r="AE46" i="28"/>
  <c r="F2" i="28"/>
  <c r="I3" i="27"/>
  <c r="Q25" i="28"/>
  <c r="P25" i="28"/>
  <c r="N30" i="28"/>
  <c r="AF30" i="28"/>
  <c r="AE30" i="28"/>
  <c r="N44" i="28"/>
  <c r="AE44" i="28"/>
  <c r="AF44" i="28"/>
  <c r="N53" i="28"/>
  <c r="AF53" i="28"/>
  <c r="AE53" i="28"/>
  <c r="N62" i="28"/>
  <c r="AF62" i="28"/>
  <c r="M66" i="28"/>
  <c r="AE62" i="28"/>
  <c r="N5" i="28"/>
  <c r="AE5" i="28"/>
  <c r="M10" i="28"/>
  <c r="AF5" i="28"/>
  <c r="N12" i="28"/>
  <c r="AF12" i="28"/>
  <c r="AE12" i="28"/>
  <c r="F6" i="27"/>
  <c r="N39" i="28"/>
  <c r="N37" i="28"/>
  <c r="AF37" i="28"/>
  <c r="AE37" i="28"/>
  <c r="N35" i="28"/>
  <c r="AF35" i="28"/>
  <c r="AE35" i="28"/>
  <c r="N16" i="28"/>
  <c r="N64" i="28"/>
  <c r="N71" i="28"/>
  <c r="N9" i="28"/>
  <c r="N41" i="28"/>
  <c r="M13" i="28"/>
  <c r="P18" i="28"/>
  <c r="P34" i="28"/>
  <c r="P48" i="28"/>
  <c r="P57" i="28"/>
  <c r="N59" i="28"/>
  <c r="AE25" i="28"/>
  <c r="AE32" i="28"/>
  <c r="AE55" i="28"/>
  <c r="N61" i="28"/>
  <c r="AE64" i="28"/>
  <c r="AE71" i="28"/>
  <c r="AF16" i="28"/>
  <c r="AF25" i="28"/>
  <c r="N45" i="28"/>
  <c r="N52" i="28"/>
  <c r="N68" i="28"/>
  <c r="Y2" i="28"/>
  <c r="K6" i="27" s="1"/>
  <c r="N8" i="28"/>
  <c r="AF11" i="28"/>
  <c r="AE34" i="28"/>
  <c r="AF41" i="28"/>
  <c r="AE59" i="28"/>
  <c r="AF34" i="28"/>
  <c r="AE43" i="28"/>
  <c r="E6" i="27"/>
  <c r="N32" i="28"/>
  <c r="N55" i="28"/>
  <c r="M50" i="28"/>
  <c r="N11" i="28"/>
  <c r="N43" i="28"/>
  <c r="AE9" i="28"/>
  <c r="N22" i="28"/>
  <c r="N29" i="28"/>
  <c r="N36" i="28"/>
  <c r="AE18" i="28"/>
  <c r="AE48" i="28"/>
  <c r="AE57" i="28"/>
  <c r="N15" i="28"/>
  <c r="N24" i="28"/>
  <c r="N31" i="28"/>
  <c r="M33" i="28"/>
  <c r="N38" i="28"/>
  <c r="N54" i="28"/>
  <c r="N63" i="28"/>
  <c r="N70" i="28"/>
  <c r="M72" i="28"/>
  <c r="G6" i="27"/>
  <c r="AE61" i="28"/>
  <c r="AE6" i="28"/>
  <c r="Q17" i="28"/>
  <c r="AF22" i="28"/>
  <c r="AF29" i="28"/>
  <c r="AF36" i="28"/>
  <c r="AF45" i="28"/>
  <c r="AF52" i="28"/>
  <c r="AF68" i="28"/>
  <c r="AF6" i="28"/>
  <c r="AE15" i="28"/>
  <c r="AE24" i="28"/>
  <c r="P28" i="28"/>
  <c r="AE31" i="28"/>
  <c r="AE38" i="28"/>
  <c r="AE54" i="28"/>
  <c r="P58" i="28"/>
  <c r="AE63" i="28"/>
  <c r="P67" i="28"/>
  <c r="AE70" i="28"/>
  <c r="AE8" i="28"/>
  <c r="AD72" i="26"/>
  <c r="Z72" i="26"/>
  <c r="Y72" i="26"/>
  <c r="O72" i="26"/>
  <c r="K72" i="26"/>
  <c r="V71" i="26"/>
  <c r="U71" i="26"/>
  <c r="O71" i="26"/>
  <c r="M71" i="26"/>
  <c r="AE71" i="26" s="1"/>
  <c r="K71" i="26"/>
  <c r="V70" i="26"/>
  <c r="M70" i="26" s="1"/>
  <c r="U70" i="26"/>
  <c r="O70" i="26"/>
  <c r="K70" i="26"/>
  <c r="V69" i="26"/>
  <c r="M69" i="26" s="1"/>
  <c r="U69" i="26"/>
  <c r="O69" i="26"/>
  <c r="K69" i="26"/>
  <c r="V68" i="26"/>
  <c r="M68" i="26" s="1"/>
  <c r="U68" i="26"/>
  <c r="O68" i="26"/>
  <c r="K68" i="26"/>
  <c r="X67" i="26"/>
  <c r="W67" i="26"/>
  <c r="V67" i="26"/>
  <c r="M67" i="26" s="1"/>
  <c r="O67" i="26"/>
  <c r="K67" i="26"/>
  <c r="AD66" i="26"/>
  <c r="Z66" i="26"/>
  <c r="J19" i="25" s="1"/>
  <c r="Y66" i="26"/>
  <c r="J18" i="25" s="1"/>
  <c r="O66" i="26"/>
  <c r="K66" i="26"/>
  <c r="V65" i="26"/>
  <c r="M65" i="26" s="1"/>
  <c r="U65" i="26"/>
  <c r="O65" i="26"/>
  <c r="K65" i="26"/>
  <c r="V64" i="26"/>
  <c r="M64" i="26" s="1"/>
  <c r="U64" i="26"/>
  <c r="O64" i="26"/>
  <c r="K64" i="26"/>
  <c r="V63" i="26"/>
  <c r="M63" i="26" s="1"/>
  <c r="AE63" i="26" s="1"/>
  <c r="U63" i="26"/>
  <c r="O63" i="26"/>
  <c r="K63" i="26"/>
  <c r="V62" i="26"/>
  <c r="U62" i="26"/>
  <c r="O62" i="26"/>
  <c r="M62" i="26"/>
  <c r="AF62" i="26" s="1"/>
  <c r="K62" i="26"/>
  <c r="V61" i="26"/>
  <c r="M61" i="26" s="1"/>
  <c r="O61" i="26"/>
  <c r="K61" i="26"/>
  <c r="AD60" i="26"/>
  <c r="I21" i="25" s="1"/>
  <c r="Z60" i="26"/>
  <c r="Y60" i="26"/>
  <c r="O60" i="26"/>
  <c r="K60" i="26"/>
  <c r="V59" i="26"/>
  <c r="M59" i="26" s="1"/>
  <c r="U59" i="26"/>
  <c r="O59" i="26"/>
  <c r="K59" i="26"/>
  <c r="V58" i="26"/>
  <c r="M58" i="26" s="1"/>
  <c r="U58" i="26"/>
  <c r="O58" i="26"/>
  <c r="K58" i="26"/>
  <c r="V57" i="26"/>
  <c r="M57" i="26" s="1"/>
  <c r="U57" i="26"/>
  <c r="O57" i="26"/>
  <c r="K57" i="26"/>
  <c r="V56" i="26"/>
  <c r="U56" i="26"/>
  <c r="O56" i="26"/>
  <c r="M56" i="26"/>
  <c r="AE56" i="26" s="1"/>
  <c r="K56" i="26"/>
  <c r="V55" i="26"/>
  <c r="M55" i="26" s="1"/>
  <c r="U55" i="26"/>
  <c r="O55" i="26"/>
  <c r="K55" i="26"/>
  <c r="V54" i="26"/>
  <c r="M54" i="26" s="1"/>
  <c r="U54" i="26"/>
  <c r="O54" i="26"/>
  <c r="K54" i="26"/>
  <c r="V53" i="26"/>
  <c r="M53" i="26" s="1"/>
  <c r="U53" i="26"/>
  <c r="O53" i="26"/>
  <c r="K53" i="26"/>
  <c r="V52" i="26"/>
  <c r="M52" i="26" s="1"/>
  <c r="U52" i="26"/>
  <c r="O52" i="26"/>
  <c r="K52" i="26"/>
  <c r="V51" i="26"/>
  <c r="M51" i="26" s="1"/>
  <c r="O51" i="26"/>
  <c r="K51" i="26"/>
  <c r="AD50" i="26"/>
  <c r="Z50" i="26"/>
  <c r="Y50" i="26"/>
  <c r="O50" i="26"/>
  <c r="K50" i="26"/>
  <c r="V49" i="26"/>
  <c r="U49" i="26"/>
  <c r="O49" i="26"/>
  <c r="M49" i="26"/>
  <c r="AE49" i="26" s="1"/>
  <c r="K49" i="26"/>
  <c r="V48" i="26"/>
  <c r="M48" i="26" s="1"/>
  <c r="U48" i="26"/>
  <c r="O48" i="26"/>
  <c r="K48" i="26"/>
  <c r="V47" i="26"/>
  <c r="U47" i="26"/>
  <c r="O47" i="26"/>
  <c r="M47" i="26"/>
  <c r="N47" i="26" s="1"/>
  <c r="K47" i="26"/>
  <c r="X46" i="26"/>
  <c r="W46" i="26"/>
  <c r="V46" i="26"/>
  <c r="M46" i="26" s="1"/>
  <c r="N46" i="26" s="1"/>
  <c r="U46" i="26"/>
  <c r="O46" i="26"/>
  <c r="K46" i="26"/>
  <c r="V45" i="26"/>
  <c r="M45" i="26" s="1"/>
  <c r="U45" i="26"/>
  <c r="O45" i="26"/>
  <c r="K45" i="26"/>
  <c r="V44" i="26"/>
  <c r="M44" i="26" s="1"/>
  <c r="U44" i="26"/>
  <c r="O44" i="26"/>
  <c r="K44" i="26"/>
  <c r="V43" i="26"/>
  <c r="M43" i="26" s="1"/>
  <c r="U43" i="26"/>
  <c r="O43" i="26"/>
  <c r="K43" i="26"/>
  <c r="V42" i="26"/>
  <c r="M42" i="26" s="1"/>
  <c r="AE42" i="26" s="1"/>
  <c r="U42" i="26"/>
  <c r="O42" i="26"/>
  <c r="K42" i="26"/>
  <c r="V41" i="26"/>
  <c r="U41" i="26"/>
  <c r="O41" i="26"/>
  <c r="M41" i="26"/>
  <c r="AF41" i="26" s="1"/>
  <c r="K41" i="26"/>
  <c r="V40" i="26"/>
  <c r="M40" i="26" s="1"/>
  <c r="O40" i="26"/>
  <c r="K40" i="26"/>
  <c r="AD39" i="26"/>
  <c r="Z39" i="26"/>
  <c r="Y39" i="26"/>
  <c r="O39" i="26"/>
  <c r="K39" i="26"/>
  <c r="V38" i="26"/>
  <c r="M38" i="26" s="1"/>
  <c r="U38" i="26"/>
  <c r="O38" i="26"/>
  <c r="K38" i="26"/>
  <c r="V37" i="26"/>
  <c r="M37" i="26" s="1"/>
  <c r="U37" i="26"/>
  <c r="O37" i="26"/>
  <c r="K37" i="26"/>
  <c r="V36" i="26"/>
  <c r="M36" i="26" s="1"/>
  <c r="U36" i="26"/>
  <c r="O36" i="26"/>
  <c r="K36" i="26"/>
  <c r="V35" i="26"/>
  <c r="U35" i="26"/>
  <c r="O35" i="26"/>
  <c r="M35" i="26"/>
  <c r="AE35" i="26" s="1"/>
  <c r="K35" i="26"/>
  <c r="X34" i="26"/>
  <c r="W34" i="26"/>
  <c r="V34" i="26"/>
  <c r="M34" i="26" s="1"/>
  <c r="O34" i="26"/>
  <c r="K34" i="26"/>
  <c r="AD33" i="26"/>
  <c r="K21" i="25" s="1"/>
  <c r="Z33" i="26"/>
  <c r="Y33" i="26"/>
  <c r="O33" i="26"/>
  <c r="K33" i="26"/>
  <c r="K13" i="25" s="1"/>
  <c r="V32" i="26"/>
  <c r="M32" i="26" s="1"/>
  <c r="U32" i="26"/>
  <c r="O32" i="26"/>
  <c r="K32" i="26"/>
  <c r="V31" i="26"/>
  <c r="M31" i="26" s="1"/>
  <c r="U31" i="26"/>
  <c r="O31" i="26"/>
  <c r="K31" i="26"/>
  <c r="V30" i="26"/>
  <c r="M30" i="26" s="1"/>
  <c r="U30" i="26"/>
  <c r="O30" i="26"/>
  <c r="K30" i="26"/>
  <c r="V29" i="26"/>
  <c r="M29" i="26" s="1"/>
  <c r="U29" i="26"/>
  <c r="O29" i="26"/>
  <c r="K29" i="26"/>
  <c r="X28" i="26"/>
  <c r="W28" i="26"/>
  <c r="V28" i="26"/>
  <c r="M28" i="26" s="1"/>
  <c r="O28" i="26"/>
  <c r="K28" i="26"/>
  <c r="AD27" i="26"/>
  <c r="Z27" i="26"/>
  <c r="Y27" i="26"/>
  <c r="O27" i="26"/>
  <c r="K27" i="26"/>
  <c r="V26" i="26"/>
  <c r="M26" i="26" s="1"/>
  <c r="U26" i="26"/>
  <c r="O26" i="26"/>
  <c r="K26" i="26"/>
  <c r="V25" i="26"/>
  <c r="U25" i="26"/>
  <c r="O25" i="26"/>
  <c r="M25" i="26"/>
  <c r="AE25" i="26" s="1"/>
  <c r="K25" i="26"/>
  <c r="V24" i="26"/>
  <c r="M24" i="26" s="1"/>
  <c r="U24" i="26"/>
  <c r="O24" i="26"/>
  <c r="K24" i="26"/>
  <c r="AF23" i="26"/>
  <c r="V23" i="26"/>
  <c r="U23" i="26"/>
  <c r="O23" i="26"/>
  <c r="M23" i="26"/>
  <c r="N23" i="26" s="1"/>
  <c r="K23" i="26"/>
  <c r="V22" i="26"/>
  <c r="M22" i="26" s="1"/>
  <c r="U22" i="26"/>
  <c r="O22" i="26"/>
  <c r="K22" i="26"/>
  <c r="V21" i="26"/>
  <c r="M21" i="26" s="1"/>
  <c r="O21" i="26"/>
  <c r="K21" i="26"/>
  <c r="AD20" i="26"/>
  <c r="Z20" i="26"/>
  <c r="Y20" i="26"/>
  <c r="O20" i="26"/>
  <c r="K20" i="26"/>
  <c r="V19" i="26"/>
  <c r="M19" i="26" s="1"/>
  <c r="U19" i="26"/>
  <c r="O19" i="26"/>
  <c r="K19" i="26"/>
  <c r="V18" i="26"/>
  <c r="M18" i="26" s="1"/>
  <c r="AE18" i="26" s="1"/>
  <c r="U18" i="26"/>
  <c r="O18" i="26"/>
  <c r="K18" i="26"/>
  <c r="V17" i="26"/>
  <c r="M17" i="26" s="1"/>
  <c r="U17" i="26"/>
  <c r="O17" i="26"/>
  <c r="K17" i="26"/>
  <c r="AE16" i="26"/>
  <c r="V16" i="26"/>
  <c r="U16" i="26"/>
  <c r="O16" i="26"/>
  <c r="M16" i="26"/>
  <c r="N16" i="26" s="1"/>
  <c r="K16" i="26"/>
  <c r="V15" i="26"/>
  <c r="M15" i="26" s="1"/>
  <c r="U15" i="26"/>
  <c r="O15" i="26"/>
  <c r="K15" i="26"/>
  <c r="V14" i="26"/>
  <c r="M14" i="26" s="1"/>
  <c r="O14" i="26"/>
  <c r="K14" i="26"/>
  <c r="AD13" i="26"/>
  <c r="Z13" i="26"/>
  <c r="Y13" i="26"/>
  <c r="Y2" i="26" s="1"/>
  <c r="K6" i="25" s="1"/>
  <c r="O13" i="26"/>
  <c r="K13" i="26"/>
  <c r="V12" i="26"/>
  <c r="M12" i="26" s="1"/>
  <c r="U12" i="26"/>
  <c r="O12" i="26"/>
  <c r="K12" i="26"/>
  <c r="V11" i="26"/>
  <c r="M11" i="26" s="1"/>
  <c r="AF11" i="26" s="1"/>
  <c r="O11" i="26"/>
  <c r="K11" i="26"/>
  <c r="AD10" i="26"/>
  <c r="Z10" i="26"/>
  <c r="Y10" i="26"/>
  <c r="O10" i="26"/>
  <c r="K10" i="26"/>
  <c r="D13" i="25" s="1"/>
  <c r="V9" i="26"/>
  <c r="M9" i="26" s="1"/>
  <c r="U9" i="26"/>
  <c r="O9" i="26"/>
  <c r="K9" i="26"/>
  <c r="V8" i="26"/>
  <c r="U8" i="26"/>
  <c r="O8" i="26"/>
  <c r="M8" i="26"/>
  <c r="N8" i="26" s="1"/>
  <c r="K8" i="26"/>
  <c r="V7" i="26"/>
  <c r="M7" i="26" s="1"/>
  <c r="U7" i="26"/>
  <c r="O7" i="26"/>
  <c r="K7" i="26"/>
  <c r="V6" i="26"/>
  <c r="M6" i="26" s="1"/>
  <c r="U6" i="26"/>
  <c r="O6" i="26"/>
  <c r="K6" i="26"/>
  <c r="AE5" i="26"/>
  <c r="V5" i="26"/>
  <c r="O5" i="26"/>
  <c r="M5" i="26"/>
  <c r="AF5" i="26" s="1"/>
  <c r="K5" i="26"/>
  <c r="H2" i="26"/>
  <c r="H1" i="26"/>
  <c r="F1" i="26"/>
  <c r="D1" i="26"/>
  <c r="F3" i="25" s="1"/>
  <c r="M22" i="25"/>
  <c r="L22" i="25"/>
  <c r="K22" i="25"/>
  <c r="J22" i="25"/>
  <c r="I22" i="25"/>
  <c r="H22" i="25"/>
  <c r="G22" i="25"/>
  <c r="F22" i="25"/>
  <c r="E22" i="25"/>
  <c r="D22" i="25"/>
  <c r="M21" i="25"/>
  <c r="L21" i="25"/>
  <c r="J21" i="25"/>
  <c r="H21" i="25"/>
  <c r="G21" i="25"/>
  <c r="F21" i="25"/>
  <c r="E21" i="25"/>
  <c r="D21" i="25"/>
  <c r="M20" i="25"/>
  <c r="L20" i="25"/>
  <c r="K20" i="25"/>
  <c r="J20" i="25"/>
  <c r="I20" i="25"/>
  <c r="H20" i="25"/>
  <c r="G20" i="25"/>
  <c r="F20" i="25"/>
  <c r="E20" i="25"/>
  <c r="D20" i="25"/>
  <c r="M19" i="25"/>
  <c r="L19" i="25"/>
  <c r="K19" i="25"/>
  <c r="I19" i="25"/>
  <c r="H19" i="25"/>
  <c r="G19" i="25"/>
  <c r="F19" i="25"/>
  <c r="E19" i="25"/>
  <c r="D19" i="25"/>
  <c r="M18" i="25"/>
  <c r="L18" i="25"/>
  <c r="K18" i="25"/>
  <c r="I18" i="25"/>
  <c r="H18" i="25"/>
  <c r="G18" i="25"/>
  <c r="F18" i="25"/>
  <c r="E18" i="25"/>
  <c r="D18" i="25"/>
  <c r="M17" i="25"/>
  <c r="L17" i="25"/>
  <c r="K17" i="25"/>
  <c r="J17" i="25"/>
  <c r="I17" i="25"/>
  <c r="H17" i="25"/>
  <c r="G17" i="25"/>
  <c r="F17" i="25"/>
  <c r="E17" i="25"/>
  <c r="D17" i="25"/>
  <c r="M16" i="25"/>
  <c r="L16" i="25"/>
  <c r="K16" i="25"/>
  <c r="J16" i="25"/>
  <c r="I16" i="25"/>
  <c r="H16" i="25"/>
  <c r="G16" i="25"/>
  <c r="F16" i="25"/>
  <c r="E16" i="25"/>
  <c r="D16" i="25"/>
  <c r="M13" i="25"/>
  <c r="L13" i="25"/>
  <c r="J13" i="25"/>
  <c r="I13" i="25"/>
  <c r="H13" i="25"/>
  <c r="G13" i="25"/>
  <c r="F13" i="25"/>
  <c r="E13" i="25"/>
  <c r="M6" i="25"/>
  <c r="I3" i="25"/>
  <c r="C3" i="25"/>
  <c r="AF70" i="26" l="1"/>
  <c r="AE70" i="26"/>
  <c r="N70" i="26"/>
  <c r="Q70" i="26" s="1"/>
  <c r="AF48" i="26"/>
  <c r="AE48" i="26"/>
  <c r="N48" i="26"/>
  <c r="Q48" i="26" s="1"/>
  <c r="N31" i="26"/>
  <c r="AF31" i="26"/>
  <c r="AE31" i="26"/>
  <c r="N54" i="26"/>
  <c r="AF54" i="26"/>
  <c r="AE54" i="26"/>
  <c r="AF55" i="26"/>
  <c r="AE55" i="26"/>
  <c r="N55" i="26"/>
  <c r="Q55" i="26" s="1"/>
  <c r="N69" i="26"/>
  <c r="AF69" i="26"/>
  <c r="AE69" i="26"/>
  <c r="AF51" i="26"/>
  <c r="AE51" i="26"/>
  <c r="AF6" i="26"/>
  <c r="AE6" i="26"/>
  <c r="N6" i="26"/>
  <c r="AE8" i="26"/>
  <c r="N62" i="26"/>
  <c r="Q62" i="26" s="1"/>
  <c r="AE39" i="28"/>
  <c r="Q47" i="28"/>
  <c r="P47" i="28"/>
  <c r="AF8" i="26"/>
  <c r="Z2" i="26"/>
  <c r="L6" i="25" s="1"/>
  <c r="AD2" i="26"/>
  <c r="N6" i="25" s="1"/>
  <c r="AE62" i="26"/>
  <c r="P49" i="28"/>
  <c r="Q40" i="28"/>
  <c r="P40" i="28"/>
  <c r="AE47" i="26"/>
  <c r="AF47" i="26"/>
  <c r="AE23" i="26"/>
  <c r="P19" i="28"/>
  <c r="N41" i="26"/>
  <c r="Q41" i="26" s="1"/>
  <c r="I6" i="25"/>
  <c r="Q56" i="28"/>
  <c r="P56" i="28"/>
  <c r="Q65" i="28"/>
  <c r="P65" i="28"/>
  <c r="F2" i="26"/>
  <c r="AE41" i="26"/>
  <c r="AF16" i="26"/>
  <c r="Q26" i="28"/>
  <c r="P26" i="28"/>
  <c r="Q11" i="28"/>
  <c r="P11" i="28"/>
  <c r="P37" i="28"/>
  <c r="Q37" i="28"/>
  <c r="Q39" i="28"/>
  <c r="R34" i="28" s="1"/>
  <c r="L14" i="27"/>
  <c r="L15" i="27" s="1"/>
  <c r="P39" i="28"/>
  <c r="Q70" i="28"/>
  <c r="P70" i="28"/>
  <c r="Q59" i="28"/>
  <c r="P59" i="28"/>
  <c r="P30" i="28"/>
  <c r="Q30" i="28"/>
  <c r="Q43" i="28"/>
  <c r="P43" i="28"/>
  <c r="P61" i="28"/>
  <c r="Q61" i="28"/>
  <c r="N50" i="28"/>
  <c r="AF50" i="28"/>
  <c r="AG40" i="28" s="1"/>
  <c r="AE50" i="28"/>
  <c r="P44" i="28"/>
  <c r="Q44" i="28"/>
  <c r="Q55" i="28"/>
  <c r="P55" i="28"/>
  <c r="AE27" i="28"/>
  <c r="AF27" i="28"/>
  <c r="AG21" i="28" s="1"/>
  <c r="N27" i="28"/>
  <c r="AF72" i="28"/>
  <c r="AG67" i="28" s="1"/>
  <c r="AE72" i="28"/>
  <c r="N72" i="28"/>
  <c r="Q32" i="28"/>
  <c r="P32" i="28"/>
  <c r="Q21" i="28"/>
  <c r="P21" i="28"/>
  <c r="Q63" i="28"/>
  <c r="P63" i="28"/>
  <c r="Q54" i="28"/>
  <c r="P54" i="28"/>
  <c r="Q38" i="28"/>
  <c r="P38" i="28"/>
  <c r="Q12" i="28"/>
  <c r="P12" i="28"/>
  <c r="AF33" i="28"/>
  <c r="AG28" i="28" s="1"/>
  <c r="AE33" i="28"/>
  <c r="N33" i="28"/>
  <c r="Q31" i="28"/>
  <c r="P31" i="28"/>
  <c r="AF13" i="28"/>
  <c r="AG11" i="28" s="1"/>
  <c r="AE13" i="28"/>
  <c r="N13" i="28"/>
  <c r="AE10" i="28"/>
  <c r="N10" i="28"/>
  <c r="AF10" i="28"/>
  <c r="AG5" i="28" s="1"/>
  <c r="P23" i="28"/>
  <c r="Q23" i="28"/>
  <c r="Q24" i="28"/>
  <c r="P24" i="28"/>
  <c r="P41" i="28"/>
  <c r="Q41" i="28"/>
  <c r="Q15" i="28"/>
  <c r="P15" i="28"/>
  <c r="Q8" i="28"/>
  <c r="P8" i="28"/>
  <c r="Q9" i="28"/>
  <c r="P9" i="28"/>
  <c r="P5" i="28"/>
  <c r="Q5" i="28"/>
  <c r="P46" i="28"/>
  <c r="Q46" i="28"/>
  <c r="P71" i="28"/>
  <c r="Q71" i="28"/>
  <c r="Q69" i="28"/>
  <c r="P69" i="28"/>
  <c r="P68" i="28"/>
  <c r="Q68" i="28"/>
  <c r="P64" i="28"/>
  <c r="Q64" i="28"/>
  <c r="AE66" i="28"/>
  <c r="AF66" i="28"/>
  <c r="AG61" i="28" s="1"/>
  <c r="N66" i="28"/>
  <c r="P52" i="28"/>
  <c r="Q52" i="28"/>
  <c r="Q16" i="28"/>
  <c r="P16" i="28"/>
  <c r="Q51" i="28"/>
  <c r="P51" i="28"/>
  <c r="P36" i="28"/>
  <c r="Q36" i="28"/>
  <c r="P45" i="28"/>
  <c r="Q45" i="28"/>
  <c r="Q62" i="28"/>
  <c r="P62" i="28"/>
  <c r="N60" i="28"/>
  <c r="AF60" i="28"/>
  <c r="AG51" i="28" s="1"/>
  <c r="AE60" i="28"/>
  <c r="N20" i="28"/>
  <c r="AF20" i="28"/>
  <c r="AG14" i="28" s="1"/>
  <c r="AE20" i="28"/>
  <c r="P29" i="28"/>
  <c r="Q29" i="28"/>
  <c r="Q14" i="28"/>
  <c r="P14" i="28"/>
  <c r="P22" i="28"/>
  <c r="Q22" i="28"/>
  <c r="P35" i="28"/>
  <c r="Q35" i="28"/>
  <c r="P53" i="28"/>
  <c r="Q53" i="28"/>
  <c r="Q42" i="28"/>
  <c r="P42" i="28"/>
  <c r="P69" i="26"/>
  <c r="Q69" i="26"/>
  <c r="N38" i="26"/>
  <c r="AF38" i="26"/>
  <c r="AE38" i="26"/>
  <c r="F6" i="25"/>
  <c r="G6" i="25"/>
  <c r="E6" i="25"/>
  <c r="AF12" i="26"/>
  <c r="AE12" i="26"/>
  <c r="N12" i="26"/>
  <c r="N15" i="26"/>
  <c r="AF15" i="26"/>
  <c r="AE15" i="26"/>
  <c r="AF28" i="26"/>
  <c r="AE28" i="26"/>
  <c r="M33" i="26"/>
  <c r="N28" i="26"/>
  <c r="P31" i="26"/>
  <c r="Q31" i="26"/>
  <c r="P46" i="26"/>
  <c r="Q46" i="26"/>
  <c r="P8" i="26"/>
  <c r="Q8" i="26"/>
  <c r="P16" i="26"/>
  <c r="Q16" i="26"/>
  <c r="AF43" i="26"/>
  <c r="AE43" i="26"/>
  <c r="N43" i="26"/>
  <c r="M60" i="26"/>
  <c r="AF52" i="26"/>
  <c r="AE52" i="26"/>
  <c r="N52" i="26"/>
  <c r="N59" i="26"/>
  <c r="AF59" i="26"/>
  <c r="AE59" i="26"/>
  <c r="N45" i="26"/>
  <c r="AF45" i="26"/>
  <c r="AE45" i="26"/>
  <c r="N9" i="26"/>
  <c r="AF9" i="26"/>
  <c r="AE9" i="26"/>
  <c r="N17" i="26"/>
  <c r="AF17" i="26"/>
  <c r="AE17" i="26"/>
  <c r="AF58" i="26"/>
  <c r="AE58" i="26"/>
  <c r="N58" i="26"/>
  <c r="M66" i="26"/>
  <c r="N61" i="26"/>
  <c r="AE61" i="26"/>
  <c r="AF61" i="26"/>
  <c r="N7" i="26"/>
  <c r="AF7" i="26"/>
  <c r="AE7" i="26"/>
  <c r="M10" i="26"/>
  <c r="AF21" i="26"/>
  <c r="AE21" i="26"/>
  <c r="M27" i="26"/>
  <c r="N21" i="26"/>
  <c r="AF26" i="26"/>
  <c r="AE26" i="26"/>
  <c r="N26" i="26"/>
  <c r="M39" i="26"/>
  <c r="AF64" i="26"/>
  <c r="AE64" i="26"/>
  <c r="N64" i="26"/>
  <c r="N67" i="26"/>
  <c r="AF67" i="26"/>
  <c r="AE67" i="26"/>
  <c r="M72" i="26"/>
  <c r="AF44" i="26"/>
  <c r="AE44" i="26"/>
  <c r="N44" i="26"/>
  <c r="AF57" i="26"/>
  <c r="AE57" i="26"/>
  <c r="N57" i="26"/>
  <c r="P23" i="26"/>
  <c r="Q23" i="26"/>
  <c r="N30" i="26"/>
  <c r="AF30" i="26"/>
  <c r="AE30" i="26"/>
  <c r="AF36" i="26"/>
  <c r="AE36" i="26"/>
  <c r="N36" i="26"/>
  <c r="AF29" i="26"/>
  <c r="AE29" i="26"/>
  <c r="N29" i="26"/>
  <c r="N24" i="26"/>
  <c r="AF24" i="26"/>
  <c r="AE24" i="26"/>
  <c r="P47" i="26"/>
  <c r="Q47" i="26"/>
  <c r="N53" i="26"/>
  <c r="AF53" i="26"/>
  <c r="AE53" i="26"/>
  <c r="AF14" i="26"/>
  <c r="AE14" i="26"/>
  <c r="M20" i="26"/>
  <c r="N14" i="26"/>
  <c r="AF19" i="26"/>
  <c r="AE19" i="26"/>
  <c r="N19" i="26"/>
  <c r="N22" i="26"/>
  <c r="AF22" i="26"/>
  <c r="AE22" i="26"/>
  <c r="AF65" i="26"/>
  <c r="AE65" i="26"/>
  <c r="N65" i="26"/>
  <c r="N32" i="26"/>
  <c r="AF32" i="26"/>
  <c r="AE32" i="26"/>
  <c r="AF37" i="26"/>
  <c r="AE37" i="26"/>
  <c r="N37" i="26"/>
  <c r="N40" i="26"/>
  <c r="M50" i="26"/>
  <c r="AE40" i="26"/>
  <c r="AF40" i="26"/>
  <c r="P54" i="26"/>
  <c r="Q54" i="26"/>
  <c r="N68" i="26"/>
  <c r="AF68" i="26"/>
  <c r="AE68" i="26"/>
  <c r="M13" i="26"/>
  <c r="AF18" i="26"/>
  <c r="AF25" i="26"/>
  <c r="AE34" i="26"/>
  <c r="AF35" i="26"/>
  <c r="AF42" i="26"/>
  <c r="AF49" i="26"/>
  <c r="AF56" i="26"/>
  <c r="AF63" i="26"/>
  <c r="AF71" i="26"/>
  <c r="AF34" i="26"/>
  <c r="N5" i="26"/>
  <c r="N51" i="26"/>
  <c r="N11" i="26"/>
  <c r="N34" i="26"/>
  <c r="N18" i="26"/>
  <c r="N25" i="26"/>
  <c r="N35" i="26"/>
  <c r="N42" i="26"/>
  <c r="AE46" i="26"/>
  <c r="N49" i="26"/>
  <c r="N56" i="26"/>
  <c r="N63" i="26"/>
  <c r="N71" i="26"/>
  <c r="AF46" i="26"/>
  <c r="P41" i="26"/>
  <c r="P48" i="26"/>
  <c r="P55" i="26"/>
  <c r="P62" i="26"/>
  <c r="P70" i="26"/>
  <c r="AE11" i="26"/>
  <c r="AD75" i="24"/>
  <c r="Z75" i="24"/>
  <c r="Y75" i="24"/>
  <c r="O75" i="24"/>
  <c r="K75" i="24"/>
  <c r="AF74" i="24"/>
  <c r="AE74" i="24"/>
  <c r="V74" i="24"/>
  <c r="U74" i="24"/>
  <c r="O74" i="24"/>
  <c r="N74" i="24"/>
  <c r="P74" i="24" s="1"/>
  <c r="M74" i="24"/>
  <c r="K74" i="24"/>
  <c r="AF73" i="24"/>
  <c r="AE73" i="24"/>
  <c r="V73" i="24"/>
  <c r="U73" i="24"/>
  <c r="O73" i="24"/>
  <c r="N73" i="24"/>
  <c r="Q73" i="24" s="1"/>
  <c r="M73" i="24"/>
  <c r="K73" i="24"/>
  <c r="V72" i="24"/>
  <c r="M72" i="24" s="1"/>
  <c r="U72" i="24"/>
  <c r="O72" i="24"/>
  <c r="K72" i="24"/>
  <c r="V71" i="24"/>
  <c r="U71" i="24"/>
  <c r="O71" i="24"/>
  <c r="M71" i="24"/>
  <c r="AF71" i="24" s="1"/>
  <c r="K71" i="24"/>
  <c r="AF70" i="24"/>
  <c r="AE70" i="24"/>
  <c r="X70" i="24"/>
  <c r="W70" i="24"/>
  <c r="V70" i="24"/>
  <c r="O70" i="24"/>
  <c r="M70" i="24"/>
  <c r="N70" i="24" s="1"/>
  <c r="K70" i="24"/>
  <c r="AD69" i="24"/>
  <c r="Z69" i="24"/>
  <c r="Y69" i="24"/>
  <c r="O69" i="24"/>
  <c r="K69" i="24"/>
  <c r="V68" i="24"/>
  <c r="U68" i="24"/>
  <c r="O68" i="24"/>
  <c r="M68" i="24"/>
  <c r="AF68" i="24" s="1"/>
  <c r="K68" i="24"/>
  <c r="V67" i="24"/>
  <c r="M67" i="24" s="1"/>
  <c r="AF67" i="24" s="1"/>
  <c r="U67" i="24"/>
  <c r="O67" i="24"/>
  <c r="K67" i="24"/>
  <c r="V66" i="24"/>
  <c r="U66" i="24"/>
  <c r="O66" i="24"/>
  <c r="M66" i="24"/>
  <c r="AF66" i="24" s="1"/>
  <c r="K66" i="24"/>
  <c r="AE65" i="24"/>
  <c r="V65" i="24"/>
  <c r="U65" i="24"/>
  <c r="O65" i="24"/>
  <c r="N65" i="24"/>
  <c r="M65" i="24"/>
  <c r="AF65" i="24" s="1"/>
  <c r="K65" i="24"/>
  <c r="AE64" i="24"/>
  <c r="V64" i="24"/>
  <c r="O64" i="24"/>
  <c r="M64" i="24"/>
  <c r="K64" i="24"/>
  <c r="AD63" i="24"/>
  <c r="Z63" i="24"/>
  <c r="Y63" i="24"/>
  <c r="O63" i="24"/>
  <c r="K63" i="24"/>
  <c r="V62" i="24"/>
  <c r="M62" i="24" s="1"/>
  <c r="U62" i="24"/>
  <c r="O62" i="24"/>
  <c r="K62" i="24"/>
  <c r="X61" i="24"/>
  <c r="W61" i="24"/>
  <c r="V61" i="24"/>
  <c r="U61" i="24"/>
  <c r="O61" i="24"/>
  <c r="M61" i="24"/>
  <c r="N61" i="24" s="1"/>
  <c r="K61" i="24"/>
  <c r="V60" i="24"/>
  <c r="U60" i="24"/>
  <c r="O60" i="24"/>
  <c r="N60" i="24"/>
  <c r="Q60" i="24" s="1"/>
  <c r="M60" i="24"/>
  <c r="AF60" i="24" s="1"/>
  <c r="K60" i="24"/>
  <c r="V59" i="24"/>
  <c r="U59" i="24"/>
  <c r="O59" i="24"/>
  <c r="M59" i="24"/>
  <c r="N59" i="24" s="1"/>
  <c r="K59" i="24"/>
  <c r="AF58" i="24"/>
  <c r="AE58" i="24"/>
  <c r="V58" i="24"/>
  <c r="U58" i="24"/>
  <c r="O58" i="24"/>
  <c r="M58" i="24"/>
  <c r="N58" i="24" s="1"/>
  <c r="P58" i="24" s="1"/>
  <c r="K58" i="24"/>
  <c r="V57" i="24"/>
  <c r="M57" i="24" s="1"/>
  <c r="U57" i="24"/>
  <c r="O57" i="24"/>
  <c r="K57" i="24"/>
  <c r="V56" i="24"/>
  <c r="U56" i="24"/>
  <c r="O56" i="24"/>
  <c r="M56" i="24"/>
  <c r="N56" i="24" s="1"/>
  <c r="K56" i="24"/>
  <c r="V55" i="24"/>
  <c r="U55" i="24"/>
  <c r="O55" i="24"/>
  <c r="M55" i="24"/>
  <c r="N55" i="24" s="1"/>
  <c r="K55" i="24"/>
  <c r="AF54" i="24"/>
  <c r="V54" i="24"/>
  <c r="U54" i="24"/>
  <c r="O54" i="24"/>
  <c r="N54" i="24"/>
  <c r="P54" i="24" s="1"/>
  <c r="M54" i="24"/>
  <c r="AE54" i="24" s="1"/>
  <c r="K54" i="24"/>
  <c r="Q54" i="24" s="1"/>
  <c r="V53" i="24"/>
  <c r="M53" i="24" s="1"/>
  <c r="O53" i="24"/>
  <c r="K53" i="24"/>
  <c r="AD52" i="24"/>
  <c r="Z52" i="24"/>
  <c r="Y52" i="24"/>
  <c r="O52" i="24"/>
  <c r="K52" i="24"/>
  <c r="V51" i="24"/>
  <c r="M51" i="24" s="1"/>
  <c r="U51" i="24"/>
  <c r="O51" i="24"/>
  <c r="K51" i="24"/>
  <c r="AE50" i="24"/>
  <c r="V50" i="24"/>
  <c r="U50" i="24"/>
  <c r="O50" i="24"/>
  <c r="M50" i="24"/>
  <c r="AF50" i="24" s="1"/>
  <c r="K50" i="24"/>
  <c r="V49" i="24"/>
  <c r="M49" i="24" s="1"/>
  <c r="U49" i="24"/>
  <c r="O49" i="24"/>
  <c r="K49" i="24"/>
  <c r="X48" i="24"/>
  <c r="W48" i="24"/>
  <c r="V48" i="24"/>
  <c r="M48" i="24" s="1"/>
  <c r="U48" i="24"/>
  <c r="O48" i="24"/>
  <c r="K48" i="24"/>
  <c r="V47" i="24"/>
  <c r="M47" i="24" s="1"/>
  <c r="U47" i="24"/>
  <c r="O47" i="24"/>
  <c r="K47" i="24"/>
  <c r="AE46" i="24"/>
  <c r="V46" i="24"/>
  <c r="U46" i="24"/>
  <c r="O46" i="24"/>
  <c r="M46" i="24"/>
  <c r="AF46" i="24" s="1"/>
  <c r="K46" i="24"/>
  <c r="V45" i="24"/>
  <c r="U45" i="24"/>
  <c r="O45" i="24"/>
  <c r="M45" i="24"/>
  <c r="AF45" i="24" s="1"/>
  <c r="K45" i="24"/>
  <c r="V44" i="24"/>
  <c r="U44" i="24"/>
  <c r="O44" i="24"/>
  <c r="M44" i="24"/>
  <c r="N44" i="24" s="1"/>
  <c r="P44" i="24" s="1"/>
  <c r="K44" i="24"/>
  <c r="AF43" i="24"/>
  <c r="V43" i="24"/>
  <c r="U43" i="24"/>
  <c r="O43" i="24"/>
  <c r="N43" i="24"/>
  <c r="Q43" i="24" s="1"/>
  <c r="M43" i="24"/>
  <c r="AE43" i="24" s="1"/>
  <c r="K43" i="24"/>
  <c r="AF42" i="24"/>
  <c r="V42" i="24"/>
  <c r="O42" i="24"/>
  <c r="M42" i="24"/>
  <c r="N42" i="24" s="1"/>
  <c r="K42" i="24"/>
  <c r="AD41" i="24"/>
  <c r="Z41" i="24"/>
  <c r="Y41" i="24"/>
  <c r="O41" i="24"/>
  <c r="K41" i="24"/>
  <c r="V40" i="24"/>
  <c r="M40" i="24" s="1"/>
  <c r="U40" i="24"/>
  <c r="O40" i="24"/>
  <c r="K40" i="24"/>
  <c r="V39" i="24"/>
  <c r="M39" i="24" s="1"/>
  <c r="U39" i="24"/>
  <c r="O39" i="24"/>
  <c r="K39" i="24"/>
  <c r="V38" i="24"/>
  <c r="U38" i="24"/>
  <c r="O38" i="24"/>
  <c r="M38" i="24"/>
  <c r="AF38" i="24" s="1"/>
  <c r="K38" i="24"/>
  <c r="AF37" i="24"/>
  <c r="V37" i="24"/>
  <c r="U37" i="24"/>
  <c r="O37" i="24"/>
  <c r="N37" i="24"/>
  <c r="P37" i="24" s="1"/>
  <c r="M37" i="24"/>
  <c r="AE37" i="24" s="1"/>
  <c r="K37" i="24"/>
  <c r="X36" i="24"/>
  <c r="W36" i="24"/>
  <c r="V36" i="24"/>
  <c r="M36" i="24" s="1"/>
  <c r="O36" i="24"/>
  <c r="K36" i="24"/>
  <c r="AD35" i="24"/>
  <c r="Z35" i="24"/>
  <c r="Y35" i="24"/>
  <c r="O35" i="24"/>
  <c r="K35" i="24"/>
  <c r="V34" i="24"/>
  <c r="M34" i="24" s="1"/>
  <c r="U34" i="24"/>
  <c r="O34" i="24"/>
  <c r="K34" i="24"/>
  <c r="X33" i="24"/>
  <c r="W33" i="24"/>
  <c r="V33" i="24"/>
  <c r="U33" i="24"/>
  <c r="O33" i="24"/>
  <c r="M33" i="24"/>
  <c r="N33" i="24" s="1"/>
  <c r="Q33" i="24" s="1"/>
  <c r="K33" i="24"/>
  <c r="V32" i="24"/>
  <c r="U32" i="24"/>
  <c r="O32" i="24"/>
  <c r="N32" i="24"/>
  <c r="P32" i="24" s="1"/>
  <c r="M32" i="24"/>
  <c r="AF32" i="24" s="1"/>
  <c r="K32" i="24"/>
  <c r="V31" i="24"/>
  <c r="M31" i="24" s="1"/>
  <c r="U31" i="24"/>
  <c r="O31" i="24"/>
  <c r="K31" i="24"/>
  <c r="V30" i="24"/>
  <c r="M30" i="24" s="1"/>
  <c r="U30" i="24"/>
  <c r="O30" i="24"/>
  <c r="K30" i="24"/>
  <c r="X29" i="24"/>
  <c r="W29" i="24"/>
  <c r="V29" i="24"/>
  <c r="P29" i="24"/>
  <c r="O29" i="24"/>
  <c r="N29" i="24"/>
  <c r="Q29" i="24" s="1"/>
  <c r="M29" i="24"/>
  <c r="AF29" i="24" s="1"/>
  <c r="K29" i="24"/>
  <c r="AD28" i="24"/>
  <c r="Z28" i="24"/>
  <c r="G19" i="23" s="1"/>
  <c r="Y28" i="24"/>
  <c r="O28" i="24"/>
  <c r="K28" i="24"/>
  <c r="V27" i="24"/>
  <c r="U27" i="24"/>
  <c r="O27" i="24"/>
  <c r="M27" i="24"/>
  <c r="AF27" i="24" s="1"/>
  <c r="K27" i="24"/>
  <c r="X26" i="24"/>
  <c r="W26" i="24"/>
  <c r="V26" i="24"/>
  <c r="U26" i="24"/>
  <c r="O26" i="24"/>
  <c r="M26" i="24"/>
  <c r="AE26" i="24" s="1"/>
  <c r="K26" i="24"/>
  <c r="V25" i="24"/>
  <c r="U25" i="24"/>
  <c r="O25" i="24"/>
  <c r="M25" i="24"/>
  <c r="AE25" i="24" s="1"/>
  <c r="K25" i="24"/>
  <c r="V24" i="24"/>
  <c r="U24" i="24"/>
  <c r="O24" i="24"/>
  <c r="M24" i="24"/>
  <c r="K24" i="24"/>
  <c r="V23" i="24"/>
  <c r="U23" i="24"/>
  <c r="O23" i="24"/>
  <c r="M23" i="24"/>
  <c r="N23" i="24" s="1"/>
  <c r="K23" i="24"/>
  <c r="AE22" i="24"/>
  <c r="V22" i="24"/>
  <c r="O22" i="24"/>
  <c r="M22" i="24"/>
  <c r="N22" i="24" s="1"/>
  <c r="K22" i="24"/>
  <c r="AD21" i="24"/>
  <c r="F21" i="23" s="1"/>
  <c r="Z21" i="24"/>
  <c r="Y21" i="24"/>
  <c r="O21" i="24"/>
  <c r="K21" i="24"/>
  <c r="V20" i="24"/>
  <c r="U20" i="24"/>
  <c r="O20" i="24"/>
  <c r="M20" i="24"/>
  <c r="N20" i="24" s="1"/>
  <c r="K20" i="24"/>
  <c r="AE19" i="24"/>
  <c r="X19" i="24"/>
  <c r="W19" i="24"/>
  <c r="V19" i="24"/>
  <c r="U19" i="24"/>
  <c r="O19" i="24"/>
  <c r="M19" i="24"/>
  <c r="AF19" i="24" s="1"/>
  <c r="K19" i="24"/>
  <c r="V18" i="24"/>
  <c r="M18" i="24" s="1"/>
  <c r="N18" i="24" s="1"/>
  <c r="U18" i="24"/>
  <c r="O18" i="24"/>
  <c r="K18" i="24"/>
  <c r="V17" i="24"/>
  <c r="M17" i="24" s="1"/>
  <c r="U17" i="24"/>
  <c r="O17" i="24"/>
  <c r="K17" i="24"/>
  <c r="V16" i="24"/>
  <c r="M16" i="24" s="1"/>
  <c r="U16" i="24"/>
  <c r="O16" i="24"/>
  <c r="K16" i="24"/>
  <c r="V15" i="24"/>
  <c r="U15" i="24"/>
  <c r="O15" i="24"/>
  <c r="M15" i="24"/>
  <c r="N15" i="24" s="1"/>
  <c r="K15" i="24"/>
  <c r="AF14" i="24"/>
  <c r="V14" i="24"/>
  <c r="O14" i="24"/>
  <c r="M14" i="24"/>
  <c r="K14" i="24"/>
  <c r="AD13" i="24"/>
  <c r="Z13" i="24"/>
  <c r="Y13" i="24"/>
  <c r="O13" i="24"/>
  <c r="K13" i="24"/>
  <c r="V12" i="24"/>
  <c r="M12" i="24" s="1"/>
  <c r="U12" i="24"/>
  <c r="O12" i="24"/>
  <c r="K12" i="24"/>
  <c r="V11" i="24"/>
  <c r="M11" i="24" s="1"/>
  <c r="O11" i="24"/>
  <c r="K11" i="24"/>
  <c r="AD10" i="24"/>
  <c r="D21" i="23" s="1"/>
  <c r="Z10" i="24"/>
  <c r="D19" i="23" s="1"/>
  <c r="Y10" i="24"/>
  <c r="O10" i="24"/>
  <c r="K10" i="24"/>
  <c r="V9" i="24"/>
  <c r="M9" i="24" s="1"/>
  <c r="U9" i="24"/>
  <c r="O9" i="24"/>
  <c r="K9" i="24"/>
  <c r="V8" i="24"/>
  <c r="M8" i="24" s="1"/>
  <c r="U8" i="24"/>
  <c r="O8" i="24"/>
  <c r="K8" i="24"/>
  <c r="V7" i="24"/>
  <c r="U7" i="24"/>
  <c r="O7" i="24"/>
  <c r="N7" i="24"/>
  <c r="P7" i="24" s="1"/>
  <c r="M7" i="24"/>
  <c r="AF7" i="24" s="1"/>
  <c r="K7" i="24"/>
  <c r="V6" i="24"/>
  <c r="U6" i="24"/>
  <c r="O6" i="24"/>
  <c r="M6" i="24"/>
  <c r="N6" i="24" s="1"/>
  <c r="K6" i="24"/>
  <c r="V5" i="24"/>
  <c r="M5" i="24" s="1"/>
  <c r="O5" i="24"/>
  <c r="K5" i="24"/>
  <c r="AD2" i="24"/>
  <c r="Z2" i="24"/>
  <c r="L6" i="23" s="1"/>
  <c r="Y2" i="24"/>
  <c r="K6" i="23" s="1"/>
  <c r="H2" i="24"/>
  <c r="H1" i="24"/>
  <c r="F1" i="24"/>
  <c r="F2" i="24" s="1"/>
  <c r="D1" i="24"/>
  <c r="M22" i="23"/>
  <c r="L22" i="23"/>
  <c r="K22" i="23"/>
  <c r="J22" i="23"/>
  <c r="I22" i="23"/>
  <c r="H22" i="23"/>
  <c r="G22" i="23"/>
  <c r="F22" i="23"/>
  <c r="E22" i="23"/>
  <c r="D22" i="23"/>
  <c r="M21" i="23"/>
  <c r="L21" i="23"/>
  <c r="K21" i="23"/>
  <c r="J21" i="23"/>
  <c r="I21" i="23"/>
  <c r="H21" i="23"/>
  <c r="G21" i="23"/>
  <c r="E21" i="23"/>
  <c r="M20" i="23"/>
  <c r="L20" i="23"/>
  <c r="K20" i="23"/>
  <c r="J20" i="23"/>
  <c r="I20" i="23"/>
  <c r="H20" i="23"/>
  <c r="G20" i="23"/>
  <c r="F20" i="23"/>
  <c r="E20" i="23"/>
  <c r="D20" i="23"/>
  <c r="M19" i="23"/>
  <c r="L19" i="23"/>
  <c r="K19" i="23"/>
  <c r="J19" i="23"/>
  <c r="I19" i="23"/>
  <c r="H19" i="23"/>
  <c r="F19" i="23"/>
  <c r="E19" i="23"/>
  <c r="M18" i="23"/>
  <c r="L18" i="23"/>
  <c r="K18" i="23"/>
  <c r="J18" i="23"/>
  <c r="I18" i="23"/>
  <c r="H18" i="23"/>
  <c r="G18" i="23"/>
  <c r="F18" i="23"/>
  <c r="E18" i="23"/>
  <c r="D18" i="23"/>
  <c r="M17" i="23"/>
  <c r="L17" i="23"/>
  <c r="K17" i="23"/>
  <c r="J17" i="23"/>
  <c r="I17" i="23"/>
  <c r="H17" i="23"/>
  <c r="G17" i="23"/>
  <c r="F17" i="23"/>
  <c r="E17" i="23"/>
  <c r="D17" i="23"/>
  <c r="M16" i="23"/>
  <c r="L16" i="23"/>
  <c r="K16" i="23"/>
  <c r="J16" i="23"/>
  <c r="I16" i="23"/>
  <c r="H16" i="23"/>
  <c r="G16" i="23"/>
  <c r="F16" i="23"/>
  <c r="E16" i="23"/>
  <c r="D16" i="23"/>
  <c r="M13" i="23"/>
  <c r="L13" i="23"/>
  <c r="K13" i="23"/>
  <c r="I6" i="23" s="1"/>
  <c r="J13" i="23"/>
  <c r="I13" i="23"/>
  <c r="H13" i="23"/>
  <c r="G13" i="23"/>
  <c r="F13" i="23"/>
  <c r="E13" i="23"/>
  <c r="D13" i="23"/>
  <c r="N6" i="23"/>
  <c r="M6" i="23"/>
  <c r="G6" i="23"/>
  <c r="F6" i="23"/>
  <c r="I3" i="23"/>
  <c r="F3" i="23"/>
  <c r="C3" i="23"/>
  <c r="AF16" i="24" l="1"/>
  <c r="AE16" i="24"/>
  <c r="N16" i="24"/>
  <c r="Q16" i="24" s="1"/>
  <c r="AF53" i="24"/>
  <c r="AE53" i="24"/>
  <c r="N53" i="24"/>
  <c r="Q53" i="24" s="1"/>
  <c r="AF48" i="24"/>
  <c r="AE48" i="24"/>
  <c r="N48" i="24"/>
  <c r="AF57" i="24"/>
  <c r="AE57" i="24"/>
  <c r="N57" i="24"/>
  <c r="Q57" i="24" s="1"/>
  <c r="P15" i="24"/>
  <c r="Q15" i="24"/>
  <c r="P23" i="24"/>
  <c r="Q23" i="24"/>
  <c r="AF49" i="24"/>
  <c r="AE49" i="24"/>
  <c r="N49" i="24"/>
  <c r="N72" i="24"/>
  <c r="AF72" i="24"/>
  <c r="AE72" i="24"/>
  <c r="M75" i="24"/>
  <c r="AF75" i="24" s="1"/>
  <c r="AG70" i="24" s="1"/>
  <c r="AF30" i="24"/>
  <c r="AE30" i="24"/>
  <c r="N30" i="24"/>
  <c r="AF34" i="24"/>
  <c r="AE34" i="24"/>
  <c r="N34" i="24"/>
  <c r="Q34" i="24" s="1"/>
  <c r="AF11" i="24"/>
  <c r="AE11" i="24"/>
  <c r="N11" i="24"/>
  <c r="Q11" i="24" s="1"/>
  <c r="M13" i="24"/>
  <c r="N31" i="24"/>
  <c r="AF31" i="24"/>
  <c r="AE31" i="24"/>
  <c r="AE12" i="24"/>
  <c r="N12" i="24"/>
  <c r="AF12" i="24"/>
  <c r="N62" i="24"/>
  <c r="AF62" i="24"/>
  <c r="AE62" i="24"/>
  <c r="AF39" i="24"/>
  <c r="AE39" i="24"/>
  <c r="N39" i="24"/>
  <c r="N51" i="24"/>
  <c r="P51" i="24" s="1"/>
  <c r="AF51" i="24"/>
  <c r="AE51" i="24"/>
  <c r="AF36" i="24"/>
  <c r="AE36" i="24"/>
  <c r="N36" i="24"/>
  <c r="Q36" i="24" s="1"/>
  <c r="AF47" i="24"/>
  <c r="AE47" i="24"/>
  <c r="N47" i="24"/>
  <c r="AF17" i="24"/>
  <c r="AE17" i="24"/>
  <c r="N17" i="24"/>
  <c r="P17" i="24" s="1"/>
  <c r="AF8" i="24"/>
  <c r="AE8" i="24"/>
  <c r="N8" i="24"/>
  <c r="Q8" i="24" s="1"/>
  <c r="P56" i="24"/>
  <c r="Q56" i="24"/>
  <c r="N40" i="24"/>
  <c r="P40" i="24" s="1"/>
  <c r="AF40" i="24"/>
  <c r="AE40" i="24"/>
  <c r="Q20" i="24"/>
  <c r="P20" i="24"/>
  <c r="AF9" i="24"/>
  <c r="AE9" i="24"/>
  <c r="N9" i="24"/>
  <c r="P9" i="24" s="1"/>
  <c r="AF5" i="24"/>
  <c r="AE5" i="24"/>
  <c r="M10" i="24"/>
  <c r="AF10" i="24" s="1"/>
  <c r="AG5" i="24" s="1"/>
  <c r="N5" i="24"/>
  <c r="AF25" i="24"/>
  <c r="AE56" i="24"/>
  <c r="AE61" i="24"/>
  <c r="AE7" i="24"/>
  <c r="AE33" i="24"/>
  <c r="AE44" i="24"/>
  <c r="AF56" i="24"/>
  <c r="AF61" i="24"/>
  <c r="AE15" i="24"/>
  <c r="AF33" i="24"/>
  <c r="AF44" i="24"/>
  <c r="Q65" i="24"/>
  <c r="AF15" i="24"/>
  <c r="AE20" i="24"/>
  <c r="AE23" i="24"/>
  <c r="N68" i="24"/>
  <c r="AF20" i="24"/>
  <c r="AF23" i="24"/>
  <c r="AE42" i="24"/>
  <c r="M28" i="24"/>
  <c r="AF28" i="24" s="1"/>
  <c r="AG22" i="24" s="1"/>
  <c r="N71" i="24"/>
  <c r="N19" i="24"/>
  <c r="N24" i="24"/>
  <c r="Q24" i="24" s="1"/>
  <c r="AE29" i="24"/>
  <c r="P60" i="24"/>
  <c r="Q32" i="24"/>
  <c r="AE68" i="24"/>
  <c r="M21" i="24"/>
  <c r="N21" i="24" s="1"/>
  <c r="N46" i="24"/>
  <c r="N50" i="24"/>
  <c r="Q50" i="24" s="1"/>
  <c r="N66" i="24"/>
  <c r="P66" i="24" s="1"/>
  <c r="AE24" i="24"/>
  <c r="AE32" i="24"/>
  <c r="AE55" i="24"/>
  <c r="AE60" i="24"/>
  <c r="AE6" i="24"/>
  <c r="AF24" i="24"/>
  <c r="M35" i="24"/>
  <c r="AF55" i="24"/>
  <c r="AE71" i="24"/>
  <c r="AF6" i="24"/>
  <c r="AE14" i="24"/>
  <c r="AE66" i="24"/>
  <c r="AF22" i="24"/>
  <c r="N25" i="24"/>
  <c r="P25" i="24" s="1"/>
  <c r="M69" i="24"/>
  <c r="AF69" i="24" s="1"/>
  <c r="AG64" i="24" s="1"/>
  <c r="Q6" i="26"/>
  <c r="P6" i="26"/>
  <c r="Q7" i="24"/>
  <c r="AF64" i="24"/>
  <c r="P66" i="28"/>
  <c r="Q66" i="28"/>
  <c r="R61" i="28" s="1"/>
  <c r="J14" i="27"/>
  <c r="J15" i="27" s="1"/>
  <c r="H14" i="27"/>
  <c r="H15" i="27" s="1"/>
  <c r="Q50" i="28"/>
  <c r="R40" i="28" s="1"/>
  <c r="P50" i="28"/>
  <c r="G14" i="27"/>
  <c r="G15" i="27" s="1"/>
  <c r="P27" i="28"/>
  <c r="Q27" i="28"/>
  <c r="R21" i="28" s="1"/>
  <c r="F14" i="27"/>
  <c r="F15" i="27" s="1"/>
  <c r="P20" i="28"/>
  <c r="Q20" i="28"/>
  <c r="R14" i="28" s="1"/>
  <c r="Q60" i="28"/>
  <c r="R51" i="28" s="1"/>
  <c r="P60" i="28"/>
  <c r="I14" i="27"/>
  <c r="I15" i="27" s="1"/>
  <c r="D14" i="27"/>
  <c r="P10" i="28"/>
  <c r="Q10" i="28"/>
  <c r="R5" i="28" s="1"/>
  <c r="D2" i="28"/>
  <c r="E14" i="27"/>
  <c r="E15" i="27" s="1"/>
  <c r="Q13" i="28"/>
  <c r="R11" i="28" s="1"/>
  <c r="P13" i="28"/>
  <c r="Q72" i="28"/>
  <c r="R67" i="28" s="1"/>
  <c r="P72" i="28"/>
  <c r="M14" i="27"/>
  <c r="M15" i="27" s="1"/>
  <c r="Q33" i="28"/>
  <c r="R28" i="28" s="1"/>
  <c r="P33" i="28"/>
  <c r="K14" i="27"/>
  <c r="Q15" i="26"/>
  <c r="P15" i="26"/>
  <c r="Q42" i="26"/>
  <c r="P42" i="26"/>
  <c r="AF72" i="26"/>
  <c r="AG67" i="26" s="1"/>
  <c r="AE72" i="26"/>
  <c r="N72" i="26"/>
  <c r="AF27" i="26"/>
  <c r="AG21" i="26" s="1"/>
  <c r="AE27" i="26"/>
  <c r="N27" i="26"/>
  <c r="Q12" i="26"/>
  <c r="P12" i="26"/>
  <c r="Q35" i="26"/>
  <c r="P35" i="26"/>
  <c r="Q53" i="26"/>
  <c r="P53" i="26"/>
  <c r="Q59" i="26"/>
  <c r="P59" i="26"/>
  <c r="Q25" i="26"/>
  <c r="P25" i="26"/>
  <c r="AF50" i="26"/>
  <c r="AG40" i="26" s="1"/>
  <c r="AE50" i="26"/>
  <c r="N50" i="26"/>
  <c r="Q52" i="26"/>
  <c r="P52" i="26"/>
  <c r="Q18" i="26"/>
  <c r="P18" i="26"/>
  <c r="Q40" i="26"/>
  <c r="P40" i="26"/>
  <c r="Q22" i="26"/>
  <c r="P22" i="26"/>
  <c r="Q30" i="26"/>
  <c r="P30" i="26"/>
  <c r="Q67" i="26"/>
  <c r="P67" i="26"/>
  <c r="N10" i="26"/>
  <c r="AF10" i="26"/>
  <c r="AG5" i="26" s="1"/>
  <c r="AE10" i="26"/>
  <c r="Q37" i="26"/>
  <c r="P37" i="26"/>
  <c r="Q11" i="26"/>
  <c r="P11" i="26"/>
  <c r="N60" i="26"/>
  <c r="AF60" i="26"/>
  <c r="AG51" i="26" s="1"/>
  <c r="AE60" i="26"/>
  <c r="P28" i="26"/>
  <c r="Q28" i="26"/>
  <c r="Q34" i="26"/>
  <c r="P34" i="26"/>
  <c r="Q19" i="26"/>
  <c r="P19" i="26"/>
  <c r="Q64" i="26"/>
  <c r="P64" i="26"/>
  <c r="Q17" i="26"/>
  <c r="P17" i="26"/>
  <c r="Q51" i="26"/>
  <c r="P51" i="26"/>
  <c r="AF13" i="26"/>
  <c r="AG11" i="26" s="1"/>
  <c r="AE13" i="26"/>
  <c r="N13" i="26"/>
  <c r="Q24" i="26"/>
  <c r="P24" i="26"/>
  <c r="Q57" i="26"/>
  <c r="P57" i="26"/>
  <c r="Q7" i="26"/>
  <c r="P7" i="26"/>
  <c r="Q43" i="26"/>
  <c r="P43" i="26"/>
  <c r="N33" i="26"/>
  <c r="AF33" i="26"/>
  <c r="AG28" i="26" s="1"/>
  <c r="AE33" i="26"/>
  <c r="Q58" i="26"/>
  <c r="P58" i="26"/>
  <c r="Q71" i="26"/>
  <c r="P71" i="26"/>
  <c r="Q5" i="26"/>
  <c r="P5" i="26"/>
  <c r="P14" i="26"/>
  <c r="Q14" i="26"/>
  <c r="Q29" i="26"/>
  <c r="P29" i="26"/>
  <c r="N39" i="26"/>
  <c r="AF39" i="26"/>
  <c r="AG34" i="26" s="1"/>
  <c r="AE39" i="26"/>
  <c r="Q9" i="26"/>
  <c r="P9" i="26"/>
  <c r="Q38" i="26"/>
  <c r="P38" i="26"/>
  <c r="P21" i="26"/>
  <c r="Q21" i="26"/>
  <c r="Q63" i="26"/>
  <c r="P63" i="26"/>
  <c r="AF20" i="26"/>
  <c r="AG14" i="26" s="1"/>
  <c r="AE20" i="26"/>
  <c r="N20" i="26"/>
  <c r="Q26" i="26"/>
  <c r="P26" i="26"/>
  <c r="Q56" i="26"/>
  <c r="P56" i="26"/>
  <c r="Q68" i="26"/>
  <c r="P68" i="26"/>
  <c r="Q32" i="26"/>
  <c r="P32" i="26"/>
  <c r="Q44" i="26"/>
  <c r="P44" i="26"/>
  <c r="Q61" i="26"/>
  <c r="P61" i="26"/>
  <c r="Q49" i="26"/>
  <c r="P49" i="26"/>
  <c r="Q65" i="26"/>
  <c r="P65" i="26"/>
  <c r="Q36" i="26"/>
  <c r="P36" i="26"/>
  <c r="N66" i="26"/>
  <c r="AF66" i="26"/>
  <c r="AG61" i="26" s="1"/>
  <c r="AE66" i="26"/>
  <c r="Q45" i="26"/>
  <c r="P45" i="26"/>
  <c r="Q6" i="24"/>
  <c r="P6" i="24"/>
  <c r="P18" i="24"/>
  <c r="Q18" i="24"/>
  <c r="Q70" i="24"/>
  <c r="P70" i="24"/>
  <c r="N69" i="24"/>
  <c r="AE69" i="24"/>
  <c r="P61" i="24"/>
  <c r="Q61" i="24"/>
  <c r="Q31" i="24"/>
  <c r="P31" i="24"/>
  <c r="Q42" i="24"/>
  <c r="P42" i="24"/>
  <c r="Q22" i="24"/>
  <c r="P22" i="24"/>
  <c r="Q59" i="24"/>
  <c r="P59" i="24"/>
  <c r="Q62" i="24"/>
  <c r="P62" i="24"/>
  <c r="P55" i="24"/>
  <c r="Q55" i="24"/>
  <c r="M52" i="24"/>
  <c r="N27" i="24"/>
  <c r="N38" i="24"/>
  <c r="N45" i="24"/>
  <c r="N67" i="24"/>
  <c r="Q17" i="24"/>
  <c r="Q37" i="24"/>
  <c r="Q44" i="24"/>
  <c r="Q51" i="24"/>
  <c r="Q58" i="24"/>
  <c r="M63" i="24"/>
  <c r="N64" i="24"/>
  <c r="Q66" i="24"/>
  <c r="Q74" i="24"/>
  <c r="AF26" i="24"/>
  <c r="AE35" i="24"/>
  <c r="P11" i="24"/>
  <c r="P53" i="24"/>
  <c r="E6" i="23"/>
  <c r="P36" i="24"/>
  <c r="M41" i="24"/>
  <c r="P16" i="24"/>
  <c r="AE18" i="24"/>
  <c r="P24" i="24"/>
  <c r="AE27" i="24"/>
  <c r="P33" i="24"/>
  <c r="P34" i="24"/>
  <c r="AE38" i="24"/>
  <c r="P43" i="24"/>
  <c r="AE45" i="24"/>
  <c r="P50" i="24"/>
  <c r="P57" i="24"/>
  <c r="AE59" i="24"/>
  <c r="P65" i="24"/>
  <c r="AE67" i="24"/>
  <c r="P73" i="24"/>
  <c r="Q9" i="24"/>
  <c r="N14" i="24"/>
  <c r="AF18" i="24"/>
  <c r="AF59" i="24"/>
  <c r="N26" i="24"/>
  <c r="N75" i="24"/>
  <c r="AD77" i="22"/>
  <c r="Z77" i="22"/>
  <c r="Y77" i="22"/>
  <c r="O77" i="22"/>
  <c r="K77" i="22"/>
  <c r="V76" i="22"/>
  <c r="U76" i="22"/>
  <c r="O76" i="22"/>
  <c r="M76" i="22"/>
  <c r="AE76" i="22" s="1"/>
  <c r="K76" i="22"/>
  <c r="X75" i="22"/>
  <c r="W75" i="22"/>
  <c r="V75" i="22"/>
  <c r="M75" i="22" s="1"/>
  <c r="U75" i="22"/>
  <c r="O75" i="22"/>
  <c r="K75" i="22"/>
  <c r="V74" i="22"/>
  <c r="M74" i="22" s="1"/>
  <c r="U74" i="22"/>
  <c r="O74" i="22"/>
  <c r="K74" i="22"/>
  <c r="V73" i="22"/>
  <c r="M73" i="22" s="1"/>
  <c r="N73" i="22" s="1"/>
  <c r="U73" i="22"/>
  <c r="O73" i="22"/>
  <c r="K73" i="22"/>
  <c r="V72" i="22"/>
  <c r="M72" i="22" s="1"/>
  <c r="U72" i="22"/>
  <c r="O72" i="22"/>
  <c r="K72" i="22"/>
  <c r="X71" i="22"/>
  <c r="W71" i="22"/>
  <c r="V71" i="22"/>
  <c r="M71" i="22" s="1"/>
  <c r="O71" i="22"/>
  <c r="K71" i="22"/>
  <c r="AD70" i="22"/>
  <c r="Z70" i="22"/>
  <c r="Y70" i="22"/>
  <c r="O70" i="22"/>
  <c r="K70" i="22"/>
  <c r="AF69" i="22"/>
  <c r="V69" i="22"/>
  <c r="U69" i="22"/>
  <c r="O69" i="22"/>
  <c r="N69" i="22"/>
  <c r="M69" i="22"/>
  <c r="AE69" i="22" s="1"/>
  <c r="K69" i="22"/>
  <c r="V68" i="22"/>
  <c r="M68" i="22" s="1"/>
  <c r="U68" i="22"/>
  <c r="O68" i="22"/>
  <c r="K68" i="22"/>
  <c r="V67" i="22"/>
  <c r="U67" i="22"/>
  <c r="O67" i="22"/>
  <c r="M67" i="22"/>
  <c r="AE67" i="22" s="1"/>
  <c r="K67" i="22"/>
  <c r="V66" i="22"/>
  <c r="M66" i="22" s="1"/>
  <c r="U66" i="22"/>
  <c r="O66" i="22"/>
  <c r="K66" i="22"/>
  <c r="V65" i="22"/>
  <c r="M65" i="22" s="1"/>
  <c r="O65" i="22"/>
  <c r="K65" i="22"/>
  <c r="AD64" i="22"/>
  <c r="I21" i="21" s="1"/>
  <c r="Z64" i="22"/>
  <c r="Y64" i="22"/>
  <c r="I18" i="21" s="1"/>
  <c r="O64" i="22"/>
  <c r="K64" i="22"/>
  <c r="V63" i="22"/>
  <c r="M63" i="22" s="1"/>
  <c r="U63" i="22"/>
  <c r="O63" i="22"/>
  <c r="K63" i="22"/>
  <c r="X62" i="22"/>
  <c r="W62" i="22"/>
  <c r="V62" i="22"/>
  <c r="M62" i="22" s="1"/>
  <c r="U62" i="22"/>
  <c r="O62" i="22"/>
  <c r="K62" i="22"/>
  <c r="V61" i="22"/>
  <c r="U61" i="22"/>
  <c r="O61" i="22"/>
  <c r="M61" i="22"/>
  <c r="AE61" i="22" s="1"/>
  <c r="K61" i="22"/>
  <c r="V60" i="22"/>
  <c r="M60" i="22" s="1"/>
  <c r="U60" i="22"/>
  <c r="O60" i="22"/>
  <c r="K60" i="22"/>
  <c r="V59" i="22"/>
  <c r="M59" i="22" s="1"/>
  <c r="AE59" i="22" s="1"/>
  <c r="U59" i="22"/>
  <c r="O59" i="22"/>
  <c r="K59" i="22"/>
  <c r="V58" i="22"/>
  <c r="M58" i="22" s="1"/>
  <c r="U58" i="22"/>
  <c r="O58" i="22"/>
  <c r="K58" i="22"/>
  <c r="V57" i="22"/>
  <c r="U57" i="22"/>
  <c r="O57" i="22"/>
  <c r="M57" i="22"/>
  <c r="N57" i="22" s="1"/>
  <c r="K57" i="22"/>
  <c r="V56" i="22"/>
  <c r="M56" i="22" s="1"/>
  <c r="U56" i="22"/>
  <c r="O56" i="22"/>
  <c r="K56" i="22"/>
  <c r="V55" i="22"/>
  <c r="U55" i="22"/>
  <c r="O55" i="22"/>
  <c r="M55" i="22"/>
  <c r="AE55" i="22" s="1"/>
  <c r="K55" i="22"/>
  <c r="V54" i="22"/>
  <c r="M54" i="22" s="1"/>
  <c r="AF54" i="22" s="1"/>
  <c r="O54" i="22"/>
  <c r="K54" i="22"/>
  <c r="AD53" i="22"/>
  <c r="Z53" i="22"/>
  <c r="H19" i="21" s="1"/>
  <c r="Y53" i="22"/>
  <c r="O53" i="22"/>
  <c r="K53" i="22"/>
  <c r="V52" i="22"/>
  <c r="U52" i="22"/>
  <c r="O52" i="22"/>
  <c r="M52" i="22"/>
  <c r="AE52" i="22" s="1"/>
  <c r="K52" i="22"/>
  <c r="V51" i="22"/>
  <c r="M51" i="22" s="1"/>
  <c r="U51" i="22"/>
  <c r="O51" i="22"/>
  <c r="K51" i="22"/>
  <c r="V50" i="22"/>
  <c r="U50" i="22"/>
  <c r="O50" i="22"/>
  <c r="M50" i="22"/>
  <c r="N50" i="22" s="1"/>
  <c r="K50" i="22"/>
  <c r="X49" i="22"/>
  <c r="W49" i="22"/>
  <c r="V49" i="22"/>
  <c r="M49" i="22" s="1"/>
  <c r="N49" i="22" s="1"/>
  <c r="U49" i="22"/>
  <c r="O49" i="22"/>
  <c r="K49" i="22"/>
  <c r="V48" i="22"/>
  <c r="M48" i="22" s="1"/>
  <c r="U48" i="22"/>
  <c r="O48" i="22"/>
  <c r="K48" i="22"/>
  <c r="V47" i="22"/>
  <c r="M47" i="22" s="1"/>
  <c r="U47" i="22"/>
  <c r="O47" i="22"/>
  <c r="K47" i="22"/>
  <c r="V46" i="22"/>
  <c r="M46" i="22" s="1"/>
  <c r="U46" i="22"/>
  <c r="O46" i="22"/>
  <c r="K46" i="22"/>
  <c r="V45" i="22"/>
  <c r="M45" i="22" s="1"/>
  <c r="AE45" i="22" s="1"/>
  <c r="U45" i="22"/>
  <c r="O45" i="22"/>
  <c r="K45" i="22"/>
  <c r="V44" i="22"/>
  <c r="M44" i="22" s="1"/>
  <c r="U44" i="22"/>
  <c r="O44" i="22"/>
  <c r="K44" i="22"/>
  <c r="V43" i="22"/>
  <c r="M43" i="22" s="1"/>
  <c r="O43" i="22"/>
  <c r="K43" i="22"/>
  <c r="AD42" i="22"/>
  <c r="Z42" i="22"/>
  <c r="Y42" i="22"/>
  <c r="L18" i="21" s="1"/>
  <c r="O42" i="22"/>
  <c r="K42" i="22"/>
  <c r="V41" i="22"/>
  <c r="M41" i="22" s="1"/>
  <c r="U41" i="22"/>
  <c r="O41" i="22"/>
  <c r="K41" i="22"/>
  <c r="AF40" i="22"/>
  <c r="V40" i="22"/>
  <c r="U40" i="22"/>
  <c r="O40" i="22"/>
  <c r="N40" i="22"/>
  <c r="Q40" i="22" s="1"/>
  <c r="M40" i="22"/>
  <c r="AE40" i="22" s="1"/>
  <c r="K40" i="22"/>
  <c r="V39" i="22"/>
  <c r="M39" i="22" s="1"/>
  <c r="U39" i="22"/>
  <c r="O39" i="22"/>
  <c r="K39" i="22"/>
  <c r="V38" i="22"/>
  <c r="M38" i="22" s="1"/>
  <c r="AE38" i="22" s="1"/>
  <c r="U38" i="22"/>
  <c r="O38" i="22"/>
  <c r="K38" i="22"/>
  <c r="X37" i="22"/>
  <c r="W37" i="22"/>
  <c r="V37" i="22"/>
  <c r="M37" i="22" s="1"/>
  <c r="AF37" i="22" s="1"/>
  <c r="O37" i="22"/>
  <c r="K37" i="22"/>
  <c r="AD36" i="22"/>
  <c r="Z36" i="22"/>
  <c r="Y36" i="22"/>
  <c r="O36" i="22"/>
  <c r="K36" i="22"/>
  <c r="V35" i="22"/>
  <c r="M35" i="22" s="1"/>
  <c r="U35" i="22"/>
  <c r="O35" i="22"/>
  <c r="K35" i="22"/>
  <c r="V34" i="22"/>
  <c r="U34" i="22"/>
  <c r="O34" i="22"/>
  <c r="M34" i="22"/>
  <c r="N34" i="22" s="1"/>
  <c r="K34" i="22"/>
  <c r="X33" i="22"/>
  <c r="W33" i="22"/>
  <c r="V33" i="22"/>
  <c r="M33" i="22" s="1"/>
  <c r="N33" i="22" s="1"/>
  <c r="U33" i="22"/>
  <c r="O33" i="22"/>
  <c r="K33" i="22"/>
  <c r="V32" i="22"/>
  <c r="M32" i="22" s="1"/>
  <c r="U32" i="22"/>
  <c r="O32" i="22"/>
  <c r="K32" i="22"/>
  <c r="V31" i="22"/>
  <c r="M31" i="22" s="1"/>
  <c r="U31" i="22"/>
  <c r="O31" i="22"/>
  <c r="K31" i="22"/>
  <c r="V30" i="22"/>
  <c r="M30" i="22" s="1"/>
  <c r="U30" i="22"/>
  <c r="O30" i="22"/>
  <c r="K30" i="22"/>
  <c r="X29" i="22"/>
  <c r="W29" i="22"/>
  <c r="V29" i="22"/>
  <c r="O29" i="22"/>
  <c r="M29" i="22"/>
  <c r="AF29" i="22" s="1"/>
  <c r="K29" i="22"/>
  <c r="AD28" i="22"/>
  <c r="Z28" i="22"/>
  <c r="G19" i="21" s="1"/>
  <c r="Y28" i="22"/>
  <c r="O28" i="22"/>
  <c r="K28" i="22"/>
  <c r="V27" i="22"/>
  <c r="M27" i="22" s="1"/>
  <c r="AE27" i="22" s="1"/>
  <c r="U27" i="22"/>
  <c r="O27" i="22"/>
  <c r="K27" i="22"/>
  <c r="AE26" i="22"/>
  <c r="X26" i="22"/>
  <c r="W26" i="22"/>
  <c r="V26" i="22"/>
  <c r="U26" i="22"/>
  <c r="O26" i="22"/>
  <c r="M26" i="22"/>
  <c r="N26" i="22" s="1"/>
  <c r="K26" i="22"/>
  <c r="V25" i="22"/>
  <c r="M25" i="22" s="1"/>
  <c r="U25" i="22"/>
  <c r="O25" i="22"/>
  <c r="K25" i="22"/>
  <c r="V24" i="22"/>
  <c r="U24" i="22"/>
  <c r="O24" i="22"/>
  <c r="M24" i="22"/>
  <c r="N24" i="22" s="1"/>
  <c r="K24" i="22"/>
  <c r="V23" i="22"/>
  <c r="M23" i="22" s="1"/>
  <c r="U23" i="22"/>
  <c r="O23" i="22"/>
  <c r="K23" i="22"/>
  <c r="V22" i="22"/>
  <c r="M22" i="22" s="1"/>
  <c r="O22" i="22"/>
  <c r="K22" i="22"/>
  <c r="AD21" i="22"/>
  <c r="Z21" i="22"/>
  <c r="F19" i="21" s="1"/>
  <c r="Y21" i="22"/>
  <c r="O21" i="22"/>
  <c r="K21" i="22"/>
  <c r="V20" i="22"/>
  <c r="M20" i="22" s="1"/>
  <c r="U20" i="22"/>
  <c r="O20" i="22"/>
  <c r="K20" i="22"/>
  <c r="X19" i="22"/>
  <c r="W19" i="22"/>
  <c r="V19" i="22"/>
  <c r="M19" i="22" s="1"/>
  <c r="U19" i="22"/>
  <c r="O19" i="22"/>
  <c r="K19" i="22"/>
  <c r="V18" i="22"/>
  <c r="U18" i="22"/>
  <c r="O18" i="22"/>
  <c r="M18" i="22"/>
  <c r="AE18" i="22" s="1"/>
  <c r="K18" i="22"/>
  <c r="V17" i="22"/>
  <c r="M17" i="22" s="1"/>
  <c r="U17" i="22"/>
  <c r="O17" i="22"/>
  <c r="K17" i="22"/>
  <c r="V16" i="22"/>
  <c r="U16" i="22"/>
  <c r="O16" i="22"/>
  <c r="M16" i="22"/>
  <c r="N16" i="22" s="1"/>
  <c r="K16" i="22"/>
  <c r="V15" i="22"/>
  <c r="M15" i="22" s="1"/>
  <c r="U15" i="22"/>
  <c r="O15" i="22"/>
  <c r="K15" i="22"/>
  <c r="V14" i="22"/>
  <c r="M14" i="22" s="1"/>
  <c r="O14" i="22"/>
  <c r="K14" i="22"/>
  <c r="AD13" i="22"/>
  <c r="Z13" i="22"/>
  <c r="Y13" i="22"/>
  <c r="O13" i="22"/>
  <c r="K13" i="22"/>
  <c r="V12" i="22"/>
  <c r="M12" i="22" s="1"/>
  <c r="U12" i="22"/>
  <c r="O12" i="22"/>
  <c r="K12" i="22"/>
  <c r="V11" i="22"/>
  <c r="M11" i="22" s="1"/>
  <c r="AF11" i="22" s="1"/>
  <c r="O11" i="22"/>
  <c r="K11" i="22"/>
  <c r="AD10" i="22"/>
  <c r="D21" i="21" s="1"/>
  <c r="Z10" i="22"/>
  <c r="Y10" i="22"/>
  <c r="O10" i="22"/>
  <c r="K10" i="22"/>
  <c r="V9" i="22"/>
  <c r="M9" i="22" s="1"/>
  <c r="U9" i="22"/>
  <c r="O9" i="22"/>
  <c r="K9" i="22"/>
  <c r="V8" i="22"/>
  <c r="U8" i="22"/>
  <c r="O8" i="22"/>
  <c r="M8" i="22"/>
  <c r="N8" i="22" s="1"/>
  <c r="K8" i="22"/>
  <c r="V7" i="22"/>
  <c r="M7" i="22" s="1"/>
  <c r="U7" i="22"/>
  <c r="O7" i="22"/>
  <c r="K7" i="22"/>
  <c r="V6" i="22"/>
  <c r="M6" i="22" s="1"/>
  <c r="U6" i="22"/>
  <c r="O6" i="22"/>
  <c r="K6" i="22"/>
  <c r="V5" i="22"/>
  <c r="M5" i="22" s="1"/>
  <c r="AF5" i="22" s="1"/>
  <c r="O5" i="22"/>
  <c r="K5" i="22"/>
  <c r="H2" i="22"/>
  <c r="H1" i="22"/>
  <c r="F1" i="22"/>
  <c r="F2" i="22" s="1"/>
  <c r="D1" i="22"/>
  <c r="M22" i="21"/>
  <c r="L22" i="21"/>
  <c r="K22" i="21"/>
  <c r="J22" i="21"/>
  <c r="I22" i="21"/>
  <c r="H22" i="21"/>
  <c r="G22" i="21"/>
  <c r="F22" i="21"/>
  <c r="E22" i="21"/>
  <c r="D22" i="21"/>
  <c r="M21" i="21"/>
  <c r="L21" i="21"/>
  <c r="K21" i="21"/>
  <c r="J21" i="21"/>
  <c r="H21" i="21"/>
  <c r="F21" i="21"/>
  <c r="E21" i="21"/>
  <c r="M20" i="21"/>
  <c r="L20" i="21"/>
  <c r="K20" i="21"/>
  <c r="J20" i="21"/>
  <c r="I20" i="21"/>
  <c r="H20" i="21"/>
  <c r="G20" i="21"/>
  <c r="F20" i="21"/>
  <c r="E20" i="21"/>
  <c r="D20" i="21"/>
  <c r="M19" i="21"/>
  <c r="L19" i="21"/>
  <c r="K19" i="21"/>
  <c r="J19" i="21"/>
  <c r="I19" i="21"/>
  <c r="E19" i="21"/>
  <c r="D19" i="21"/>
  <c r="M18" i="21"/>
  <c r="K18" i="21"/>
  <c r="J18" i="21"/>
  <c r="H18" i="21"/>
  <c r="G18" i="21"/>
  <c r="F18" i="21"/>
  <c r="E18" i="21"/>
  <c r="D18" i="21"/>
  <c r="M17" i="21"/>
  <c r="L17" i="21"/>
  <c r="K17" i="21"/>
  <c r="J17" i="21"/>
  <c r="I17" i="21"/>
  <c r="H17" i="21"/>
  <c r="G17" i="21"/>
  <c r="F17" i="21"/>
  <c r="E17" i="21"/>
  <c r="D17" i="21"/>
  <c r="M16" i="21"/>
  <c r="L16" i="21"/>
  <c r="K16" i="21"/>
  <c r="J16" i="21"/>
  <c r="I16" i="21"/>
  <c r="H16" i="21"/>
  <c r="G16" i="21"/>
  <c r="F16" i="21"/>
  <c r="E16" i="21"/>
  <c r="D16" i="21"/>
  <c r="M13" i="21"/>
  <c r="L13" i="21"/>
  <c r="K13" i="21"/>
  <c r="I6" i="21" s="1"/>
  <c r="J13" i="21"/>
  <c r="I13" i="21"/>
  <c r="H13" i="21"/>
  <c r="E6" i="21" s="1"/>
  <c r="G13" i="21"/>
  <c r="F13" i="21"/>
  <c r="E13" i="21"/>
  <c r="D13" i="21"/>
  <c r="M6" i="21"/>
  <c r="I3" i="21"/>
  <c r="F3" i="21"/>
  <c r="C3" i="21"/>
  <c r="AE47" i="22" l="1"/>
  <c r="AF47" i="22"/>
  <c r="N47" i="22"/>
  <c r="Q47" i="22" s="1"/>
  <c r="N75" i="22"/>
  <c r="AE75" i="22"/>
  <c r="AE6" i="22"/>
  <c r="AF6" i="22"/>
  <c r="N6" i="22"/>
  <c r="AE31" i="22"/>
  <c r="AF31" i="22"/>
  <c r="N31" i="22"/>
  <c r="Q31" i="22" s="1"/>
  <c r="AD2" i="22"/>
  <c r="N6" i="21" s="1"/>
  <c r="P72" i="24"/>
  <c r="Q72" i="24"/>
  <c r="Q69" i="22"/>
  <c r="AE21" i="24"/>
  <c r="P49" i="24"/>
  <c r="Q49" i="24"/>
  <c r="AF21" i="24"/>
  <c r="AG14" i="24" s="1"/>
  <c r="Q12" i="24"/>
  <c r="P12" i="24"/>
  <c r="N61" i="22"/>
  <c r="Q61" i="22" s="1"/>
  <c r="Q19" i="24"/>
  <c r="P19" i="24"/>
  <c r="Q71" i="24"/>
  <c r="P71" i="24"/>
  <c r="Q5" i="24"/>
  <c r="P5" i="24"/>
  <c r="Q47" i="24"/>
  <c r="P47" i="24"/>
  <c r="G21" i="21"/>
  <c r="AF61" i="22"/>
  <c r="N13" i="24"/>
  <c r="AF13" i="24"/>
  <c r="AG11" i="24" s="1"/>
  <c r="AE13" i="24"/>
  <c r="AE8" i="22"/>
  <c r="Y2" i="22"/>
  <c r="K6" i="21" s="1"/>
  <c r="AF35" i="24"/>
  <c r="AG29" i="24" s="1"/>
  <c r="N35" i="24"/>
  <c r="Z2" i="22"/>
  <c r="L6" i="21" s="1"/>
  <c r="N10" i="24"/>
  <c r="Q40" i="24"/>
  <c r="AE75" i="24"/>
  <c r="Q68" i="24"/>
  <c r="P68" i="24"/>
  <c r="P8" i="24"/>
  <c r="P48" i="24"/>
  <c r="Q48" i="24"/>
  <c r="N55" i="22"/>
  <c r="Q55" i="22" s="1"/>
  <c r="AE10" i="24"/>
  <c r="Q25" i="24"/>
  <c r="Q30" i="24"/>
  <c r="P30" i="24"/>
  <c r="AE28" i="24"/>
  <c r="Q39" i="24"/>
  <c r="P39" i="24"/>
  <c r="N28" i="24"/>
  <c r="P28" i="24" s="1"/>
  <c r="Q46" i="24"/>
  <c r="P46" i="24"/>
  <c r="AF55" i="22"/>
  <c r="K15" i="27"/>
  <c r="I8" i="27" s="1"/>
  <c r="I7" i="27"/>
  <c r="G7" i="27"/>
  <c r="E7" i="27"/>
  <c r="F7" i="27"/>
  <c r="D15" i="27"/>
  <c r="Q10" i="26"/>
  <c r="R5" i="26" s="1"/>
  <c r="P10" i="26"/>
  <c r="D2" i="26"/>
  <c r="D14" i="25"/>
  <c r="Q27" i="26"/>
  <c r="R21" i="26" s="1"/>
  <c r="G14" i="25"/>
  <c r="G15" i="25" s="1"/>
  <c r="P27" i="26"/>
  <c r="Q33" i="26"/>
  <c r="R28" i="26" s="1"/>
  <c r="P33" i="26"/>
  <c r="K14" i="25"/>
  <c r="Q13" i="26"/>
  <c r="R11" i="26" s="1"/>
  <c r="P13" i="26"/>
  <c r="E14" i="25"/>
  <c r="E15" i="25" s="1"/>
  <c r="P60" i="26"/>
  <c r="I14" i="25"/>
  <c r="I15" i="25" s="1"/>
  <c r="Q60" i="26"/>
  <c r="R51" i="26" s="1"/>
  <c r="Q72" i="26"/>
  <c r="R67" i="26" s="1"/>
  <c r="P72" i="26"/>
  <c r="M14" i="25"/>
  <c r="M15" i="25" s="1"/>
  <c r="Q50" i="26"/>
  <c r="R40" i="26" s="1"/>
  <c r="P50" i="26"/>
  <c r="H14" i="25"/>
  <c r="H15" i="25" s="1"/>
  <c r="P39" i="26"/>
  <c r="L14" i="25"/>
  <c r="L15" i="25" s="1"/>
  <c r="Q39" i="26"/>
  <c r="R34" i="26" s="1"/>
  <c r="Q66" i="26"/>
  <c r="R61" i="26" s="1"/>
  <c r="P66" i="26"/>
  <c r="J14" i="25"/>
  <c r="J15" i="25" s="1"/>
  <c r="Q20" i="26"/>
  <c r="R14" i="26" s="1"/>
  <c r="F14" i="25"/>
  <c r="F15" i="25" s="1"/>
  <c r="P20" i="26"/>
  <c r="P26" i="24"/>
  <c r="Q26" i="24"/>
  <c r="Q14" i="24"/>
  <c r="P14" i="24"/>
  <c r="Q64" i="24"/>
  <c r="P64" i="24"/>
  <c r="N63" i="24"/>
  <c r="AF63" i="24"/>
  <c r="AG53" i="24" s="1"/>
  <c r="AE63" i="24"/>
  <c r="Q67" i="24"/>
  <c r="P67" i="24"/>
  <c r="AF52" i="24"/>
  <c r="AG42" i="24" s="1"/>
  <c r="AE52" i="24"/>
  <c r="N52" i="24"/>
  <c r="N41" i="24"/>
  <c r="AF41" i="24"/>
  <c r="AG36" i="24" s="1"/>
  <c r="AE41" i="24"/>
  <c r="F14" i="23"/>
  <c r="F15" i="23" s="1"/>
  <c r="Q21" i="24"/>
  <c r="R14" i="24" s="1"/>
  <c r="P21" i="24"/>
  <c r="Q45" i="24"/>
  <c r="P45" i="24"/>
  <c r="Q38" i="24"/>
  <c r="P38" i="24"/>
  <c r="Q75" i="24"/>
  <c r="R70" i="24" s="1"/>
  <c r="M14" i="23"/>
  <c r="M15" i="23" s="1"/>
  <c r="P75" i="24"/>
  <c r="P10" i="24"/>
  <c r="D14" i="23"/>
  <c r="Q10" i="24"/>
  <c r="R5" i="24" s="1"/>
  <c r="Q69" i="24"/>
  <c r="R64" i="24" s="1"/>
  <c r="P69" i="24"/>
  <c r="J14" i="23"/>
  <c r="J15" i="23" s="1"/>
  <c r="P27" i="24"/>
  <c r="Q27" i="24"/>
  <c r="P57" i="22"/>
  <c r="Q57" i="22"/>
  <c r="P50" i="22"/>
  <c r="Q50" i="22"/>
  <c r="P49" i="22"/>
  <c r="Q49" i="22"/>
  <c r="N58" i="22"/>
  <c r="AF58" i="22"/>
  <c r="AE58" i="22"/>
  <c r="N9" i="22"/>
  <c r="AF9" i="22"/>
  <c r="AE9" i="22"/>
  <c r="Q26" i="22"/>
  <c r="P26" i="22"/>
  <c r="M42" i="22"/>
  <c r="N71" i="22"/>
  <c r="AF71" i="22"/>
  <c r="AE71" i="22"/>
  <c r="M77" i="22"/>
  <c r="P16" i="22"/>
  <c r="Q16" i="22"/>
  <c r="P24" i="22"/>
  <c r="Q24" i="22"/>
  <c r="P33" i="22"/>
  <c r="Q33" i="22"/>
  <c r="P8" i="22"/>
  <c r="Q8" i="22"/>
  <c r="AF12" i="22"/>
  <c r="AE12" i="22"/>
  <c r="N12" i="22"/>
  <c r="N15" i="22"/>
  <c r="AF15" i="22"/>
  <c r="AE15" i="22"/>
  <c r="AF20" i="22"/>
  <c r="AE20" i="22"/>
  <c r="N20" i="22"/>
  <c r="N23" i="22"/>
  <c r="AF23" i="22"/>
  <c r="AE23" i="22"/>
  <c r="N32" i="22"/>
  <c r="AF32" i="22"/>
  <c r="AE32" i="22"/>
  <c r="N41" i="22"/>
  <c r="AF41" i="22"/>
  <c r="AE41" i="22"/>
  <c r="N44" i="22"/>
  <c r="AF44" i="22"/>
  <c r="AE44" i="22"/>
  <c r="N51" i="22"/>
  <c r="AF51" i="22"/>
  <c r="AE51" i="22"/>
  <c r="N63" i="22"/>
  <c r="AF63" i="22"/>
  <c r="AE63" i="22"/>
  <c r="N66" i="22"/>
  <c r="AF66" i="22"/>
  <c r="AE66" i="22"/>
  <c r="N7" i="22"/>
  <c r="AF7" i="22"/>
  <c r="AE7" i="22"/>
  <c r="AF30" i="22"/>
  <c r="AE30" i="22"/>
  <c r="N30" i="22"/>
  <c r="AF39" i="22"/>
  <c r="AE39" i="22"/>
  <c r="N39" i="22"/>
  <c r="N56" i="22"/>
  <c r="AF56" i="22"/>
  <c r="AE56" i="22"/>
  <c r="N74" i="22"/>
  <c r="AF74" i="22"/>
  <c r="AE74" i="22"/>
  <c r="Q75" i="22"/>
  <c r="P75" i="22"/>
  <c r="AE19" i="22"/>
  <c r="N19" i="22"/>
  <c r="AF19" i="22"/>
  <c r="N62" i="22"/>
  <c r="AF62" i="22"/>
  <c r="AE62" i="22"/>
  <c r="N72" i="22"/>
  <c r="AF72" i="22"/>
  <c r="AE72" i="22"/>
  <c r="AF60" i="22"/>
  <c r="AE60" i="22"/>
  <c r="N60" i="22"/>
  <c r="P73" i="22"/>
  <c r="Q73" i="22"/>
  <c r="N35" i="22"/>
  <c r="AF35" i="22"/>
  <c r="AE35" i="22"/>
  <c r="AF14" i="22"/>
  <c r="AE14" i="22"/>
  <c r="M21" i="22"/>
  <c r="N14" i="22"/>
  <c r="AF22" i="22"/>
  <c r="AE22" i="22"/>
  <c r="M28" i="22"/>
  <c r="N22" i="22"/>
  <c r="N43" i="22"/>
  <c r="AF43" i="22"/>
  <c r="M53" i="22"/>
  <c r="AE43" i="22"/>
  <c r="N48" i="22"/>
  <c r="AF48" i="22"/>
  <c r="AE48" i="22"/>
  <c r="M70" i="22"/>
  <c r="N65" i="22"/>
  <c r="AF65" i="22"/>
  <c r="AE65" i="22"/>
  <c r="N17" i="22"/>
  <c r="AF17" i="22"/>
  <c r="AE17" i="22"/>
  <c r="N25" i="22"/>
  <c r="AF25" i="22"/>
  <c r="AE25" i="22"/>
  <c r="P34" i="22"/>
  <c r="Q34" i="22"/>
  <c r="AF46" i="22"/>
  <c r="AE46" i="22"/>
  <c r="N46" i="22"/>
  <c r="AF68" i="22"/>
  <c r="AE68" i="22"/>
  <c r="N68" i="22"/>
  <c r="M13" i="22"/>
  <c r="AF18" i="22"/>
  <c r="AF27" i="22"/>
  <c r="AE37" i="22"/>
  <c r="AF38" i="22"/>
  <c r="AF45" i="22"/>
  <c r="AF52" i="22"/>
  <c r="AF59" i="22"/>
  <c r="AF67" i="22"/>
  <c r="AF76" i="22"/>
  <c r="F6" i="21"/>
  <c r="G6" i="21"/>
  <c r="N5" i="22"/>
  <c r="AF26" i="22"/>
  <c r="N29" i="22"/>
  <c r="N54" i="22"/>
  <c r="AF75" i="22"/>
  <c r="AE16" i="22"/>
  <c r="AE24" i="22"/>
  <c r="P31" i="22"/>
  <c r="AE34" i="22"/>
  <c r="P40" i="22"/>
  <c r="P47" i="22"/>
  <c r="AE50" i="22"/>
  <c r="AE57" i="22"/>
  <c r="P61" i="22"/>
  <c r="P69" i="22"/>
  <c r="AE73" i="22"/>
  <c r="AF8" i="22"/>
  <c r="M10" i="22"/>
  <c r="N11" i="22"/>
  <c r="AF16" i="22"/>
  <c r="AF24" i="22"/>
  <c r="AF34" i="22"/>
  <c r="M36" i="22"/>
  <c r="N37" i="22"/>
  <c r="AF50" i="22"/>
  <c r="AF57" i="22"/>
  <c r="AF73" i="22"/>
  <c r="N18" i="22"/>
  <c r="N27" i="22"/>
  <c r="AE33" i="22"/>
  <c r="N38" i="22"/>
  <c r="N45" i="22"/>
  <c r="AE49" i="22"/>
  <c r="N52" i="22"/>
  <c r="N59" i="22"/>
  <c r="N67" i="22"/>
  <c r="N76" i="22"/>
  <c r="AF33" i="22"/>
  <c r="AF49" i="22"/>
  <c r="AE5" i="22"/>
  <c r="AE54" i="22"/>
  <c r="M64" i="22"/>
  <c r="AE11" i="22"/>
  <c r="AE29" i="22"/>
  <c r="P35" i="24" l="1"/>
  <c r="K14" i="23"/>
  <c r="K15" i="23" s="1"/>
  <c r="Q35" i="24"/>
  <c r="R29" i="24" s="1"/>
  <c r="E14" i="23"/>
  <c r="E15" i="23" s="1"/>
  <c r="Q13" i="24"/>
  <c r="R11" i="24" s="1"/>
  <c r="P13" i="24"/>
  <c r="D2" i="24"/>
  <c r="Q6" i="22"/>
  <c r="P6" i="22"/>
  <c r="P55" i="22"/>
  <c r="Q28" i="24"/>
  <c r="R22" i="24" s="1"/>
  <c r="G14" i="23"/>
  <c r="G15" i="23" s="1"/>
  <c r="G8" i="27"/>
  <c r="E8" i="27"/>
  <c r="F8" i="27"/>
  <c r="K15" i="25"/>
  <c r="I8" i="25" s="1"/>
  <c r="I7" i="25"/>
  <c r="D15" i="25"/>
  <c r="G7" i="25"/>
  <c r="F7" i="25"/>
  <c r="E7" i="25"/>
  <c r="D15" i="23"/>
  <c r="P63" i="24"/>
  <c r="Q63" i="24"/>
  <c r="R53" i="24" s="1"/>
  <c r="I14" i="23"/>
  <c r="I15" i="23" s="1"/>
  <c r="P41" i="24"/>
  <c r="L14" i="23"/>
  <c r="Q41" i="24"/>
  <c r="R36" i="24" s="1"/>
  <c r="H14" i="23"/>
  <c r="H15" i="23" s="1"/>
  <c r="Q52" i="24"/>
  <c r="R42" i="24" s="1"/>
  <c r="P52" i="24"/>
  <c r="AF21" i="22"/>
  <c r="AG14" i="22" s="1"/>
  <c r="AE21" i="22"/>
  <c r="N21" i="22"/>
  <c r="Q74" i="22"/>
  <c r="P74" i="22"/>
  <c r="Q7" i="22"/>
  <c r="P7" i="22"/>
  <c r="Q44" i="22"/>
  <c r="P44" i="22"/>
  <c r="Q9" i="22"/>
  <c r="P9" i="22"/>
  <c r="Q18" i="22"/>
  <c r="P18" i="22"/>
  <c r="Q72" i="22"/>
  <c r="P72" i="22"/>
  <c r="Q65" i="22"/>
  <c r="P65" i="22"/>
  <c r="N70" i="22"/>
  <c r="AF70" i="22"/>
  <c r="AG65" i="22" s="1"/>
  <c r="AE70" i="22"/>
  <c r="Q27" i="22"/>
  <c r="P27" i="22"/>
  <c r="Q54" i="22"/>
  <c r="P54" i="22"/>
  <c r="Q48" i="22"/>
  <c r="P48" i="22"/>
  <c r="Q11" i="22"/>
  <c r="P11" i="22"/>
  <c r="Q38" i="22"/>
  <c r="P38" i="22"/>
  <c r="Q29" i="22"/>
  <c r="P29" i="22"/>
  <c r="AF77" i="22"/>
  <c r="AG71" i="22" s="1"/>
  <c r="AE77" i="22"/>
  <c r="N77" i="22"/>
  <c r="Q76" i="22"/>
  <c r="P76" i="22"/>
  <c r="AF53" i="22"/>
  <c r="AG43" i="22" s="1"/>
  <c r="AE53" i="22"/>
  <c r="N53" i="22"/>
  <c r="Q62" i="22"/>
  <c r="P62" i="22"/>
  <c r="AF13" i="22"/>
  <c r="AG11" i="22" s="1"/>
  <c r="AE13" i="22"/>
  <c r="N13" i="22"/>
  <c r="Q35" i="22"/>
  <c r="P35" i="22"/>
  <c r="N10" i="22"/>
  <c r="AF10" i="22"/>
  <c r="AG5" i="22" s="1"/>
  <c r="AE10" i="22"/>
  <c r="Q41" i="22"/>
  <c r="P41" i="22"/>
  <c r="Q37" i="22"/>
  <c r="P37" i="22"/>
  <c r="Q68" i="22"/>
  <c r="P68" i="22"/>
  <c r="Q43" i="22"/>
  <c r="P43" i="22"/>
  <c r="Q19" i="22"/>
  <c r="P19" i="22"/>
  <c r="Q63" i="22"/>
  <c r="P63" i="22"/>
  <c r="Q32" i="22"/>
  <c r="P32" i="22"/>
  <c r="Q71" i="22"/>
  <c r="P71" i="22"/>
  <c r="Q20" i="22"/>
  <c r="P20" i="22"/>
  <c r="Q66" i="22"/>
  <c r="P66" i="22"/>
  <c r="Q12" i="22"/>
  <c r="P12" i="22"/>
  <c r="Q52" i="22"/>
  <c r="P52" i="22"/>
  <c r="Q17" i="22"/>
  <c r="P17" i="22"/>
  <c r="Q22" i="22"/>
  <c r="P22" i="22"/>
  <c r="Q30" i="22"/>
  <c r="P30" i="22"/>
  <c r="N42" i="22"/>
  <c r="AF42" i="22"/>
  <c r="AG37" i="22" s="1"/>
  <c r="AE42" i="22"/>
  <c r="Q56" i="22"/>
  <c r="P56" i="22"/>
  <c r="Q58" i="22"/>
  <c r="P58" i="22"/>
  <c r="Q25" i="22"/>
  <c r="P25" i="22"/>
  <c r="Q39" i="22"/>
  <c r="P39" i="22"/>
  <c r="N36" i="22"/>
  <c r="AF36" i="22"/>
  <c r="AG29" i="22" s="1"/>
  <c r="AE36" i="22"/>
  <c r="AF28" i="22"/>
  <c r="AG22" i="22" s="1"/>
  <c r="AE28" i="22"/>
  <c r="N28" i="22"/>
  <c r="Q60" i="22"/>
  <c r="P60" i="22"/>
  <c r="N64" i="22"/>
  <c r="AF64" i="22"/>
  <c r="AG54" i="22" s="1"/>
  <c r="AE64" i="22"/>
  <c r="Q14" i="22"/>
  <c r="P14" i="22"/>
  <c r="Q15" i="22"/>
  <c r="P15" i="22"/>
  <c r="Q67" i="22"/>
  <c r="P67" i="22"/>
  <c r="Q5" i="22"/>
  <c r="P5" i="22"/>
  <c r="Q59" i="22"/>
  <c r="P59" i="22"/>
  <c r="Q45" i="22"/>
  <c r="P45" i="22"/>
  <c r="Q46" i="22"/>
  <c r="P46" i="22"/>
  <c r="Q51" i="22"/>
  <c r="P51" i="22"/>
  <c r="Q23" i="22"/>
  <c r="P23" i="22"/>
  <c r="F8" i="25" l="1"/>
  <c r="G8" i="25"/>
  <c r="E8" i="25"/>
  <c r="L15" i="23"/>
  <c r="I8" i="23" s="1"/>
  <c r="I7" i="23"/>
  <c r="G7" i="23"/>
  <c r="F7" i="23"/>
  <c r="E7" i="23"/>
  <c r="G8" i="23"/>
  <c r="F8" i="23"/>
  <c r="E8" i="23"/>
  <c r="P42" i="22"/>
  <c r="L14" i="21"/>
  <c r="L15" i="21" s="1"/>
  <c r="Q42" i="22"/>
  <c r="R37" i="22" s="1"/>
  <c r="Q36" i="22"/>
  <c r="R29" i="22" s="1"/>
  <c r="P36" i="22"/>
  <c r="K14" i="21"/>
  <c r="Q77" i="22"/>
  <c r="R71" i="22" s="1"/>
  <c r="P77" i="22"/>
  <c r="M14" i="21"/>
  <c r="M15" i="21" s="1"/>
  <c r="Q13" i="22"/>
  <c r="R11" i="22" s="1"/>
  <c r="P13" i="22"/>
  <c r="E14" i="21"/>
  <c r="E15" i="21" s="1"/>
  <c r="J14" i="21"/>
  <c r="J15" i="21" s="1"/>
  <c r="Q70" i="22"/>
  <c r="R65" i="22" s="1"/>
  <c r="P70" i="22"/>
  <c r="P64" i="22"/>
  <c r="I14" i="21"/>
  <c r="I15" i="21" s="1"/>
  <c r="Q64" i="22"/>
  <c r="R54" i="22" s="1"/>
  <c r="Q21" i="22"/>
  <c r="R14" i="22" s="1"/>
  <c r="P21" i="22"/>
  <c r="F14" i="21"/>
  <c r="F15" i="21" s="1"/>
  <c r="Q10" i="22"/>
  <c r="R5" i="22" s="1"/>
  <c r="P10" i="22"/>
  <c r="D2" i="22"/>
  <c r="D14" i="21"/>
  <c r="Q53" i="22"/>
  <c r="R43" i="22" s="1"/>
  <c r="P53" i="22"/>
  <c r="H14" i="21"/>
  <c r="H15" i="21" s="1"/>
  <c r="Q28" i="22"/>
  <c r="R22" i="22" s="1"/>
  <c r="P28" i="22"/>
  <c r="G14" i="21"/>
  <c r="G15" i="21" s="1"/>
  <c r="D15" i="21" l="1"/>
  <c r="G7" i="21"/>
  <c r="F7" i="21"/>
  <c r="E7" i="21"/>
  <c r="K15" i="21"/>
  <c r="I8" i="21" s="1"/>
  <c r="I7" i="21"/>
  <c r="E8" i="21" l="1"/>
  <c r="G8" i="21"/>
  <c r="F8" i="21"/>
  <c r="AD73" i="18" l="1"/>
  <c r="Z73" i="18"/>
  <c r="Y73" i="18"/>
  <c r="O73" i="18"/>
  <c r="K73" i="18"/>
  <c r="V72" i="18"/>
  <c r="U72" i="18"/>
  <c r="O72" i="18"/>
  <c r="M72" i="18"/>
  <c r="AE72" i="18" s="1"/>
  <c r="K72" i="18"/>
  <c r="G72" i="18"/>
  <c r="V71" i="18"/>
  <c r="U71" i="18"/>
  <c r="O71" i="18"/>
  <c r="M71" i="18"/>
  <c r="AF71" i="18" s="1"/>
  <c r="K71" i="18"/>
  <c r="G71" i="18"/>
  <c r="V70" i="18"/>
  <c r="M70" i="18" s="1"/>
  <c r="U70" i="18"/>
  <c r="O70" i="18"/>
  <c r="K70" i="18"/>
  <c r="G70" i="18"/>
  <c r="V69" i="18"/>
  <c r="M69" i="18" s="1"/>
  <c r="U69" i="18"/>
  <c r="O69" i="18"/>
  <c r="K69" i="18"/>
  <c r="G69" i="18"/>
  <c r="X68" i="18"/>
  <c r="W68" i="18"/>
  <c r="V68" i="18"/>
  <c r="O68" i="18"/>
  <c r="M68" i="18"/>
  <c r="AF68" i="18" s="1"/>
  <c r="K68" i="18"/>
  <c r="G68" i="18"/>
  <c r="AD67" i="18"/>
  <c r="Z67" i="18"/>
  <c r="Y67" i="18"/>
  <c r="O67" i="18"/>
  <c r="K67" i="18"/>
  <c r="V66" i="18"/>
  <c r="M66" i="18" s="1"/>
  <c r="U66" i="18"/>
  <c r="O66" i="18"/>
  <c r="K66" i="18"/>
  <c r="G66" i="18"/>
  <c r="V65" i="18"/>
  <c r="M65" i="18" s="1"/>
  <c r="U65" i="18"/>
  <c r="O65" i="18"/>
  <c r="K65" i="18"/>
  <c r="G65" i="18"/>
  <c r="V64" i="18"/>
  <c r="M64" i="18" s="1"/>
  <c r="U64" i="18"/>
  <c r="O64" i="18"/>
  <c r="K64" i="18"/>
  <c r="G64" i="18"/>
  <c r="V63" i="18"/>
  <c r="M63" i="18" s="1"/>
  <c r="U63" i="18"/>
  <c r="O63" i="18"/>
  <c r="K63" i="18"/>
  <c r="G63" i="18"/>
  <c r="V62" i="18"/>
  <c r="M62" i="18" s="1"/>
  <c r="O62" i="18"/>
  <c r="K62" i="18"/>
  <c r="G62" i="18"/>
  <c r="AD61" i="18"/>
  <c r="Z61" i="18"/>
  <c r="Y61" i="18"/>
  <c r="O61" i="18"/>
  <c r="K61" i="18"/>
  <c r="V60" i="18"/>
  <c r="U60" i="18"/>
  <c r="O60" i="18"/>
  <c r="M60" i="18"/>
  <c r="AF60" i="18" s="1"/>
  <c r="K60" i="18"/>
  <c r="G60" i="18"/>
  <c r="X59" i="18"/>
  <c r="W59" i="18"/>
  <c r="V59" i="18"/>
  <c r="M59" i="18" s="1"/>
  <c r="U59" i="18"/>
  <c r="O59" i="18"/>
  <c r="K59" i="18"/>
  <c r="G59" i="18"/>
  <c r="V58" i="18"/>
  <c r="M58" i="18" s="1"/>
  <c r="U58" i="18"/>
  <c r="O58" i="18"/>
  <c r="K58" i="18"/>
  <c r="G58" i="18"/>
  <c r="V57" i="18"/>
  <c r="M57" i="18" s="1"/>
  <c r="AF57" i="18" s="1"/>
  <c r="U57" i="18"/>
  <c r="O57" i="18"/>
  <c r="K57" i="18"/>
  <c r="G57" i="18"/>
  <c r="V56" i="18"/>
  <c r="U56" i="18"/>
  <c r="O56" i="18"/>
  <c r="M56" i="18"/>
  <c r="AF56" i="18" s="1"/>
  <c r="K56" i="18"/>
  <c r="G56" i="18"/>
  <c r="V55" i="18"/>
  <c r="U55" i="18"/>
  <c r="Q55" i="18"/>
  <c r="O55" i="18"/>
  <c r="N55" i="18"/>
  <c r="M55" i="18"/>
  <c r="AF55" i="18" s="1"/>
  <c r="K55" i="18"/>
  <c r="G55" i="18"/>
  <c r="V54" i="18"/>
  <c r="M54" i="18" s="1"/>
  <c r="U54" i="18"/>
  <c r="O54" i="18"/>
  <c r="K54" i="18"/>
  <c r="G54" i="18"/>
  <c r="V53" i="18"/>
  <c r="M53" i="18" s="1"/>
  <c r="U53" i="18"/>
  <c r="O53" i="18"/>
  <c r="K53" i="18"/>
  <c r="G53" i="18"/>
  <c r="V52" i="18"/>
  <c r="U52" i="18"/>
  <c r="O52" i="18"/>
  <c r="M52" i="18"/>
  <c r="AF52" i="18" s="1"/>
  <c r="K52" i="18"/>
  <c r="G52" i="18"/>
  <c r="V51" i="18"/>
  <c r="O51" i="18"/>
  <c r="M51" i="18"/>
  <c r="AF51" i="18" s="1"/>
  <c r="K51" i="18"/>
  <c r="G51" i="18"/>
  <c r="AD50" i="18"/>
  <c r="Z50" i="18"/>
  <c r="Y50" i="18"/>
  <c r="O50" i="18"/>
  <c r="K50" i="18"/>
  <c r="V49" i="18"/>
  <c r="M49" i="18" s="1"/>
  <c r="U49" i="18"/>
  <c r="O49" i="18"/>
  <c r="K49" i="18"/>
  <c r="G49" i="18"/>
  <c r="X48" i="18"/>
  <c r="W48" i="18"/>
  <c r="V48" i="18"/>
  <c r="M48" i="18" s="1"/>
  <c r="U48" i="18"/>
  <c r="O48" i="18"/>
  <c r="K48" i="18"/>
  <c r="G48" i="18"/>
  <c r="V47" i="18"/>
  <c r="M47" i="18" s="1"/>
  <c r="U47" i="18"/>
  <c r="O47" i="18"/>
  <c r="K47" i="18"/>
  <c r="G47" i="18"/>
  <c r="V46" i="18"/>
  <c r="M46" i="18" s="1"/>
  <c r="U46" i="18"/>
  <c r="O46" i="18"/>
  <c r="K46" i="18"/>
  <c r="G46" i="18"/>
  <c r="V45" i="18"/>
  <c r="M45" i="18" s="1"/>
  <c r="U45" i="18"/>
  <c r="O45" i="18"/>
  <c r="K45" i="18"/>
  <c r="G45" i="18"/>
  <c r="V44" i="18"/>
  <c r="M44" i="18" s="1"/>
  <c r="U44" i="18"/>
  <c r="O44" i="18"/>
  <c r="K44" i="18"/>
  <c r="G44" i="18"/>
  <c r="V43" i="18"/>
  <c r="M43" i="18" s="1"/>
  <c r="U43" i="18"/>
  <c r="O43" i="18"/>
  <c r="K43" i="18"/>
  <c r="G43" i="18"/>
  <c r="X42" i="18"/>
  <c r="W42" i="18"/>
  <c r="V42" i="18"/>
  <c r="M42" i="18" s="1"/>
  <c r="O42" i="18"/>
  <c r="K42" i="18"/>
  <c r="G42" i="18"/>
  <c r="AD41" i="18"/>
  <c r="Z41" i="18"/>
  <c r="Y41" i="18"/>
  <c r="O41" i="18"/>
  <c r="K41" i="18"/>
  <c r="V40" i="18"/>
  <c r="M40" i="18" s="1"/>
  <c r="U40" i="18"/>
  <c r="O40" i="18"/>
  <c r="K40" i="18"/>
  <c r="G40" i="18"/>
  <c r="V39" i="18"/>
  <c r="U39" i="18"/>
  <c r="O39" i="18"/>
  <c r="M39" i="18"/>
  <c r="AF39" i="18" s="1"/>
  <c r="K39" i="18"/>
  <c r="G39" i="18"/>
  <c r="V38" i="18"/>
  <c r="U38" i="18"/>
  <c r="O38" i="18"/>
  <c r="M38" i="18"/>
  <c r="AF38" i="18" s="1"/>
  <c r="K38" i="18"/>
  <c r="G38" i="18"/>
  <c r="V37" i="18"/>
  <c r="M37" i="18" s="1"/>
  <c r="U37" i="18"/>
  <c r="O37" i="18"/>
  <c r="K37" i="18"/>
  <c r="G37" i="18"/>
  <c r="X36" i="18"/>
  <c r="W36" i="18"/>
  <c r="V36" i="18"/>
  <c r="O36" i="18"/>
  <c r="M36" i="18"/>
  <c r="AF36" i="18" s="1"/>
  <c r="K36" i="18"/>
  <c r="G36" i="18"/>
  <c r="AD35" i="18"/>
  <c r="Z35" i="18"/>
  <c r="Y35" i="18"/>
  <c r="O35" i="18"/>
  <c r="K35" i="18"/>
  <c r="V34" i="18"/>
  <c r="M34" i="18" s="1"/>
  <c r="U34" i="18"/>
  <c r="O34" i="18"/>
  <c r="K34" i="18"/>
  <c r="G34" i="18"/>
  <c r="X33" i="18"/>
  <c r="W33" i="18"/>
  <c r="V33" i="18"/>
  <c r="U33" i="18"/>
  <c r="O33" i="18"/>
  <c r="M33" i="18"/>
  <c r="AE33" i="18" s="1"/>
  <c r="K33" i="18"/>
  <c r="G33" i="18"/>
  <c r="V32" i="18"/>
  <c r="M32" i="18" s="1"/>
  <c r="U32" i="18"/>
  <c r="O32" i="18"/>
  <c r="K32" i="18"/>
  <c r="G32" i="18"/>
  <c r="V31" i="18"/>
  <c r="M31" i="18" s="1"/>
  <c r="U31" i="18"/>
  <c r="O31" i="18"/>
  <c r="K31" i="18"/>
  <c r="G31" i="18"/>
  <c r="V30" i="18"/>
  <c r="U30" i="18"/>
  <c r="O30" i="18"/>
  <c r="M30" i="18"/>
  <c r="N30" i="18" s="1"/>
  <c r="K30" i="18"/>
  <c r="G30" i="18"/>
  <c r="X29" i="18"/>
  <c r="W29" i="18"/>
  <c r="V29" i="18"/>
  <c r="M29" i="18" s="1"/>
  <c r="O29" i="18"/>
  <c r="K29" i="18"/>
  <c r="G29" i="18"/>
  <c r="AD28" i="18"/>
  <c r="Z28" i="18"/>
  <c r="Y28" i="18"/>
  <c r="O28" i="18"/>
  <c r="K28" i="18"/>
  <c r="V27" i="18"/>
  <c r="M27" i="18" s="1"/>
  <c r="U27" i="18"/>
  <c r="O27" i="18"/>
  <c r="K27" i="18"/>
  <c r="G27" i="18"/>
  <c r="X26" i="18"/>
  <c r="W26" i="18"/>
  <c r="V26" i="18"/>
  <c r="M26" i="18" s="1"/>
  <c r="U26" i="18"/>
  <c r="O26" i="18"/>
  <c r="K26" i="18"/>
  <c r="G26" i="18"/>
  <c r="V25" i="18"/>
  <c r="M25" i="18" s="1"/>
  <c r="U25" i="18"/>
  <c r="O25" i="18"/>
  <c r="K25" i="18"/>
  <c r="G25" i="18"/>
  <c r="V24" i="18"/>
  <c r="M24" i="18" s="1"/>
  <c r="U24" i="18"/>
  <c r="O24" i="18"/>
  <c r="K24" i="18"/>
  <c r="G24" i="18"/>
  <c r="V23" i="18"/>
  <c r="M23" i="18" s="1"/>
  <c r="U23" i="18"/>
  <c r="O23" i="18"/>
  <c r="K23" i="18"/>
  <c r="G23" i="18"/>
  <c r="V22" i="18"/>
  <c r="M22" i="18" s="1"/>
  <c r="O22" i="18"/>
  <c r="K22" i="18"/>
  <c r="G22" i="18"/>
  <c r="AD21" i="18"/>
  <c r="F21" i="17" s="1"/>
  <c r="Z21" i="18"/>
  <c r="Y21" i="18"/>
  <c r="O21" i="18"/>
  <c r="K21" i="18"/>
  <c r="V20" i="18"/>
  <c r="M20" i="18" s="1"/>
  <c r="N20" i="18" s="1"/>
  <c r="U20" i="18"/>
  <c r="O20" i="18"/>
  <c r="K20" i="18"/>
  <c r="G20" i="18"/>
  <c r="X19" i="18"/>
  <c r="W19" i="18"/>
  <c r="V19" i="18"/>
  <c r="M19" i="18" s="1"/>
  <c r="U19" i="18"/>
  <c r="O19" i="18"/>
  <c r="K19" i="18"/>
  <c r="G19" i="18"/>
  <c r="V18" i="18"/>
  <c r="M18" i="18" s="1"/>
  <c r="N18" i="18" s="1"/>
  <c r="U18" i="18"/>
  <c r="O18" i="18"/>
  <c r="K18" i="18"/>
  <c r="G18" i="18"/>
  <c r="V17" i="18"/>
  <c r="M17" i="18" s="1"/>
  <c r="U17" i="18"/>
  <c r="O17" i="18"/>
  <c r="K17" i="18"/>
  <c r="G17" i="18"/>
  <c r="V16" i="18"/>
  <c r="M16" i="18" s="1"/>
  <c r="AF16" i="18" s="1"/>
  <c r="U16" i="18"/>
  <c r="O16" i="18"/>
  <c r="K16" i="18"/>
  <c r="G16" i="18"/>
  <c r="V15" i="18"/>
  <c r="M15" i="18" s="1"/>
  <c r="U15" i="18"/>
  <c r="O15" i="18"/>
  <c r="K15" i="18"/>
  <c r="G15" i="18"/>
  <c r="AE14" i="18"/>
  <c r="V14" i="18"/>
  <c r="O14" i="18"/>
  <c r="M14" i="18"/>
  <c r="AF14" i="18" s="1"/>
  <c r="K14" i="18"/>
  <c r="G14" i="18"/>
  <c r="AD13" i="18"/>
  <c r="Z13" i="18"/>
  <c r="Y13" i="18"/>
  <c r="Y2" i="18" s="1"/>
  <c r="K6" i="17" s="1"/>
  <c r="O13" i="18"/>
  <c r="K13" i="18"/>
  <c r="V12" i="18"/>
  <c r="M12" i="18" s="1"/>
  <c r="AF12" i="18" s="1"/>
  <c r="U12" i="18"/>
  <c r="O12" i="18"/>
  <c r="K12" i="18"/>
  <c r="G12" i="18"/>
  <c r="V11" i="18"/>
  <c r="O11" i="18"/>
  <c r="M11" i="18"/>
  <c r="AF11" i="18" s="1"/>
  <c r="K11" i="18"/>
  <c r="G11" i="18"/>
  <c r="AD10" i="18"/>
  <c r="Z10" i="18"/>
  <c r="Y10" i="18"/>
  <c r="O10" i="18"/>
  <c r="K10" i="18"/>
  <c r="V9" i="18"/>
  <c r="U9" i="18"/>
  <c r="O9" i="18"/>
  <c r="M9" i="18"/>
  <c r="AE9" i="18" s="1"/>
  <c r="K9" i="18"/>
  <c r="G9" i="18"/>
  <c r="V8" i="18"/>
  <c r="M8" i="18" s="1"/>
  <c r="U8" i="18"/>
  <c r="O8" i="18"/>
  <c r="K8" i="18"/>
  <c r="G8" i="18"/>
  <c r="V7" i="18"/>
  <c r="M7" i="18" s="1"/>
  <c r="U7" i="18"/>
  <c r="O7" i="18"/>
  <c r="K7" i="18"/>
  <c r="G7" i="18"/>
  <c r="V6" i="18"/>
  <c r="M6" i="18" s="1"/>
  <c r="U6" i="18"/>
  <c r="O6" i="18"/>
  <c r="K6" i="18"/>
  <c r="G6" i="18"/>
  <c r="V5" i="18"/>
  <c r="M5" i="18" s="1"/>
  <c r="O5" i="18"/>
  <c r="K5" i="18"/>
  <c r="G5" i="18"/>
  <c r="AC2" i="18"/>
  <c r="H2" i="18"/>
  <c r="H1" i="18"/>
  <c r="D1" i="18"/>
  <c r="M22" i="17"/>
  <c r="L22" i="17"/>
  <c r="K22" i="17"/>
  <c r="J22" i="17"/>
  <c r="I22" i="17"/>
  <c r="H22" i="17"/>
  <c r="G22" i="17"/>
  <c r="F22" i="17"/>
  <c r="E22" i="17"/>
  <c r="D22" i="17"/>
  <c r="M21" i="17"/>
  <c r="L21" i="17"/>
  <c r="K21" i="17"/>
  <c r="J21" i="17"/>
  <c r="I21" i="17"/>
  <c r="H21" i="17"/>
  <c r="G21" i="17"/>
  <c r="E21" i="17"/>
  <c r="D21" i="17"/>
  <c r="M20" i="17"/>
  <c r="L20" i="17"/>
  <c r="K20" i="17"/>
  <c r="J20" i="17"/>
  <c r="I20" i="17"/>
  <c r="H20" i="17"/>
  <c r="G20" i="17"/>
  <c r="F20" i="17"/>
  <c r="E20" i="17"/>
  <c r="D20" i="17"/>
  <c r="M19" i="17"/>
  <c r="L19" i="17"/>
  <c r="K19" i="17"/>
  <c r="J19" i="17"/>
  <c r="I19" i="17"/>
  <c r="H19" i="17"/>
  <c r="G19" i="17"/>
  <c r="F19" i="17"/>
  <c r="E19" i="17"/>
  <c r="D19" i="17"/>
  <c r="M18" i="17"/>
  <c r="L18" i="17"/>
  <c r="K18" i="17"/>
  <c r="J18" i="17"/>
  <c r="I18" i="17"/>
  <c r="H18" i="17"/>
  <c r="G18" i="17"/>
  <c r="F18" i="17"/>
  <c r="E18" i="17"/>
  <c r="D18" i="17"/>
  <c r="M17" i="17"/>
  <c r="L17" i="17"/>
  <c r="K17" i="17"/>
  <c r="J17" i="17"/>
  <c r="I17" i="17"/>
  <c r="H17" i="17"/>
  <c r="G17" i="17"/>
  <c r="F17" i="17"/>
  <c r="E17" i="17"/>
  <c r="D17" i="17"/>
  <c r="M16" i="17"/>
  <c r="L16" i="17"/>
  <c r="K16" i="17"/>
  <c r="J16" i="17"/>
  <c r="I16" i="17"/>
  <c r="H16" i="17"/>
  <c r="G16" i="17"/>
  <c r="F16" i="17"/>
  <c r="E16" i="17"/>
  <c r="D16" i="17"/>
  <c r="M13" i="17"/>
  <c r="L13" i="17"/>
  <c r="K13" i="17"/>
  <c r="I6" i="17" s="1"/>
  <c r="J13" i="17"/>
  <c r="I13" i="17"/>
  <c r="H13" i="17"/>
  <c r="F6" i="17" s="1"/>
  <c r="G13" i="17"/>
  <c r="F13" i="17"/>
  <c r="E13" i="17"/>
  <c r="D13" i="17"/>
  <c r="M6" i="17"/>
  <c r="F3" i="17"/>
  <c r="C3" i="17"/>
  <c r="AF15" i="18" l="1"/>
  <c r="AE15" i="18"/>
  <c r="N15" i="18"/>
  <c r="Q15" i="18" s="1"/>
  <c r="AE54" i="18"/>
  <c r="N54" i="18"/>
  <c r="N53" i="18"/>
  <c r="AF53" i="18"/>
  <c r="AF58" i="18"/>
  <c r="N58" i="18"/>
  <c r="Q58" i="18" s="1"/>
  <c r="N46" i="18"/>
  <c r="P46" i="18" s="1"/>
  <c r="AF46" i="18"/>
  <c r="AE46" i="18"/>
  <c r="AF17" i="18"/>
  <c r="N17" i="18"/>
  <c r="N60" i="18"/>
  <c r="Q60" i="18" s="1"/>
  <c r="N68" i="18"/>
  <c r="Q68" i="18" s="1"/>
  <c r="N71" i="18"/>
  <c r="Q71" i="18" s="1"/>
  <c r="N52" i="18"/>
  <c r="Q52" i="18" s="1"/>
  <c r="AE71" i="18"/>
  <c r="AE52" i="18"/>
  <c r="P55" i="18"/>
  <c r="AE68" i="18"/>
  <c r="Z2" i="18"/>
  <c r="L6" i="17" s="1"/>
  <c r="F1" i="18"/>
  <c r="AD2" i="18"/>
  <c r="N6" i="17" s="1"/>
  <c r="AF72" i="18"/>
  <c r="N51" i="18"/>
  <c r="Q51" i="18" s="1"/>
  <c r="AF30" i="18"/>
  <c r="AE51" i="18"/>
  <c r="N14" i="18"/>
  <c r="Q14" i="18" s="1"/>
  <c r="N63" i="18"/>
  <c r="AF63" i="18"/>
  <c r="AE63" i="18"/>
  <c r="AF32" i="18"/>
  <c r="AE32" i="18"/>
  <c r="N32" i="18"/>
  <c r="Q30" i="18"/>
  <c r="P30" i="18"/>
  <c r="N5" i="18"/>
  <c r="AF5" i="18"/>
  <c r="M10" i="18"/>
  <c r="AE5" i="18"/>
  <c r="N26" i="18"/>
  <c r="AF26" i="18"/>
  <c r="AE26" i="18"/>
  <c r="AF34" i="18"/>
  <c r="AE34" i="18"/>
  <c r="N34" i="18"/>
  <c r="N45" i="18"/>
  <c r="AF45" i="18"/>
  <c r="AE45" i="18"/>
  <c r="N66" i="18"/>
  <c r="AF66" i="18"/>
  <c r="AE66" i="18"/>
  <c r="N23" i="18"/>
  <c r="AF23" i="18"/>
  <c r="AE23" i="18"/>
  <c r="N7" i="18"/>
  <c r="AF7" i="18"/>
  <c r="AE7" i="18"/>
  <c r="AF40" i="18"/>
  <c r="AE40" i="18"/>
  <c r="N40" i="18"/>
  <c r="N19" i="18"/>
  <c r="AF19" i="18"/>
  <c r="AE19" i="18"/>
  <c r="N47" i="18"/>
  <c r="AF47" i="18"/>
  <c r="AE47" i="18"/>
  <c r="N49" i="18"/>
  <c r="AF49" i="18"/>
  <c r="AE49" i="18"/>
  <c r="N70" i="18"/>
  <c r="AF70" i="18"/>
  <c r="AE70" i="18"/>
  <c r="M61" i="18"/>
  <c r="N24" i="18"/>
  <c r="AF24" i="18"/>
  <c r="AE24" i="18"/>
  <c r="AF43" i="18"/>
  <c r="AE43" i="18"/>
  <c r="N43" i="18"/>
  <c r="Q53" i="18"/>
  <c r="P53" i="18"/>
  <c r="N64" i="18"/>
  <c r="AF64" i="18"/>
  <c r="AE64" i="18"/>
  <c r="N62" i="18"/>
  <c r="AF62" i="18"/>
  <c r="M67" i="18"/>
  <c r="AE62" i="18"/>
  <c r="Q20" i="18"/>
  <c r="P20" i="18"/>
  <c r="N6" i="18"/>
  <c r="AF6" i="18"/>
  <c r="AE6" i="18"/>
  <c r="AF37" i="18"/>
  <c r="AE37" i="18"/>
  <c r="N37" i="18"/>
  <c r="N8" i="18"/>
  <c r="AF8" i="18"/>
  <c r="AE8" i="18"/>
  <c r="AE31" i="18"/>
  <c r="N31" i="18"/>
  <c r="AF31" i="18"/>
  <c r="N48" i="18"/>
  <c r="AF48" i="18"/>
  <c r="AE48" i="18"/>
  <c r="N22" i="18"/>
  <c r="M28" i="18"/>
  <c r="AF22" i="18"/>
  <c r="AE22" i="18"/>
  <c r="N25" i="18"/>
  <c r="AF25" i="18"/>
  <c r="AE25" i="18"/>
  <c r="N42" i="18"/>
  <c r="AF42" i="18"/>
  <c r="AE42" i="18"/>
  <c r="M50" i="18"/>
  <c r="AF44" i="18"/>
  <c r="AE44" i="18"/>
  <c r="N44" i="18"/>
  <c r="N65" i="18"/>
  <c r="AF65" i="18"/>
  <c r="AE65" i="18"/>
  <c r="F2" i="18"/>
  <c r="I3" i="17"/>
  <c r="Q18" i="18"/>
  <c r="P18" i="18"/>
  <c r="Q46" i="18"/>
  <c r="N29" i="18"/>
  <c r="M35" i="18"/>
  <c r="AF29" i="18"/>
  <c r="AE29" i="18"/>
  <c r="N27" i="18"/>
  <c r="AF27" i="18"/>
  <c r="AE27" i="18"/>
  <c r="N69" i="18"/>
  <c r="AF69" i="18"/>
  <c r="M73" i="18"/>
  <c r="AE69" i="18"/>
  <c r="AF59" i="18"/>
  <c r="AE59" i="18"/>
  <c r="N59" i="18"/>
  <c r="AF9" i="18"/>
  <c r="M13" i="18"/>
  <c r="N16" i="18"/>
  <c r="AE30" i="18"/>
  <c r="AF33" i="18"/>
  <c r="AE53" i="18"/>
  <c r="AF54" i="18"/>
  <c r="N36" i="18"/>
  <c r="N39" i="18"/>
  <c r="N57" i="18"/>
  <c r="N11" i="18"/>
  <c r="N12" i="18"/>
  <c r="P15" i="18"/>
  <c r="N33" i="18"/>
  <c r="N38" i="18"/>
  <c r="N56" i="18"/>
  <c r="AE18" i="18"/>
  <c r="AE20" i="18"/>
  <c r="G6" i="17"/>
  <c r="N9" i="18"/>
  <c r="AE17" i="18"/>
  <c r="AF18" i="18"/>
  <c r="AF20" i="18"/>
  <c r="N72" i="18"/>
  <c r="E6" i="17"/>
  <c r="AE16" i="18"/>
  <c r="M21" i="18"/>
  <c r="AE58" i="18"/>
  <c r="AE60" i="18"/>
  <c r="AE39" i="18"/>
  <c r="AE57" i="18"/>
  <c r="P68" i="18"/>
  <c r="AE11" i="18"/>
  <c r="AE12" i="18"/>
  <c r="AE38" i="18"/>
  <c r="P51" i="18"/>
  <c r="AE56" i="18"/>
  <c r="AE36" i="18"/>
  <c r="M41" i="18"/>
  <c r="AE55" i="18"/>
  <c r="AD77" i="16"/>
  <c r="AC77" i="16"/>
  <c r="Z77" i="16"/>
  <c r="Y77" i="16"/>
  <c r="O77" i="16"/>
  <c r="K77" i="16"/>
  <c r="V76" i="16"/>
  <c r="M76" i="16" s="1"/>
  <c r="AF76" i="16" s="1"/>
  <c r="U76" i="16"/>
  <c r="O76" i="16"/>
  <c r="K76" i="16"/>
  <c r="G76" i="16"/>
  <c r="X75" i="16"/>
  <c r="W75" i="16"/>
  <c r="V75" i="16"/>
  <c r="M75" i="16" s="1"/>
  <c r="U75" i="16"/>
  <c r="O75" i="16"/>
  <c r="K75" i="16"/>
  <c r="G75" i="16"/>
  <c r="V74" i="16"/>
  <c r="M74" i="16" s="1"/>
  <c r="AF74" i="16" s="1"/>
  <c r="U74" i="16"/>
  <c r="O74" i="16"/>
  <c r="K74" i="16"/>
  <c r="G74" i="16"/>
  <c r="V73" i="16"/>
  <c r="U73" i="16"/>
  <c r="O73" i="16"/>
  <c r="M73" i="16"/>
  <c r="AE73" i="16" s="1"/>
  <c r="K73" i="16"/>
  <c r="G73" i="16"/>
  <c r="V72" i="16"/>
  <c r="M72" i="16" s="1"/>
  <c r="U72" i="16"/>
  <c r="O72" i="16"/>
  <c r="K72" i="16"/>
  <c r="G72" i="16"/>
  <c r="X71" i="16"/>
  <c r="W71" i="16"/>
  <c r="V71" i="16"/>
  <c r="O71" i="16"/>
  <c r="M71" i="16"/>
  <c r="N71" i="16" s="1"/>
  <c r="K71" i="16"/>
  <c r="G71" i="16"/>
  <c r="AD70" i="16"/>
  <c r="AC70" i="16"/>
  <c r="Z70" i="16"/>
  <c r="Y70" i="16"/>
  <c r="O70" i="16"/>
  <c r="K70" i="16"/>
  <c r="V69" i="16"/>
  <c r="U69" i="16"/>
  <c r="O69" i="16"/>
  <c r="M69" i="16"/>
  <c r="AE69" i="16" s="1"/>
  <c r="K69" i="16"/>
  <c r="G69" i="16"/>
  <c r="V68" i="16"/>
  <c r="M68" i="16" s="1"/>
  <c r="U68" i="16"/>
  <c r="O68" i="16"/>
  <c r="K68" i="16"/>
  <c r="G68" i="16"/>
  <c r="V67" i="16"/>
  <c r="M67" i="16" s="1"/>
  <c r="U67" i="16"/>
  <c r="O67" i="16"/>
  <c r="K67" i="16"/>
  <c r="G67" i="16"/>
  <c r="V66" i="16"/>
  <c r="M66" i="16" s="1"/>
  <c r="U66" i="16"/>
  <c r="O66" i="16"/>
  <c r="K66" i="16"/>
  <c r="G66" i="16"/>
  <c r="V65" i="16"/>
  <c r="M65" i="16" s="1"/>
  <c r="O65" i="16"/>
  <c r="K65" i="16"/>
  <c r="G65" i="16"/>
  <c r="AD64" i="16"/>
  <c r="AC64" i="16"/>
  <c r="I20" i="15" s="1"/>
  <c r="Z64" i="16"/>
  <c r="Y64" i="16"/>
  <c r="O64" i="16"/>
  <c r="K64" i="16"/>
  <c r="V63" i="16"/>
  <c r="M63" i="16" s="1"/>
  <c r="U63" i="16"/>
  <c r="O63" i="16"/>
  <c r="K63" i="16"/>
  <c r="G63" i="16"/>
  <c r="X62" i="16"/>
  <c r="W62" i="16"/>
  <c r="V62" i="16"/>
  <c r="M62" i="16" s="1"/>
  <c r="U62" i="16"/>
  <c r="O62" i="16"/>
  <c r="K62" i="16"/>
  <c r="G62" i="16"/>
  <c r="V61" i="16"/>
  <c r="M61" i="16" s="1"/>
  <c r="U61" i="16"/>
  <c r="O61" i="16"/>
  <c r="K61" i="16"/>
  <c r="G61" i="16"/>
  <c r="V60" i="16"/>
  <c r="M60" i="16" s="1"/>
  <c r="U60" i="16"/>
  <c r="O60" i="16"/>
  <c r="K60" i="16"/>
  <c r="G60" i="16"/>
  <c r="V59" i="16"/>
  <c r="M59" i="16" s="1"/>
  <c r="N59" i="16" s="1"/>
  <c r="U59" i="16"/>
  <c r="O59" i="16"/>
  <c r="K59" i="16"/>
  <c r="G59" i="16"/>
  <c r="V58" i="16"/>
  <c r="M58" i="16" s="1"/>
  <c r="U58" i="16"/>
  <c r="O58" i="16"/>
  <c r="K58" i="16"/>
  <c r="G58" i="16"/>
  <c r="V57" i="16"/>
  <c r="U57" i="16"/>
  <c r="O57" i="16"/>
  <c r="M57" i="16"/>
  <c r="AF57" i="16" s="1"/>
  <c r="K57" i="16"/>
  <c r="G57" i="16"/>
  <c r="V56" i="16"/>
  <c r="U56" i="16"/>
  <c r="O56" i="16"/>
  <c r="M56" i="16"/>
  <c r="AF56" i="16" s="1"/>
  <c r="K56" i="16"/>
  <c r="G56" i="16"/>
  <c r="V55" i="16"/>
  <c r="M55" i="16" s="1"/>
  <c r="U55" i="16"/>
  <c r="O55" i="16"/>
  <c r="K55" i="16"/>
  <c r="G55" i="16"/>
  <c r="AF54" i="16"/>
  <c r="V54" i="16"/>
  <c r="O54" i="16"/>
  <c r="M54" i="16"/>
  <c r="AE54" i="16" s="1"/>
  <c r="K54" i="16"/>
  <c r="G54" i="16"/>
  <c r="AD53" i="16"/>
  <c r="AC53" i="16"/>
  <c r="Z53" i="16"/>
  <c r="Y53" i="16"/>
  <c r="O53" i="16"/>
  <c r="K53" i="16"/>
  <c r="V52" i="16"/>
  <c r="U52" i="16"/>
  <c r="O52" i="16"/>
  <c r="M52" i="16"/>
  <c r="AF52" i="16" s="1"/>
  <c r="K52" i="16"/>
  <c r="G52" i="16"/>
  <c r="V51" i="16"/>
  <c r="M51" i="16" s="1"/>
  <c r="U51" i="16"/>
  <c r="O51" i="16"/>
  <c r="K51" i="16"/>
  <c r="G51" i="16"/>
  <c r="X50" i="16"/>
  <c r="W50" i="16"/>
  <c r="V50" i="16"/>
  <c r="M50" i="16" s="1"/>
  <c r="N50" i="16" s="1"/>
  <c r="U50" i="16"/>
  <c r="O50" i="16"/>
  <c r="K50" i="16"/>
  <c r="G50" i="16"/>
  <c r="V49" i="16"/>
  <c r="M49" i="16" s="1"/>
  <c r="U49" i="16"/>
  <c r="O49" i="16"/>
  <c r="K49" i="16"/>
  <c r="G49" i="16"/>
  <c r="V48" i="16"/>
  <c r="U48" i="16"/>
  <c r="O48" i="16"/>
  <c r="M48" i="16"/>
  <c r="N48" i="16" s="1"/>
  <c r="K48" i="16"/>
  <c r="G48" i="16"/>
  <c r="V47" i="16"/>
  <c r="M47" i="16" s="1"/>
  <c r="U47" i="16"/>
  <c r="O47" i="16"/>
  <c r="K47" i="16"/>
  <c r="G47" i="16"/>
  <c r="V46" i="16"/>
  <c r="M46" i="16" s="1"/>
  <c r="U46" i="16"/>
  <c r="O46" i="16"/>
  <c r="K46" i="16"/>
  <c r="G46" i="16"/>
  <c r="V45" i="16"/>
  <c r="M45" i="16" s="1"/>
  <c r="U45" i="16"/>
  <c r="O45" i="16"/>
  <c r="K45" i="16"/>
  <c r="G45" i="16"/>
  <c r="X44" i="16"/>
  <c r="W44" i="16"/>
  <c r="V44" i="16"/>
  <c r="M44" i="16" s="1"/>
  <c r="O44" i="16"/>
  <c r="K44" i="16"/>
  <c r="G44" i="16"/>
  <c r="AD43" i="16"/>
  <c r="L21" i="15" s="1"/>
  <c r="AC43" i="16"/>
  <c r="Z43" i="16"/>
  <c r="Y43" i="16"/>
  <c r="O43" i="16"/>
  <c r="K43" i="16"/>
  <c r="V42" i="16"/>
  <c r="M42" i="16" s="1"/>
  <c r="U42" i="16"/>
  <c r="O42" i="16"/>
  <c r="K42" i="16"/>
  <c r="G42" i="16"/>
  <c r="X41" i="16"/>
  <c r="W41" i="16"/>
  <c r="V41" i="16"/>
  <c r="M41" i="16" s="1"/>
  <c r="U41" i="16"/>
  <c r="O41" i="16"/>
  <c r="K41" i="16"/>
  <c r="G41" i="16"/>
  <c r="V40" i="16"/>
  <c r="M40" i="16" s="1"/>
  <c r="U40" i="16"/>
  <c r="O40" i="16"/>
  <c r="K40" i="16"/>
  <c r="G40" i="16"/>
  <c r="V39" i="16"/>
  <c r="M39" i="16" s="1"/>
  <c r="U39" i="16"/>
  <c r="O39" i="16"/>
  <c r="K39" i="16"/>
  <c r="G39" i="16"/>
  <c r="V38" i="16"/>
  <c r="M38" i="16" s="1"/>
  <c r="U38" i="16"/>
  <c r="O38" i="16"/>
  <c r="K38" i="16"/>
  <c r="G38" i="16"/>
  <c r="X37" i="16"/>
  <c r="W37" i="16"/>
  <c r="V37" i="16"/>
  <c r="M37" i="16" s="1"/>
  <c r="O37" i="16"/>
  <c r="K37" i="16"/>
  <c r="G37" i="16"/>
  <c r="AD36" i="16"/>
  <c r="AC36" i="16"/>
  <c r="Z36" i="16"/>
  <c r="Y36" i="16"/>
  <c r="O36" i="16"/>
  <c r="K36" i="16"/>
  <c r="V35" i="16"/>
  <c r="M35" i="16" s="1"/>
  <c r="U35" i="16"/>
  <c r="O35" i="16"/>
  <c r="K35" i="16"/>
  <c r="G35" i="16"/>
  <c r="X34" i="16"/>
  <c r="W34" i="16"/>
  <c r="V34" i="16"/>
  <c r="M34" i="16" s="1"/>
  <c r="U34" i="16"/>
  <c r="O34" i="16"/>
  <c r="K34" i="16"/>
  <c r="G34" i="16"/>
  <c r="V33" i="16"/>
  <c r="M33" i="16" s="1"/>
  <c r="U33" i="16"/>
  <c r="O33" i="16"/>
  <c r="K33" i="16"/>
  <c r="G33" i="16"/>
  <c r="V32" i="16"/>
  <c r="M32" i="16" s="1"/>
  <c r="U32" i="16"/>
  <c r="O32" i="16"/>
  <c r="K32" i="16"/>
  <c r="G32" i="16"/>
  <c r="V31" i="16"/>
  <c r="U31" i="16"/>
  <c r="O31" i="16"/>
  <c r="M31" i="16"/>
  <c r="N31" i="16" s="1"/>
  <c r="K31" i="16"/>
  <c r="G31" i="16"/>
  <c r="X30" i="16"/>
  <c r="W30" i="16"/>
  <c r="V30" i="16"/>
  <c r="M30" i="16" s="1"/>
  <c r="O30" i="16"/>
  <c r="K30" i="16"/>
  <c r="G30" i="16"/>
  <c r="AD29" i="16"/>
  <c r="G21" i="15" s="1"/>
  <c r="AC29" i="16"/>
  <c r="G20" i="15" s="1"/>
  <c r="Z29" i="16"/>
  <c r="G19" i="15" s="1"/>
  <c r="Y29" i="16"/>
  <c r="O29" i="16"/>
  <c r="K29" i="16"/>
  <c r="V28" i="16"/>
  <c r="M28" i="16" s="1"/>
  <c r="U28" i="16"/>
  <c r="O28" i="16"/>
  <c r="K28" i="16"/>
  <c r="G28" i="16"/>
  <c r="X27" i="16"/>
  <c r="W27" i="16"/>
  <c r="V27" i="16"/>
  <c r="M27" i="16" s="1"/>
  <c r="U27" i="16"/>
  <c r="O27" i="16"/>
  <c r="K27" i="16"/>
  <c r="G27" i="16"/>
  <c r="V26" i="16"/>
  <c r="M26" i="16" s="1"/>
  <c r="U26" i="16"/>
  <c r="O26" i="16"/>
  <c r="K26" i="16"/>
  <c r="G26" i="16"/>
  <c r="V25" i="16"/>
  <c r="M25" i="16" s="1"/>
  <c r="N25" i="16" s="1"/>
  <c r="U25" i="16"/>
  <c r="O25" i="16"/>
  <c r="K25" i="16"/>
  <c r="G25" i="16"/>
  <c r="V24" i="16"/>
  <c r="M24" i="16" s="1"/>
  <c r="U24" i="16"/>
  <c r="O24" i="16"/>
  <c r="K24" i="16"/>
  <c r="G24" i="16"/>
  <c r="V23" i="16"/>
  <c r="M23" i="16" s="1"/>
  <c r="O23" i="16"/>
  <c r="K23" i="16"/>
  <c r="G23" i="16"/>
  <c r="AD22" i="16"/>
  <c r="AC22" i="16"/>
  <c r="Z22" i="16"/>
  <c r="Z2" i="16" s="1"/>
  <c r="L6" i="15" s="1"/>
  <c r="Y22" i="16"/>
  <c r="F18" i="15" s="1"/>
  <c r="O22" i="16"/>
  <c r="K22" i="16"/>
  <c r="V21" i="16"/>
  <c r="M21" i="16" s="1"/>
  <c r="U21" i="16"/>
  <c r="O21" i="16"/>
  <c r="K21" i="16"/>
  <c r="G21" i="16"/>
  <c r="X20" i="16"/>
  <c r="W20" i="16"/>
  <c r="V20" i="16"/>
  <c r="M20" i="16" s="1"/>
  <c r="U20" i="16"/>
  <c r="O20" i="16"/>
  <c r="K20" i="16"/>
  <c r="G20" i="16"/>
  <c r="V19" i="16"/>
  <c r="M19" i="16" s="1"/>
  <c r="U19" i="16"/>
  <c r="O19" i="16"/>
  <c r="K19" i="16"/>
  <c r="G19" i="16"/>
  <c r="V18" i="16"/>
  <c r="M18" i="16" s="1"/>
  <c r="AF18" i="16" s="1"/>
  <c r="U18" i="16"/>
  <c r="O18" i="16"/>
  <c r="K18" i="16"/>
  <c r="G18" i="16"/>
  <c r="V17" i="16"/>
  <c r="M17" i="16" s="1"/>
  <c r="U17" i="16"/>
  <c r="O17" i="16"/>
  <c r="K17" i="16"/>
  <c r="G17" i="16"/>
  <c r="V16" i="16"/>
  <c r="U16" i="16"/>
  <c r="O16" i="16"/>
  <c r="M16" i="16"/>
  <c r="AF16" i="16" s="1"/>
  <c r="K16" i="16"/>
  <c r="G16" i="16"/>
  <c r="V15" i="16"/>
  <c r="M15" i="16" s="1"/>
  <c r="AF15" i="16" s="1"/>
  <c r="O15" i="16"/>
  <c r="K15" i="16"/>
  <c r="G15" i="16"/>
  <c r="AD14" i="16"/>
  <c r="AC14" i="16"/>
  <c r="Z14" i="16"/>
  <c r="Y14" i="16"/>
  <c r="O14" i="16"/>
  <c r="K14" i="16"/>
  <c r="V13" i="16"/>
  <c r="M13" i="16" s="1"/>
  <c r="U13" i="16"/>
  <c r="O13" i="16"/>
  <c r="K13" i="16"/>
  <c r="G13" i="16"/>
  <c r="V12" i="16"/>
  <c r="M12" i="16" s="1"/>
  <c r="O12" i="16"/>
  <c r="K12" i="16"/>
  <c r="G12" i="16"/>
  <c r="AD11" i="16"/>
  <c r="D21" i="15" s="1"/>
  <c r="AC11" i="16"/>
  <c r="AC2" i="16" s="1"/>
  <c r="M6" i="15" s="1"/>
  <c r="Z11" i="16"/>
  <c r="Y11" i="16"/>
  <c r="O11" i="16"/>
  <c r="K11" i="16"/>
  <c r="V10" i="16"/>
  <c r="U10" i="16"/>
  <c r="O10" i="16"/>
  <c r="M10" i="16"/>
  <c r="N10" i="16" s="1"/>
  <c r="K10" i="16"/>
  <c r="G10" i="16"/>
  <c r="X9" i="16"/>
  <c r="W9" i="16"/>
  <c r="V9" i="16"/>
  <c r="M9" i="16" s="1"/>
  <c r="U9" i="16"/>
  <c r="O9" i="16"/>
  <c r="K9" i="16"/>
  <c r="G9" i="16"/>
  <c r="V8" i="16"/>
  <c r="M8" i="16" s="1"/>
  <c r="U8" i="16"/>
  <c r="O8" i="16"/>
  <c r="K8" i="16"/>
  <c r="G8" i="16"/>
  <c r="V7" i="16"/>
  <c r="M7" i="16" s="1"/>
  <c r="U7" i="16"/>
  <c r="O7" i="16"/>
  <c r="K7" i="16"/>
  <c r="G7" i="16"/>
  <c r="V6" i="16"/>
  <c r="M6" i="16" s="1"/>
  <c r="U6" i="16"/>
  <c r="O6" i="16"/>
  <c r="K6" i="16"/>
  <c r="G6" i="16"/>
  <c r="V5" i="16"/>
  <c r="M5" i="16" s="1"/>
  <c r="O5" i="16"/>
  <c r="K5" i="16"/>
  <c r="G5" i="16"/>
  <c r="H2" i="16"/>
  <c r="H1" i="16"/>
  <c r="D1" i="16"/>
  <c r="M22" i="15"/>
  <c r="L22" i="15"/>
  <c r="K22" i="15"/>
  <c r="J22" i="15"/>
  <c r="I22" i="15"/>
  <c r="H22" i="15"/>
  <c r="G22" i="15"/>
  <c r="F22" i="15"/>
  <c r="E22" i="15"/>
  <c r="D22" i="15"/>
  <c r="M21" i="15"/>
  <c r="K21" i="15"/>
  <c r="J21" i="15"/>
  <c r="I21" i="15"/>
  <c r="H21" i="15"/>
  <c r="F21" i="15"/>
  <c r="E21" i="15"/>
  <c r="M20" i="15"/>
  <c r="L20" i="15"/>
  <c r="K20" i="15"/>
  <c r="J20" i="15"/>
  <c r="H20" i="15"/>
  <c r="F20" i="15"/>
  <c r="E20" i="15"/>
  <c r="D20" i="15"/>
  <c r="M19" i="15"/>
  <c r="L19" i="15"/>
  <c r="K19" i="15"/>
  <c r="J19" i="15"/>
  <c r="I19" i="15"/>
  <c r="H19" i="15"/>
  <c r="E19" i="15"/>
  <c r="D19" i="15"/>
  <c r="M18" i="15"/>
  <c r="L18" i="15"/>
  <c r="K18" i="15"/>
  <c r="J18" i="15"/>
  <c r="I18" i="15"/>
  <c r="H18" i="15"/>
  <c r="G18" i="15"/>
  <c r="E18" i="15"/>
  <c r="D18" i="15"/>
  <c r="M17" i="15"/>
  <c r="L17" i="15"/>
  <c r="K17" i="15"/>
  <c r="J17" i="15"/>
  <c r="I17" i="15"/>
  <c r="H17" i="15"/>
  <c r="G17" i="15"/>
  <c r="F17" i="15"/>
  <c r="E17" i="15"/>
  <c r="D17" i="15"/>
  <c r="M16" i="15"/>
  <c r="L16" i="15"/>
  <c r="K16" i="15"/>
  <c r="J16" i="15"/>
  <c r="I16" i="15"/>
  <c r="H16" i="15"/>
  <c r="G16" i="15"/>
  <c r="F16" i="15"/>
  <c r="E16" i="15"/>
  <c r="D16" i="15"/>
  <c r="M13" i="15"/>
  <c r="L13" i="15"/>
  <c r="K13" i="15"/>
  <c r="I6" i="15" s="1"/>
  <c r="J13" i="15"/>
  <c r="I13" i="15"/>
  <c r="H13" i="15"/>
  <c r="G13" i="15"/>
  <c r="F13" i="15"/>
  <c r="E13" i="15"/>
  <c r="D13" i="15"/>
  <c r="F3" i="15"/>
  <c r="C3" i="15"/>
  <c r="AC2" i="6"/>
  <c r="AC2" i="8"/>
  <c r="AC2" i="10"/>
  <c r="AC2" i="12"/>
  <c r="AC2" i="14"/>
  <c r="AE17" i="16" l="1"/>
  <c r="AF17" i="16"/>
  <c r="N17" i="16"/>
  <c r="Q17" i="16" s="1"/>
  <c r="AF68" i="16"/>
  <c r="AE68" i="16"/>
  <c r="N68" i="16"/>
  <c r="Q68" i="16" s="1"/>
  <c r="AE75" i="16"/>
  <c r="AF75" i="16"/>
  <c r="N75" i="16"/>
  <c r="Q75" i="16" s="1"/>
  <c r="AF72" i="16"/>
  <c r="AE72" i="16"/>
  <c r="N72" i="16"/>
  <c r="Q72" i="16" s="1"/>
  <c r="AF7" i="16"/>
  <c r="AE7" i="16"/>
  <c r="N7" i="16"/>
  <c r="N8" i="16"/>
  <c r="P8" i="16" s="1"/>
  <c r="AF8" i="16"/>
  <c r="AE55" i="16"/>
  <c r="AF55" i="16"/>
  <c r="N55" i="16"/>
  <c r="Q55" i="16" s="1"/>
  <c r="N57" i="16"/>
  <c r="P14" i="18"/>
  <c r="AF48" i="16"/>
  <c r="AF71" i="16"/>
  <c r="Q17" i="18"/>
  <c r="P17" i="18"/>
  <c r="AF10" i="16"/>
  <c r="F6" i="15"/>
  <c r="F1" i="16"/>
  <c r="AD2" i="16"/>
  <c r="N6" i="15" s="1"/>
  <c r="F19" i="15"/>
  <c r="P52" i="18"/>
  <c r="Q54" i="18"/>
  <c r="P54" i="18"/>
  <c r="P60" i="18"/>
  <c r="P58" i="18"/>
  <c r="N54" i="16"/>
  <c r="Q54" i="16" s="1"/>
  <c r="P71" i="18"/>
  <c r="Q56" i="18"/>
  <c r="P56" i="18"/>
  <c r="N67" i="18"/>
  <c r="AF67" i="18"/>
  <c r="AG62" i="18" s="1"/>
  <c r="AE67" i="18"/>
  <c r="AF10" i="18"/>
  <c r="AG5" i="18" s="1"/>
  <c r="AE10" i="18"/>
  <c r="N10" i="18"/>
  <c r="Q72" i="18"/>
  <c r="P72" i="18"/>
  <c r="Q33" i="18"/>
  <c r="P33" i="18"/>
  <c r="Q16" i="18"/>
  <c r="P16" i="18"/>
  <c r="Q27" i="18"/>
  <c r="P27" i="18"/>
  <c r="Q8" i="18"/>
  <c r="P8" i="18"/>
  <c r="Q62" i="18"/>
  <c r="P62" i="18"/>
  <c r="N61" i="18"/>
  <c r="AF61" i="18"/>
  <c r="AG51" i="18" s="1"/>
  <c r="AE61" i="18"/>
  <c r="P19" i="18"/>
  <c r="Q19" i="18"/>
  <c r="Q66" i="18"/>
  <c r="P66" i="18"/>
  <c r="AF13" i="18"/>
  <c r="AG11" i="18" s="1"/>
  <c r="AE13" i="18"/>
  <c r="N13" i="18"/>
  <c r="P65" i="18"/>
  <c r="Q65" i="18"/>
  <c r="Q37" i="18"/>
  <c r="P37" i="18"/>
  <c r="Q40" i="18"/>
  <c r="P40" i="18"/>
  <c r="Q5" i="18"/>
  <c r="P5" i="18"/>
  <c r="Q44" i="18"/>
  <c r="P44" i="18"/>
  <c r="AE28" i="18"/>
  <c r="N28" i="18"/>
  <c r="AF28" i="18"/>
  <c r="AG22" i="18" s="1"/>
  <c r="Q12" i="18"/>
  <c r="P12" i="18"/>
  <c r="Q59" i="18"/>
  <c r="P59" i="18"/>
  <c r="AF35" i="18"/>
  <c r="AG29" i="18" s="1"/>
  <c r="AE35" i="18"/>
  <c r="N35" i="18"/>
  <c r="Q22" i="18"/>
  <c r="P22" i="18"/>
  <c r="Q64" i="18"/>
  <c r="P64" i="18"/>
  <c r="Q70" i="18"/>
  <c r="P70" i="18"/>
  <c r="Q45" i="18"/>
  <c r="P45" i="18"/>
  <c r="Q25" i="18"/>
  <c r="P25" i="18"/>
  <c r="Q9" i="18"/>
  <c r="P9" i="18"/>
  <c r="Q11" i="18"/>
  <c r="P11" i="18"/>
  <c r="Q29" i="18"/>
  <c r="P29" i="18"/>
  <c r="Q34" i="18"/>
  <c r="P34" i="18"/>
  <c r="Q32" i="18"/>
  <c r="P32" i="18"/>
  <c r="Q57" i="18"/>
  <c r="P57" i="18"/>
  <c r="N50" i="18"/>
  <c r="AF50" i="18"/>
  <c r="AG42" i="18" s="1"/>
  <c r="AE50" i="18"/>
  <c r="Q24" i="18"/>
  <c r="P24" i="18"/>
  <c r="Q39" i="18"/>
  <c r="P39" i="18"/>
  <c r="Q48" i="18"/>
  <c r="P48" i="18"/>
  <c r="Q6" i="18"/>
  <c r="P6" i="18"/>
  <c r="Q43" i="18"/>
  <c r="P43" i="18"/>
  <c r="P49" i="18"/>
  <c r="Q49" i="18"/>
  <c r="Q7" i="18"/>
  <c r="P7" i="18"/>
  <c r="Q38" i="18"/>
  <c r="P38" i="18"/>
  <c r="N41" i="18"/>
  <c r="AF41" i="18"/>
  <c r="AG36" i="18" s="1"/>
  <c r="AE41" i="18"/>
  <c r="Q36" i="18"/>
  <c r="P36" i="18"/>
  <c r="AF73" i="18"/>
  <c r="AG68" i="18" s="1"/>
  <c r="AE73" i="18"/>
  <c r="N73" i="18"/>
  <c r="Q42" i="18"/>
  <c r="P42" i="18"/>
  <c r="Q31" i="18"/>
  <c r="P31" i="18"/>
  <c r="N21" i="18"/>
  <c r="AF21" i="18"/>
  <c r="AG14" i="18" s="1"/>
  <c r="AE21" i="18"/>
  <c r="Q69" i="18"/>
  <c r="P69" i="18"/>
  <c r="P47" i="18"/>
  <c r="Q47" i="18"/>
  <c r="Q23" i="18"/>
  <c r="P23" i="18"/>
  <c r="Q26" i="18"/>
  <c r="P26" i="18"/>
  <c r="Q63" i="18"/>
  <c r="P63" i="18"/>
  <c r="N62" i="16"/>
  <c r="AF62" i="16"/>
  <c r="AE62" i="16"/>
  <c r="N9" i="16"/>
  <c r="AF9" i="16"/>
  <c r="AE9" i="16"/>
  <c r="AE13" i="16"/>
  <c r="N13" i="16"/>
  <c r="AF13" i="16"/>
  <c r="AF19" i="16"/>
  <c r="AE19" i="16"/>
  <c r="N19" i="16"/>
  <c r="AF21" i="16"/>
  <c r="AE21" i="16"/>
  <c r="N21" i="16"/>
  <c r="N30" i="16"/>
  <c r="M36" i="16"/>
  <c r="AF30" i="16"/>
  <c r="AE30" i="16"/>
  <c r="N47" i="16"/>
  <c r="AF47" i="16"/>
  <c r="AE47" i="16"/>
  <c r="AE49" i="16"/>
  <c r="N49" i="16"/>
  <c r="AF49" i="16"/>
  <c r="N65" i="16"/>
  <c r="AF65" i="16"/>
  <c r="M70" i="16"/>
  <c r="AE65" i="16"/>
  <c r="AF24" i="16"/>
  <c r="AE24" i="16"/>
  <c r="N24" i="16"/>
  <c r="Q48" i="16"/>
  <c r="P48" i="16"/>
  <c r="Q50" i="16"/>
  <c r="P50" i="16"/>
  <c r="N61" i="16"/>
  <c r="AF61" i="16"/>
  <c r="AE61" i="16"/>
  <c r="N63" i="16"/>
  <c r="AF63" i="16"/>
  <c r="AE63" i="16"/>
  <c r="N32" i="16"/>
  <c r="AF32" i="16"/>
  <c r="AE32" i="16"/>
  <c r="Q8" i="16"/>
  <c r="N33" i="16"/>
  <c r="AF33" i="16"/>
  <c r="AE33" i="16"/>
  <c r="N35" i="16"/>
  <c r="AF35" i="16"/>
  <c r="AE35" i="16"/>
  <c r="N66" i="16"/>
  <c r="AF66" i="16"/>
  <c r="AE66" i="16"/>
  <c r="AE51" i="16"/>
  <c r="N51" i="16"/>
  <c r="AF51" i="16"/>
  <c r="N6" i="16"/>
  <c r="AF6" i="16"/>
  <c r="AE6" i="16"/>
  <c r="N26" i="16"/>
  <c r="AF26" i="16"/>
  <c r="AE26" i="16"/>
  <c r="N45" i="16"/>
  <c r="AF45" i="16"/>
  <c r="AE45" i="16"/>
  <c r="Q59" i="16"/>
  <c r="P59" i="16"/>
  <c r="N37" i="16"/>
  <c r="M43" i="16"/>
  <c r="AF37" i="16"/>
  <c r="AE37" i="16"/>
  <c r="N39" i="16"/>
  <c r="AF39" i="16"/>
  <c r="AE39" i="16"/>
  <c r="Q10" i="16"/>
  <c r="P10" i="16"/>
  <c r="AF20" i="16"/>
  <c r="AE20" i="16"/>
  <c r="N20" i="16"/>
  <c r="Q31" i="16"/>
  <c r="P31" i="16"/>
  <c r="F2" i="16"/>
  <c r="I3" i="15"/>
  <c r="Q25" i="16"/>
  <c r="P25" i="16"/>
  <c r="AE12" i="16"/>
  <c r="N12" i="16"/>
  <c r="M14" i="16"/>
  <c r="AF12" i="16"/>
  <c r="N27" i="16"/>
  <c r="AF27" i="16"/>
  <c r="AE27" i="16"/>
  <c r="N44" i="16"/>
  <c r="AF44" i="16"/>
  <c r="AE44" i="16"/>
  <c r="M53" i="16"/>
  <c r="N46" i="16"/>
  <c r="AF46" i="16"/>
  <c r="AE46" i="16"/>
  <c r="N41" i="16"/>
  <c r="AF41" i="16"/>
  <c r="AE41" i="16"/>
  <c r="N42" i="16"/>
  <c r="AF42" i="16"/>
  <c r="AE42" i="16"/>
  <c r="N28" i="16"/>
  <c r="AF28" i="16"/>
  <c r="AE28" i="16"/>
  <c r="N5" i="16"/>
  <c r="M11" i="16"/>
  <c r="AF5" i="16"/>
  <c r="AE5" i="16"/>
  <c r="N40" i="16"/>
  <c r="AF40" i="16"/>
  <c r="AE40" i="16"/>
  <c r="M29" i="16"/>
  <c r="AF23" i="16"/>
  <c r="AE23" i="16"/>
  <c r="N23" i="16"/>
  <c r="N60" i="16"/>
  <c r="AF60" i="16"/>
  <c r="AE60" i="16"/>
  <c r="N34" i="16"/>
  <c r="AF34" i="16"/>
  <c r="AE34" i="16"/>
  <c r="N38" i="16"/>
  <c r="AF38" i="16"/>
  <c r="AE38" i="16"/>
  <c r="AF58" i="16"/>
  <c r="AE58" i="16"/>
  <c r="N58" i="16"/>
  <c r="N67" i="16"/>
  <c r="AF67" i="16"/>
  <c r="AE67" i="16"/>
  <c r="Q71" i="16"/>
  <c r="P71" i="16"/>
  <c r="AE8" i="16"/>
  <c r="AE10" i="16"/>
  <c r="AE48" i="16"/>
  <c r="AE50" i="16"/>
  <c r="AF69" i="16"/>
  <c r="AE71" i="16"/>
  <c r="AF73" i="16"/>
  <c r="Y2" i="16"/>
  <c r="K6" i="15" s="1"/>
  <c r="AF50" i="16"/>
  <c r="M77" i="16"/>
  <c r="N18" i="16"/>
  <c r="N56" i="16"/>
  <c r="E6" i="15"/>
  <c r="G6" i="15"/>
  <c r="N15" i="16"/>
  <c r="N16" i="16"/>
  <c r="N52" i="16"/>
  <c r="N74" i="16"/>
  <c r="N76" i="16"/>
  <c r="P17" i="16"/>
  <c r="AE25" i="16"/>
  <c r="AE31" i="16"/>
  <c r="P54" i="16"/>
  <c r="P55" i="16"/>
  <c r="AE59" i="16"/>
  <c r="N69" i="16"/>
  <c r="N73" i="16"/>
  <c r="P75" i="16"/>
  <c r="AF25" i="16"/>
  <c r="AF31" i="16"/>
  <c r="AF59" i="16"/>
  <c r="M64" i="16"/>
  <c r="AE57" i="16"/>
  <c r="AE18" i="16"/>
  <c r="AE56" i="16"/>
  <c r="P68" i="16"/>
  <c r="AE15" i="16"/>
  <c r="AE16" i="16"/>
  <c r="M22" i="16"/>
  <c r="AE52" i="16"/>
  <c r="AE74" i="16"/>
  <c r="AE76" i="16"/>
  <c r="AD71" i="14"/>
  <c r="Z71" i="14"/>
  <c r="Y71" i="14"/>
  <c r="O71" i="14"/>
  <c r="K71" i="14"/>
  <c r="V70" i="14"/>
  <c r="M70" i="14" s="1"/>
  <c r="U70" i="14"/>
  <c r="O70" i="14"/>
  <c r="K70" i="14"/>
  <c r="V69" i="14"/>
  <c r="M69" i="14" s="1"/>
  <c r="N69" i="14" s="1"/>
  <c r="U69" i="14"/>
  <c r="O69" i="14"/>
  <c r="K69" i="14"/>
  <c r="V68" i="14"/>
  <c r="M68" i="14" s="1"/>
  <c r="N68" i="14" s="1"/>
  <c r="U68" i="14"/>
  <c r="O68" i="14"/>
  <c r="K68" i="14"/>
  <c r="V67" i="14"/>
  <c r="M67" i="14" s="1"/>
  <c r="U67" i="14"/>
  <c r="O67" i="14"/>
  <c r="K67" i="14"/>
  <c r="V66" i="14"/>
  <c r="M66" i="14" s="1"/>
  <c r="U66" i="14"/>
  <c r="O66" i="14"/>
  <c r="K66" i="14"/>
  <c r="X65" i="14"/>
  <c r="W65" i="14"/>
  <c r="V65" i="14"/>
  <c r="M65" i="14" s="1"/>
  <c r="O65" i="14"/>
  <c r="K65" i="14"/>
  <c r="AD64" i="14"/>
  <c r="Z64" i="14"/>
  <c r="Y64" i="14"/>
  <c r="O64" i="14"/>
  <c r="K64" i="14"/>
  <c r="V63" i="14"/>
  <c r="M63" i="14" s="1"/>
  <c r="N63" i="14" s="1"/>
  <c r="U63" i="14"/>
  <c r="O63" i="14"/>
  <c r="K63" i="14"/>
  <c r="V62" i="14"/>
  <c r="M62" i="14" s="1"/>
  <c r="U62" i="14"/>
  <c r="O62" i="14"/>
  <c r="K62" i="14"/>
  <c r="AE61" i="14"/>
  <c r="V61" i="14"/>
  <c r="M61" i="14" s="1"/>
  <c r="N61" i="14" s="1"/>
  <c r="U61" i="14"/>
  <c r="O61" i="14"/>
  <c r="K61" i="14"/>
  <c r="V60" i="14"/>
  <c r="M60" i="14" s="1"/>
  <c r="N60" i="14" s="1"/>
  <c r="U60" i="14"/>
  <c r="O60" i="14"/>
  <c r="K60" i="14"/>
  <c r="AE59" i="14"/>
  <c r="V59" i="14"/>
  <c r="M59" i="14" s="1"/>
  <c r="O59" i="14"/>
  <c r="K59" i="14"/>
  <c r="AD58" i="14"/>
  <c r="I21" i="13" s="1"/>
  <c r="Z58" i="14"/>
  <c r="I19" i="13" s="1"/>
  <c r="Y58" i="14"/>
  <c r="I18" i="13" s="1"/>
  <c r="O58" i="14"/>
  <c r="K58" i="14"/>
  <c r="AF57" i="14"/>
  <c r="V57" i="14"/>
  <c r="U57" i="14"/>
  <c r="O57" i="14"/>
  <c r="M57" i="14"/>
  <c r="N57" i="14" s="1"/>
  <c r="K57" i="14"/>
  <c r="V56" i="14"/>
  <c r="U56" i="14"/>
  <c r="O56" i="14"/>
  <c r="M56" i="14"/>
  <c r="N56" i="14" s="1"/>
  <c r="K56" i="14"/>
  <c r="V55" i="14"/>
  <c r="M55" i="14" s="1"/>
  <c r="U55" i="14"/>
  <c r="O55" i="14"/>
  <c r="K55" i="14"/>
  <c r="V54" i="14"/>
  <c r="M54" i="14" s="1"/>
  <c r="N54" i="14" s="1"/>
  <c r="U54" i="14"/>
  <c r="O54" i="14"/>
  <c r="K54" i="14"/>
  <c r="AF53" i="14"/>
  <c r="AE53" i="14"/>
  <c r="V53" i="14"/>
  <c r="M53" i="14" s="1"/>
  <c r="N53" i="14" s="1"/>
  <c r="U53" i="14"/>
  <c r="O53" i="14"/>
  <c r="K53" i="14"/>
  <c r="V52" i="14"/>
  <c r="M52" i="14" s="1"/>
  <c r="U52" i="14"/>
  <c r="O52" i="14"/>
  <c r="K52" i="14"/>
  <c r="AF51" i="14"/>
  <c r="V51" i="14"/>
  <c r="U51" i="14"/>
  <c r="O51" i="14"/>
  <c r="N51" i="14"/>
  <c r="Q51" i="14" s="1"/>
  <c r="M51" i="14"/>
  <c r="AE51" i="14" s="1"/>
  <c r="K51" i="14"/>
  <c r="V50" i="14"/>
  <c r="U50" i="14"/>
  <c r="O50" i="14"/>
  <c r="M50" i="14"/>
  <c r="N50" i="14" s="1"/>
  <c r="K50" i="14"/>
  <c r="V49" i="14"/>
  <c r="O49" i="14"/>
  <c r="M49" i="14"/>
  <c r="N49" i="14" s="1"/>
  <c r="K49" i="14"/>
  <c r="AD48" i="14"/>
  <c r="Z48" i="14"/>
  <c r="H19" i="13" s="1"/>
  <c r="Y48" i="14"/>
  <c r="O48" i="14"/>
  <c r="K48" i="14"/>
  <c r="V47" i="14"/>
  <c r="M47" i="14" s="1"/>
  <c r="N47" i="14" s="1"/>
  <c r="U47" i="14"/>
  <c r="O47" i="14"/>
  <c r="K47" i="14"/>
  <c r="AF46" i="14"/>
  <c r="V46" i="14"/>
  <c r="M46" i="14" s="1"/>
  <c r="N46" i="14" s="1"/>
  <c r="U46" i="14"/>
  <c r="O46" i="14"/>
  <c r="K46" i="14"/>
  <c r="V45" i="14"/>
  <c r="M45" i="14" s="1"/>
  <c r="U45" i="14"/>
  <c r="O45" i="14"/>
  <c r="K45" i="14"/>
  <c r="V44" i="14"/>
  <c r="M44" i="14" s="1"/>
  <c r="U44" i="14"/>
  <c r="O44" i="14"/>
  <c r="K44" i="14"/>
  <c r="V43" i="14"/>
  <c r="M43" i="14" s="1"/>
  <c r="N43" i="14" s="1"/>
  <c r="U43" i="14"/>
  <c r="O43" i="14"/>
  <c r="K43" i="14"/>
  <c r="V42" i="14"/>
  <c r="U42" i="14"/>
  <c r="O42" i="14"/>
  <c r="M42" i="14"/>
  <c r="K42" i="14"/>
  <c r="X41" i="14"/>
  <c r="W41" i="14"/>
  <c r="V41" i="14"/>
  <c r="O41" i="14"/>
  <c r="M41" i="14"/>
  <c r="AE41" i="14" s="1"/>
  <c r="K41" i="14"/>
  <c r="AD40" i="14"/>
  <c r="Z40" i="14"/>
  <c r="Y40" i="14"/>
  <c r="O40" i="14"/>
  <c r="K40" i="14"/>
  <c r="V39" i="14"/>
  <c r="M39" i="14" s="1"/>
  <c r="N39" i="14" s="1"/>
  <c r="U39" i="14"/>
  <c r="O39" i="14"/>
  <c r="K39" i="14"/>
  <c r="AF38" i="14"/>
  <c r="AE38" i="14"/>
  <c r="V38" i="14"/>
  <c r="M38" i="14" s="1"/>
  <c r="N38" i="14" s="1"/>
  <c r="U38" i="14"/>
  <c r="O38" i="14"/>
  <c r="K38" i="14"/>
  <c r="V37" i="14"/>
  <c r="M37" i="14" s="1"/>
  <c r="AE37" i="14" s="1"/>
  <c r="U37" i="14"/>
  <c r="O37" i="14"/>
  <c r="K37" i="14"/>
  <c r="V36" i="14"/>
  <c r="M36" i="14" s="1"/>
  <c r="U36" i="14"/>
  <c r="O36" i="14"/>
  <c r="K36" i="14"/>
  <c r="X35" i="14"/>
  <c r="W35" i="14"/>
  <c r="V35" i="14"/>
  <c r="M35" i="14" s="1"/>
  <c r="O35" i="14"/>
  <c r="K35" i="14"/>
  <c r="AD34" i="14"/>
  <c r="K21" i="13" s="1"/>
  <c r="Z34" i="14"/>
  <c r="K19" i="13" s="1"/>
  <c r="Y34" i="14"/>
  <c r="O34" i="14"/>
  <c r="K34" i="14"/>
  <c r="V33" i="14"/>
  <c r="U33" i="14"/>
  <c r="O33" i="14"/>
  <c r="M33" i="14"/>
  <c r="N33" i="14" s="1"/>
  <c r="K33" i="14"/>
  <c r="V32" i="14"/>
  <c r="U32" i="14"/>
  <c r="O32" i="14"/>
  <c r="N32" i="14"/>
  <c r="M32" i="14"/>
  <c r="K32" i="14"/>
  <c r="V31" i="14"/>
  <c r="M31" i="14" s="1"/>
  <c r="N31" i="14" s="1"/>
  <c r="U31" i="14"/>
  <c r="O31" i="14"/>
  <c r="K31" i="14"/>
  <c r="AF30" i="14"/>
  <c r="V30" i="14"/>
  <c r="M30" i="14" s="1"/>
  <c r="N30" i="14" s="1"/>
  <c r="U30" i="14"/>
  <c r="O30" i="14"/>
  <c r="K30" i="14"/>
  <c r="X29" i="14"/>
  <c r="W29" i="14"/>
  <c r="V29" i="14"/>
  <c r="M29" i="14" s="1"/>
  <c r="AF29" i="14" s="1"/>
  <c r="O29" i="14"/>
  <c r="K29" i="14"/>
  <c r="AD28" i="14"/>
  <c r="Z28" i="14"/>
  <c r="G19" i="13" s="1"/>
  <c r="Y28" i="14"/>
  <c r="G18" i="13" s="1"/>
  <c r="O28" i="14"/>
  <c r="K28" i="14"/>
  <c r="G13" i="13" s="1"/>
  <c r="V27" i="14"/>
  <c r="M27" i="14" s="1"/>
  <c r="AE27" i="14" s="1"/>
  <c r="U27" i="14"/>
  <c r="O27" i="14"/>
  <c r="K27" i="14"/>
  <c r="X26" i="14"/>
  <c r="W26" i="14"/>
  <c r="V26" i="14"/>
  <c r="M26" i="14" s="1"/>
  <c r="U26" i="14"/>
  <c r="O26" i="14"/>
  <c r="K26" i="14"/>
  <c r="AF25" i="14"/>
  <c r="AE25" i="14"/>
  <c r="V25" i="14"/>
  <c r="U25" i="14"/>
  <c r="O25" i="14"/>
  <c r="M25" i="14"/>
  <c r="N25" i="14" s="1"/>
  <c r="K25" i="14"/>
  <c r="V24" i="14"/>
  <c r="U24" i="14"/>
  <c r="O24" i="14"/>
  <c r="M24" i="14"/>
  <c r="N24" i="14" s="1"/>
  <c r="Q24" i="14" s="1"/>
  <c r="K24" i="14"/>
  <c r="V23" i="14"/>
  <c r="U23" i="14"/>
  <c r="O23" i="14"/>
  <c r="M23" i="14"/>
  <c r="N23" i="14" s="1"/>
  <c r="K23" i="14"/>
  <c r="V22" i="14"/>
  <c r="O22" i="14"/>
  <c r="M22" i="14"/>
  <c r="AF22" i="14" s="1"/>
  <c r="K22" i="14"/>
  <c r="AD21" i="14"/>
  <c r="Z21" i="14"/>
  <c r="F19" i="13" s="1"/>
  <c r="Y21" i="14"/>
  <c r="O21" i="14"/>
  <c r="K21" i="14"/>
  <c r="F13" i="13" s="1"/>
  <c r="V20" i="14"/>
  <c r="M20" i="14" s="1"/>
  <c r="N20" i="14" s="1"/>
  <c r="U20" i="14"/>
  <c r="O20" i="14"/>
  <c r="K20" i="14"/>
  <c r="X19" i="14"/>
  <c r="W19" i="14"/>
  <c r="V19" i="14"/>
  <c r="M19" i="14" s="1"/>
  <c r="AE19" i="14" s="1"/>
  <c r="U19" i="14"/>
  <c r="O19" i="14"/>
  <c r="K19" i="14"/>
  <c r="AE18" i="14"/>
  <c r="V18" i="14"/>
  <c r="M18" i="14" s="1"/>
  <c r="U18" i="14"/>
  <c r="O18" i="14"/>
  <c r="K18" i="14"/>
  <c r="V17" i="14"/>
  <c r="M17" i="14" s="1"/>
  <c r="U17" i="14"/>
  <c r="O17" i="14"/>
  <c r="K17" i="14"/>
  <c r="V16" i="14"/>
  <c r="M16" i="14" s="1"/>
  <c r="N16" i="14" s="1"/>
  <c r="U16" i="14"/>
  <c r="O16" i="14"/>
  <c r="K16" i="14"/>
  <c r="V15" i="14"/>
  <c r="U15" i="14"/>
  <c r="O15" i="14"/>
  <c r="M15" i="14"/>
  <c r="N15" i="14" s="1"/>
  <c r="K15" i="14"/>
  <c r="V14" i="14"/>
  <c r="M14" i="14" s="1"/>
  <c r="AF14" i="14" s="1"/>
  <c r="O14" i="14"/>
  <c r="K14" i="14"/>
  <c r="AD13" i="14"/>
  <c r="Z13" i="14"/>
  <c r="E19" i="13" s="1"/>
  <c r="Y13" i="14"/>
  <c r="Y2" i="14" s="1"/>
  <c r="K6" i="13" s="1"/>
  <c r="O13" i="14"/>
  <c r="K13" i="14"/>
  <c r="E13" i="13" s="1"/>
  <c r="V12" i="14"/>
  <c r="M12" i="14" s="1"/>
  <c r="N12" i="14" s="1"/>
  <c r="U12" i="14"/>
  <c r="O12" i="14"/>
  <c r="K12" i="14"/>
  <c r="V11" i="14"/>
  <c r="M11" i="14" s="1"/>
  <c r="AF11" i="14" s="1"/>
  <c r="O11" i="14"/>
  <c r="K11" i="14"/>
  <c r="AD10" i="14"/>
  <c r="AD2" i="14" s="1"/>
  <c r="N6" i="13" s="1"/>
  <c r="Z10" i="14"/>
  <c r="Z2" i="14" s="1"/>
  <c r="L6" i="13" s="1"/>
  <c r="Y10" i="14"/>
  <c r="D18" i="13" s="1"/>
  <c r="O10" i="14"/>
  <c r="K10" i="14"/>
  <c r="V9" i="14"/>
  <c r="M9" i="14" s="1"/>
  <c r="U9" i="14"/>
  <c r="O9" i="14"/>
  <c r="K9" i="14"/>
  <c r="V8" i="14"/>
  <c r="U8" i="14"/>
  <c r="O8" i="14"/>
  <c r="M8" i="14"/>
  <c r="N8" i="14" s="1"/>
  <c r="Q8" i="14" s="1"/>
  <c r="K8" i="14"/>
  <c r="V7" i="14"/>
  <c r="M7" i="14" s="1"/>
  <c r="N7" i="14" s="1"/>
  <c r="U7" i="14"/>
  <c r="O7" i="14"/>
  <c r="K7" i="14"/>
  <c r="AF6" i="14"/>
  <c r="AE6" i="14"/>
  <c r="V6" i="14"/>
  <c r="M6" i="14" s="1"/>
  <c r="N6" i="14" s="1"/>
  <c r="U6" i="14"/>
  <c r="O6" i="14"/>
  <c r="K6" i="14"/>
  <c r="AF5" i="14"/>
  <c r="AE5" i="14"/>
  <c r="V5" i="14"/>
  <c r="M5" i="14" s="1"/>
  <c r="O5" i="14"/>
  <c r="K5" i="14"/>
  <c r="H2" i="14"/>
  <c r="F2" i="14"/>
  <c r="H1" i="14"/>
  <c r="F1" i="14"/>
  <c r="D1" i="14"/>
  <c r="M22" i="13"/>
  <c r="L22" i="13"/>
  <c r="K22" i="13"/>
  <c r="J22" i="13"/>
  <c r="I22" i="13"/>
  <c r="H22" i="13"/>
  <c r="G22" i="13"/>
  <c r="F22" i="13"/>
  <c r="E22" i="13"/>
  <c r="D22" i="13"/>
  <c r="M21" i="13"/>
  <c r="L21" i="13"/>
  <c r="J21" i="13"/>
  <c r="H21" i="13"/>
  <c r="G21" i="13"/>
  <c r="F21" i="13"/>
  <c r="E21" i="13"/>
  <c r="D21" i="13"/>
  <c r="M20" i="13"/>
  <c r="L20" i="13"/>
  <c r="K20" i="13"/>
  <c r="J20" i="13"/>
  <c r="I20" i="13"/>
  <c r="H20" i="13"/>
  <c r="G20" i="13"/>
  <c r="F20" i="13"/>
  <c r="E20" i="13"/>
  <c r="D20" i="13"/>
  <c r="M19" i="13"/>
  <c r="L19" i="13"/>
  <c r="J19" i="13"/>
  <c r="M18" i="13"/>
  <c r="L18" i="13"/>
  <c r="K18" i="13"/>
  <c r="J18" i="13"/>
  <c r="H18" i="13"/>
  <c r="F18" i="13"/>
  <c r="E18" i="13"/>
  <c r="M17" i="13"/>
  <c r="L17" i="13"/>
  <c r="K17" i="13"/>
  <c r="J17" i="13"/>
  <c r="I17" i="13"/>
  <c r="H17" i="13"/>
  <c r="G17" i="13"/>
  <c r="F17" i="13"/>
  <c r="E17" i="13"/>
  <c r="D17" i="13"/>
  <c r="M16" i="13"/>
  <c r="L16" i="13"/>
  <c r="K16" i="13"/>
  <c r="J16" i="13"/>
  <c r="I16" i="13"/>
  <c r="H16" i="13"/>
  <c r="G16" i="13"/>
  <c r="F16" i="13"/>
  <c r="E16" i="13"/>
  <c r="D16" i="13"/>
  <c r="M13" i="13"/>
  <c r="L13" i="13"/>
  <c r="K13" i="13"/>
  <c r="J13" i="13"/>
  <c r="I13" i="13"/>
  <c r="H13" i="13"/>
  <c r="D13" i="13"/>
  <c r="M6" i="13"/>
  <c r="I6" i="13"/>
  <c r="G6" i="13"/>
  <c r="F6" i="13"/>
  <c r="E6" i="13"/>
  <c r="I3" i="13"/>
  <c r="F3" i="13"/>
  <c r="C3" i="13"/>
  <c r="P57" i="14" l="1"/>
  <c r="Q57" i="14"/>
  <c r="N44" i="14"/>
  <c r="AF44" i="14"/>
  <c r="AE44" i="14"/>
  <c r="Q25" i="14"/>
  <c r="P25" i="14"/>
  <c r="AF36" i="14"/>
  <c r="M40" i="14"/>
  <c r="AE36" i="14"/>
  <c r="N36" i="14"/>
  <c r="AF66" i="14"/>
  <c r="AE66" i="14"/>
  <c r="N66" i="14"/>
  <c r="N9" i="14"/>
  <c r="AF9" i="14"/>
  <c r="AE9" i="14"/>
  <c r="AF17" i="14"/>
  <c r="AE17" i="14"/>
  <c r="N17" i="14"/>
  <c r="Q16" i="14"/>
  <c r="P16" i="14"/>
  <c r="Q33" i="14"/>
  <c r="P33" i="14"/>
  <c r="M71" i="14"/>
  <c r="N71" i="14" s="1"/>
  <c r="M14" i="13" s="1"/>
  <c r="M15" i="13" s="1"/>
  <c r="M48" i="14"/>
  <c r="AF48" i="14" s="1"/>
  <c r="AG41" i="14" s="1"/>
  <c r="AF41" i="14"/>
  <c r="P51" i="14"/>
  <c r="AE54" i="14"/>
  <c r="AE29" i="14"/>
  <c r="AF54" i="14"/>
  <c r="AE57" i="14"/>
  <c r="AE39" i="14"/>
  <c r="AF61" i="14"/>
  <c r="AE68" i="14"/>
  <c r="P7" i="16"/>
  <c r="Q7" i="16"/>
  <c r="AF39" i="14"/>
  <c r="AF68" i="14"/>
  <c r="D19" i="13"/>
  <c r="AE20" i="14"/>
  <c r="AF20" i="14"/>
  <c r="AE30" i="14"/>
  <c r="P72" i="16"/>
  <c r="AE11" i="14"/>
  <c r="AE69" i="14"/>
  <c r="AE46" i="14"/>
  <c r="AF69" i="14"/>
  <c r="AE31" i="14"/>
  <c r="AF31" i="14"/>
  <c r="AE12" i="14"/>
  <c r="N41" i="14"/>
  <c r="AF12" i="14"/>
  <c r="AE47" i="14"/>
  <c r="AE60" i="14"/>
  <c r="AF47" i="14"/>
  <c r="AF60" i="14"/>
  <c r="Q57" i="16"/>
  <c r="P57" i="16"/>
  <c r="Q50" i="18"/>
  <c r="R42" i="18" s="1"/>
  <c r="P50" i="18"/>
  <c r="H14" i="17"/>
  <c r="H15" i="17" s="1"/>
  <c r="D2" i="18"/>
  <c r="Q10" i="18"/>
  <c r="R5" i="18" s="1"/>
  <c r="D14" i="17"/>
  <c r="P10" i="18"/>
  <c r="Q28" i="18"/>
  <c r="R22" i="18" s="1"/>
  <c r="P28" i="18"/>
  <c r="G14" i="17"/>
  <c r="G15" i="17" s="1"/>
  <c r="E14" i="17"/>
  <c r="E15" i="17" s="1"/>
  <c r="Q13" i="18"/>
  <c r="R11" i="18" s="1"/>
  <c r="P13" i="18"/>
  <c r="I14" i="17"/>
  <c r="I15" i="17" s="1"/>
  <c r="Q61" i="18"/>
  <c r="R51" i="18" s="1"/>
  <c r="P61" i="18"/>
  <c r="L14" i="17"/>
  <c r="L15" i="17" s="1"/>
  <c r="Q41" i="18"/>
  <c r="R36" i="18" s="1"/>
  <c r="P41" i="18"/>
  <c r="Q73" i="18"/>
  <c r="R68" i="18" s="1"/>
  <c r="M14" i="17"/>
  <c r="M15" i="17" s="1"/>
  <c r="P73" i="18"/>
  <c r="Q67" i="18"/>
  <c r="R62" i="18" s="1"/>
  <c r="P67" i="18"/>
  <c r="J14" i="17"/>
  <c r="J15" i="17" s="1"/>
  <c r="Q21" i="18"/>
  <c r="R14" i="18" s="1"/>
  <c r="P21" i="18"/>
  <c r="F14" i="17"/>
  <c r="F15" i="17" s="1"/>
  <c r="K14" i="17"/>
  <c r="Q35" i="18"/>
  <c r="R29" i="18" s="1"/>
  <c r="P35" i="18"/>
  <c r="Q20" i="16"/>
  <c r="P20" i="16"/>
  <c r="Q52" i="16"/>
  <c r="P52" i="16"/>
  <c r="Q44" i="16"/>
  <c r="P44" i="16"/>
  <c r="N43" i="16"/>
  <c r="AF43" i="16"/>
  <c r="AG37" i="16" s="1"/>
  <c r="AE43" i="16"/>
  <c r="Q6" i="16"/>
  <c r="P6" i="16"/>
  <c r="P33" i="16"/>
  <c r="Q33" i="16"/>
  <c r="Q49" i="16"/>
  <c r="P49" i="16"/>
  <c r="Q19" i="16"/>
  <c r="P19" i="16"/>
  <c r="N22" i="16"/>
  <c r="AF22" i="16"/>
  <c r="AG15" i="16" s="1"/>
  <c r="AE22" i="16"/>
  <c r="Q69" i="16"/>
  <c r="P69" i="16"/>
  <c r="Q38" i="16"/>
  <c r="P38" i="16"/>
  <c r="P27" i="16"/>
  <c r="Q27" i="16"/>
  <c r="Q40" i="16"/>
  <c r="P40" i="16"/>
  <c r="Q24" i="16"/>
  <c r="P24" i="16"/>
  <c r="Q47" i="16"/>
  <c r="P47" i="16"/>
  <c r="Q13" i="16"/>
  <c r="P13" i="16"/>
  <c r="Q16" i="16"/>
  <c r="P16" i="16"/>
  <c r="Q56" i="16"/>
  <c r="P56" i="16"/>
  <c r="Q41" i="16"/>
  <c r="P41" i="16"/>
  <c r="AE14" i="16"/>
  <c r="N14" i="16"/>
  <c r="AF14" i="16"/>
  <c r="AG12" i="16" s="1"/>
  <c r="Q32" i="16"/>
  <c r="P32" i="16"/>
  <c r="Q37" i="16"/>
  <c r="P37" i="16"/>
  <c r="Q51" i="16"/>
  <c r="P51" i="16"/>
  <c r="Q18" i="16"/>
  <c r="P18" i="16"/>
  <c r="Q34" i="16"/>
  <c r="P34" i="16"/>
  <c r="Q12" i="16"/>
  <c r="P12" i="16"/>
  <c r="P45" i="16"/>
  <c r="Q45" i="16"/>
  <c r="Q66" i="16"/>
  <c r="P66" i="16"/>
  <c r="AF77" i="16"/>
  <c r="AG71" i="16" s="1"/>
  <c r="AE77" i="16"/>
  <c r="N77" i="16"/>
  <c r="N11" i="16"/>
  <c r="AF11" i="16"/>
  <c r="AG5" i="16" s="1"/>
  <c r="AE11" i="16"/>
  <c r="N36" i="16"/>
  <c r="AF36" i="16"/>
  <c r="AG30" i="16" s="1"/>
  <c r="AE36" i="16"/>
  <c r="Q5" i="16"/>
  <c r="P5" i="16"/>
  <c r="Q46" i="16"/>
  <c r="P46" i="16"/>
  <c r="P63" i="16"/>
  <c r="Q63" i="16"/>
  <c r="AE70" i="16"/>
  <c r="N70" i="16"/>
  <c r="AF70" i="16"/>
  <c r="AG65" i="16" s="1"/>
  <c r="P30" i="16"/>
  <c r="Q30" i="16"/>
  <c r="Q9" i="16"/>
  <c r="P9" i="16"/>
  <c r="N29" i="16"/>
  <c r="AF29" i="16"/>
  <c r="AG23" i="16" s="1"/>
  <c r="AE29" i="16"/>
  <c r="N64" i="16"/>
  <c r="AF64" i="16"/>
  <c r="AG54" i="16" s="1"/>
  <c r="AE64" i="16"/>
  <c r="Q67" i="16"/>
  <c r="P67" i="16"/>
  <c r="Q60" i="16"/>
  <c r="P60" i="16"/>
  <c r="AF53" i="16"/>
  <c r="AG44" i="16" s="1"/>
  <c r="AE53" i="16"/>
  <c r="N53" i="16"/>
  <c r="P39" i="16"/>
  <c r="Q39" i="16"/>
  <c r="Q26" i="16"/>
  <c r="P26" i="16"/>
  <c r="P35" i="16"/>
  <c r="Q35" i="16"/>
  <c r="Q21" i="16"/>
  <c r="P21" i="16"/>
  <c r="Q73" i="16"/>
  <c r="P73" i="16"/>
  <c r="Q42" i="16"/>
  <c r="P42" i="16"/>
  <c r="Q76" i="16"/>
  <c r="P76" i="16"/>
  <c r="Q58" i="16"/>
  <c r="P58" i="16"/>
  <c r="Q23" i="16"/>
  <c r="P23" i="16"/>
  <c r="Q65" i="16"/>
  <c r="P65" i="16"/>
  <c r="Q15" i="16"/>
  <c r="P15" i="16"/>
  <c r="Q74" i="16"/>
  <c r="P74" i="16"/>
  <c r="Q28" i="16"/>
  <c r="P28" i="16"/>
  <c r="P61" i="16"/>
  <c r="Q61" i="16"/>
  <c r="Q62" i="16"/>
  <c r="P62" i="16"/>
  <c r="P8" i="14"/>
  <c r="P24" i="14"/>
  <c r="M10" i="14"/>
  <c r="N5" i="14"/>
  <c r="Q6" i="14"/>
  <c r="P6" i="14"/>
  <c r="AE7" i="14"/>
  <c r="AF7" i="14"/>
  <c r="Q7" i="14"/>
  <c r="P7" i="14"/>
  <c r="AF8" i="14"/>
  <c r="AE8" i="14"/>
  <c r="N11" i="14"/>
  <c r="M13" i="14"/>
  <c r="P12" i="14"/>
  <c r="Q12" i="14"/>
  <c r="M21" i="14"/>
  <c r="N14" i="14"/>
  <c r="AE14" i="14"/>
  <c r="AE15" i="14"/>
  <c r="AF15" i="14"/>
  <c r="Q15" i="14"/>
  <c r="P15" i="14"/>
  <c r="AF16" i="14"/>
  <c r="AE16" i="14"/>
  <c r="N18" i="14"/>
  <c r="AF18" i="14"/>
  <c r="N19" i="14"/>
  <c r="AF19" i="14"/>
  <c r="P20" i="14"/>
  <c r="Q20" i="14"/>
  <c r="M28" i="14"/>
  <c r="N22" i="14"/>
  <c r="AE22" i="14"/>
  <c r="AE23" i="14"/>
  <c r="AF23" i="14"/>
  <c r="Q23" i="14"/>
  <c r="P23" i="14"/>
  <c r="AF24" i="14"/>
  <c r="AE24" i="14"/>
  <c r="N26" i="14"/>
  <c r="AF26" i="14"/>
  <c r="AE26" i="14"/>
  <c r="N27" i="14"/>
  <c r="AF27" i="14"/>
  <c r="N29" i="14"/>
  <c r="M34" i="14"/>
  <c r="N34" i="14" s="1"/>
  <c r="P30" i="14"/>
  <c r="Q30" i="14"/>
  <c r="Q31" i="14"/>
  <c r="P31" i="14"/>
  <c r="AE32" i="14"/>
  <c r="AF32" i="14"/>
  <c r="Q32" i="14"/>
  <c r="P32" i="14"/>
  <c r="AF33" i="14"/>
  <c r="AE33" i="14"/>
  <c r="AF35" i="14"/>
  <c r="AE35" i="14"/>
  <c r="N35" i="14"/>
  <c r="N37" i="14"/>
  <c r="AF37" i="14"/>
  <c r="P38" i="14"/>
  <c r="Q38" i="14"/>
  <c r="Q39" i="14"/>
  <c r="P39" i="14"/>
  <c r="Q41" i="14"/>
  <c r="P41" i="14"/>
  <c r="AE42" i="14"/>
  <c r="N42" i="14"/>
  <c r="AF42" i="14"/>
  <c r="AF43" i="14"/>
  <c r="AE43" i="14"/>
  <c r="P43" i="14"/>
  <c r="Q43" i="14"/>
  <c r="N45" i="14"/>
  <c r="AE45" i="14"/>
  <c r="AF45" i="14"/>
  <c r="P46" i="14"/>
  <c r="Q46" i="14"/>
  <c r="Q47" i="14"/>
  <c r="P47" i="14"/>
  <c r="N48" i="14"/>
  <c r="AE48" i="14"/>
  <c r="AF49" i="14"/>
  <c r="M58" i="14"/>
  <c r="AE49" i="14"/>
  <c r="Q49" i="14"/>
  <c r="P49" i="14"/>
  <c r="AF50" i="14"/>
  <c r="AE50" i="14"/>
  <c r="P50" i="14"/>
  <c r="Q50" i="14"/>
  <c r="N52" i="14"/>
  <c r="AE52" i="14"/>
  <c r="AF52" i="14"/>
  <c r="P53" i="14"/>
  <c r="Q53" i="14"/>
  <c r="Q54" i="14"/>
  <c r="P54" i="14"/>
  <c r="AE55" i="14"/>
  <c r="N55" i="14"/>
  <c r="AF55" i="14"/>
  <c r="AF56" i="14"/>
  <c r="AE56" i="14"/>
  <c r="P56" i="14"/>
  <c r="Q56" i="14"/>
  <c r="N59" i="14"/>
  <c r="AF59" i="14"/>
  <c r="M64" i="14"/>
  <c r="N64" i="14" s="1"/>
  <c r="P60" i="14"/>
  <c r="Q60" i="14"/>
  <c r="Q61" i="14"/>
  <c r="P61" i="14"/>
  <c r="AE62" i="14"/>
  <c r="N62" i="14"/>
  <c r="AF62" i="14"/>
  <c r="AF63" i="14"/>
  <c r="AE63" i="14"/>
  <c r="P63" i="14"/>
  <c r="Q63" i="14"/>
  <c r="AF65" i="14"/>
  <c r="AE65" i="14"/>
  <c r="N65" i="14"/>
  <c r="N67" i="14"/>
  <c r="AE67" i="14"/>
  <c r="AF67" i="14"/>
  <c r="P68" i="14"/>
  <c r="Q68" i="14"/>
  <c r="Q69" i="14"/>
  <c r="P69" i="14"/>
  <c r="AE70" i="14"/>
  <c r="N70" i="14"/>
  <c r="AF70" i="14"/>
  <c r="AF71" i="14"/>
  <c r="AG65" i="14" s="1"/>
  <c r="AE71" i="14"/>
  <c r="P71" i="14"/>
  <c r="Q71" i="14"/>
  <c r="R65" i="14" s="1"/>
  <c r="AD71" i="12"/>
  <c r="Z71" i="12"/>
  <c r="Y71" i="12"/>
  <c r="O71" i="12"/>
  <c r="K71" i="12"/>
  <c r="V70" i="12"/>
  <c r="M70" i="12" s="1"/>
  <c r="U70" i="12"/>
  <c r="O70" i="12"/>
  <c r="K70" i="12"/>
  <c r="V69" i="12"/>
  <c r="M69" i="12" s="1"/>
  <c r="N69" i="12" s="1"/>
  <c r="U69" i="12"/>
  <c r="O69" i="12"/>
  <c r="K69" i="12"/>
  <c r="V68" i="12"/>
  <c r="M68" i="12" s="1"/>
  <c r="N68" i="12" s="1"/>
  <c r="P68" i="12" s="1"/>
  <c r="U68" i="12"/>
  <c r="O68" i="12"/>
  <c r="K68" i="12"/>
  <c r="V67" i="12"/>
  <c r="M67" i="12" s="1"/>
  <c r="AE67" i="12" s="1"/>
  <c r="U67" i="12"/>
  <c r="O67" i="12"/>
  <c r="K67" i="12"/>
  <c r="V66" i="12"/>
  <c r="M66" i="12" s="1"/>
  <c r="N66" i="12" s="1"/>
  <c r="Q66" i="12" s="1"/>
  <c r="U66" i="12"/>
  <c r="O66" i="12"/>
  <c r="K66" i="12"/>
  <c r="X65" i="12"/>
  <c r="W65" i="12"/>
  <c r="V65" i="12"/>
  <c r="M65" i="12" s="1"/>
  <c r="O65" i="12"/>
  <c r="K65" i="12"/>
  <c r="AD64" i="12"/>
  <c r="Z64" i="12"/>
  <c r="Y64" i="12"/>
  <c r="O64" i="12"/>
  <c r="K64" i="12"/>
  <c r="V63" i="12"/>
  <c r="M63" i="12" s="1"/>
  <c r="N63" i="12" s="1"/>
  <c r="U63" i="12"/>
  <c r="O63" i="12"/>
  <c r="K63" i="12"/>
  <c r="V62" i="12"/>
  <c r="M62" i="12" s="1"/>
  <c r="U62" i="12"/>
  <c r="O62" i="12"/>
  <c r="K62" i="12"/>
  <c r="AE61" i="12"/>
  <c r="V61" i="12"/>
  <c r="M61" i="12" s="1"/>
  <c r="N61" i="12" s="1"/>
  <c r="U61" i="12"/>
  <c r="O61" i="12"/>
  <c r="K61" i="12"/>
  <c r="V60" i="12"/>
  <c r="M60" i="12" s="1"/>
  <c r="N60" i="12" s="1"/>
  <c r="P60" i="12" s="1"/>
  <c r="U60" i="12"/>
  <c r="O60" i="12"/>
  <c r="K60" i="12"/>
  <c r="AE59" i="12"/>
  <c r="V59" i="12"/>
  <c r="M59" i="12" s="1"/>
  <c r="U59" i="12"/>
  <c r="O59" i="12"/>
  <c r="K59" i="12"/>
  <c r="V58" i="12"/>
  <c r="M58" i="12" s="1"/>
  <c r="O58" i="12"/>
  <c r="K58" i="12"/>
  <c r="AD57" i="12"/>
  <c r="Z57" i="12"/>
  <c r="Y57" i="12"/>
  <c r="O57" i="12"/>
  <c r="K57" i="12"/>
  <c r="V56" i="12"/>
  <c r="U56" i="12"/>
  <c r="O56" i="12"/>
  <c r="M56" i="12"/>
  <c r="N56" i="12" s="1"/>
  <c r="K56" i="12"/>
  <c r="V55" i="12"/>
  <c r="U55" i="12"/>
  <c r="O55" i="12"/>
  <c r="M55" i="12"/>
  <c r="AE55" i="12" s="1"/>
  <c r="K55" i="12"/>
  <c r="V54" i="12"/>
  <c r="M54" i="12" s="1"/>
  <c r="N54" i="12" s="1"/>
  <c r="U54" i="12"/>
  <c r="O54" i="12"/>
  <c r="K54" i="12"/>
  <c r="V53" i="12"/>
  <c r="M53" i="12" s="1"/>
  <c r="N53" i="12" s="1"/>
  <c r="P53" i="12" s="1"/>
  <c r="U53" i="12"/>
  <c r="O53" i="12"/>
  <c r="K53" i="12"/>
  <c r="V52" i="12"/>
  <c r="M52" i="12" s="1"/>
  <c r="U52" i="12"/>
  <c r="O52" i="12"/>
  <c r="K52" i="12"/>
  <c r="V51" i="12"/>
  <c r="U51" i="12"/>
  <c r="O51" i="12"/>
  <c r="M51" i="12"/>
  <c r="K51" i="12"/>
  <c r="V50" i="12"/>
  <c r="U50" i="12"/>
  <c r="O50" i="12"/>
  <c r="M50" i="12"/>
  <c r="K50" i="12"/>
  <c r="V49" i="12"/>
  <c r="U49" i="12"/>
  <c r="O49" i="12"/>
  <c r="M49" i="12"/>
  <c r="AE49" i="12" s="1"/>
  <c r="K49" i="12"/>
  <c r="V48" i="12"/>
  <c r="O48" i="12"/>
  <c r="M48" i="12"/>
  <c r="N48" i="12" s="1"/>
  <c r="K48" i="12"/>
  <c r="AD47" i="12"/>
  <c r="H21" i="11" s="1"/>
  <c r="Z47" i="12"/>
  <c r="H19" i="11" s="1"/>
  <c r="Y47" i="12"/>
  <c r="O47" i="12"/>
  <c r="K47" i="12"/>
  <c r="V46" i="12"/>
  <c r="M46" i="12" s="1"/>
  <c r="N46" i="12" s="1"/>
  <c r="P46" i="12" s="1"/>
  <c r="U46" i="12"/>
  <c r="O46" i="12"/>
  <c r="K46" i="12"/>
  <c r="V45" i="12"/>
  <c r="M45" i="12" s="1"/>
  <c r="AE45" i="12" s="1"/>
  <c r="U45" i="12"/>
  <c r="O45" i="12"/>
  <c r="K45" i="12"/>
  <c r="V44" i="12"/>
  <c r="U44" i="12"/>
  <c r="O44" i="12"/>
  <c r="M44" i="12"/>
  <c r="K44" i="12"/>
  <c r="V43" i="12"/>
  <c r="U43" i="12"/>
  <c r="O43" i="12"/>
  <c r="M43" i="12"/>
  <c r="N43" i="12" s="1"/>
  <c r="K43" i="12"/>
  <c r="V42" i="12"/>
  <c r="M42" i="12" s="1"/>
  <c r="U42" i="12"/>
  <c r="O42" i="12"/>
  <c r="K42" i="12"/>
  <c r="V41" i="12"/>
  <c r="M41" i="12" s="1"/>
  <c r="N41" i="12" s="1"/>
  <c r="U41" i="12"/>
  <c r="O41" i="12"/>
  <c r="K41" i="12"/>
  <c r="X40" i="12"/>
  <c r="W40" i="12"/>
  <c r="V40" i="12"/>
  <c r="O40" i="12"/>
  <c r="M40" i="12"/>
  <c r="AF40" i="12" s="1"/>
  <c r="K40" i="12"/>
  <c r="AD39" i="12"/>
  <c r="Z39" i="12"/>
  <c r="Y39" i="12"/>
  <c r="O39" i="12"/>
  <c r="K39" i="12"/>
  <c r="V38" i="12"/>
  <c r="M38" i="12" s="1"/>
  <c r="N38" i="12" s="1"/>
  <c r="Q38" i="12" s="1"/>
  <c r="U38" i="12"/>
  <c r="O38" i="12"/>
  <c r="K38" i="12"/>
  <c r="V37" i="12"/>
  <c r="M37" i="12" s="1"/>
  <c r="U37" i="12"/>
  <c r="O37" i="12"/>
  <c r="K37" i="12"/>
  <c r="V36" i="12"/>
  <c r="U36" i="12"/>
  <c r="O36" i="12"/>
  <c r="M36" i="12"/>
  <c r="K36" i="12"/>
  <c r="V35" i="12"/>
  <c r="U35" i="12"/>
  <c r="O35" i="12"/>
  <c r="M35" i="12"/>
  <c r="K35" i="12"/>
  <c r="X34" i="12"/>
  <c r="W34" i="12"/>
  <c r="V34" i="12"/>
  <c r="O34" i="12"/>
  <c r="M34" i="12"/>
  <c r="N34" i="12" s="1"/>
  <c r="Q34" i="12" s="1"/>
  <c r="K34" i="12"/>
  <c r="AD33" i="12"/>
  <c r="Z33" i="12"/>
  <c r="Y33" i="12"/>
  <c r="O33" i="12"/>
  <c r="K33" i="12"/>
  <c r="V32" i="12"/>
  <c r="M32" i="12" s="1"/>
  <c r="U32" i="12"/>
  <c r="O32" i="12"/>
  <c r="K32" i="12"/>
  <c r="V31" i="12"/>
  <c r="M31" i="12" s="1"/>
  <c r="N31" i="12" s="1"/>
  <c r="U31" i="12"/>
  <c r="O31" i="12"/>
  <c r="K31" i="12"/>
  <c r="AF30" i="12"/>
  <c r="V30" i="12"/>
  <c r="M30" i="12" s="1"/>
  <c r="N30" i="12" s="1"/>
  <c r="U30" i="12"/>
  <c r="O30" i="12"/>
  <c r="K30" i="12"/>
  <c r="Q30" i="12" s="1"/>
  <c r="V29" i="12"/>
  <c r="M29" i="12" s="1"/>
  <c r="U29" i="12"/>
  <c r="O29" i="12"/>
  <c r="K29" i="12"/>
  <c r="X28" i="12"/>
  <c r="W28" i="12"/>
  <c r="V28" i="12"/>
  <c r="M28" i="12" s="1"/>
  <c r="O28" i="12"/>
  <c r="K28" i="12"/>
  <c r="AD27" i="12"/>
  <c r="G21" i="11" s="1"/>
  <c r="Z27" i="12"/>
  <c r="G19" i="11" s="1"/>
  <c r="Y27" i="12"/>
  <c r="O27" i="12"/>
  <c r="K27" i="12"/>
  <c r="V26" i="12"/>
  <c r="M26" i="12" s="1"/>
  <c r="N26" i="12" s="1"/>
  <c r="U26" i="12"/>
  <c r="O26" i="12"/>
  <c r="K26" i="12"/>
  <c r="V25" i="12"/>
  <c r="M25" i="12" s="1"/>
  <c r="N25" i="12" s="1"/>
  <c r="Q25" i="12" s="1"/>
  <c r="U25" i="12"/>
  <c r="O25" i="12"/>
  <c r="K25" i="12"/>
  <c r="V24" i="12"/>
  <c r="U24" i="12"/>
  <c r="O24" i="12"/>
  <c r="M24" i="12"/>
  <c r="AE24" i="12" s="1"/>
  <c r="K24" i="12"/>
  <c r="V23" i="12"/>
  <c r="M23" i="12" s="1"/>
  <c r="N23" i="12" s="1"/>
  <c r="U23" i="12"/>
  <c r="O23" i="12"/>
  <c r="K23" i="12"/>
  <c r="V22" i="12"/>
  <c r="M22" i="12" s="1"/>
  <c r="N22" i="12" s="1"/>
  <c r="P22" i="12" s="1"/>
  <c r="U22" i="12"/>
  <c r="O22" i="12"/>
  <c r="K22" i="12"/>
  <c r="V21" i="12"/>
  <c r="M21" i="12" s="1"/>
  <c r="AE21" i="12" s="1"/>
  <c r="O21" i="12"/>
  <c r="K21" i="12"/>
  <c r="AD20" i="12"/>
  <c r="F21" i="11" s="1"/>
  <c r="Z20" i="12"/>
  <c r="F19" i="11" s="1"/>
  <c r="Y20" i="12"/>
  <c r="O20" i="12"/>
  <c r="K20" i="12"/>
  <c r="V19" i="12"/>
  <c r="M19" i="12" s="1"/>
  <c r="N19" i="12" s="1"/>
  <c r="Q19" i="12" s="1"/>
  <c r="U19" i="12"/>
  <c r="O19" i="12"/>
  <c r="K19" i="12"/>
  <c r="V18" i="12"/>
  <c r="U18" i="12"/>
  <c r="O18" i="12"/>
  <c r="M18" i="12"/>
  <c r="K18" i="12"/>
  <c r="V17" i="12"/>
  <c r="U17" i="12"/>
  <c r="O17" i="12"/>
  <c r="M17" i="12"/>
  <c r="AE17" i="12" s="1"/>
  <c r="K17" i="12"/>
  <c r="V16" i="12"/>
  <c r="M16" i="12" s="1"/>
  <c r="N16" i="12" s="1"/>
  <c r="U16" i="12"/>
  <c r="O16" i="12"/>
  <c r="K16" i="12"/>
  <c r="AF15" i="12"/>
  <c r="V15" i="12"/>
  <c r="M15" i="12" s="1"/>
  <c r="N15" i="12" s="1"/>
  <c r="P15" i="12" s="1"/>
  <c r="U15" i="12"/>
  <c r="O15" i="12"/>
  <c r="K15" i="12"/>
  <c r="V14" i="12"/>
  <c r="M14" i="12" s="1"/>
  <c r="AF14" i="12" s="1"/>
  <c r="O14" i="12"/>
  <c r="K14" i="12"/>
  <c r="AD13" i="12"/>
  <c r="Z13" i="12"/>
  <c r="Y13" i="12"/>
  <c r="O13" i="12"/>
  <c r="K13" i="12"/>
  <c r="V12" i="12"/>
  <c r="M12" i="12" s="1"/>
  <c r="U12" i="12"/>
  <c r="O12" i="12"/>
  <c r="K12" i="12"/>
  <c r="V11" i="12"/>
  <c r="M11" i="12" s="1"/>
  <c r="N11" i="12" s="1"/>
  <c r="Q11" i="12" s="1"/>
  <c r="O11" i="12"/>
  <c r="K11" i="12"/>
  <c r="AD10" i="12"/>
  <c r="Z10" i="12"/>
  <c r="D19" i="11" s="1"/>
  <c r="Y10" i="12"/>
  <c r="O10" i="12"/>
  <c r="K10" i="12"/>
  <c r="D13" i="11" s="1"/>
  <c r="V9" i="12"/>
  <c r="U9" i="12"/>
  <c r="O9" i="12"/>
  <c r="M9" i="12"/>
  <c r="AE9" i="12" s="1"/>
  <c r="K9" i="12"/>
  <c r="V8" i="12"/>
  <c r="U8" i="12"/>
  <c r="O8" i="12"/>
  <c r="M8" i="12"/>
  <c r="N8" i="12" s="1"/>
  <c r="K8" i="12"/>
  <c r="V7" i="12"/>
  <c r="M7" i="12" s="1"/>
  <c r="N7" i="12" s="1"/>
  <c r="P7" i="12" s="1"/>
  <c r="U7" i="12"/>
  <c r="Q7" i="12"/>
  <c r="O7" i="12"/>
  <c r="K7" i="12"/>
  <c r="V6" i="12"/>
  <c r="M6" i="12" s="1"/>
  <c r="N6" i="12" s="1"/>
  <c r="Q6" i="12" s="1"/>
  <c r="U6" i="12"/>
  <c r="O6" i="12"/>
  <c r="K6" i="12"/>
  <c r="V5" i="12"/>
  <c r="M5" i="12" s="1"/>
  <c r="AF5" i="12" s="1"/>
  <c r="O5" i="12"/>
  <c r="K5" i="12"/>
  <c r="H2" i="12"/>
  <c r="H1" i="12"/>
  <c r="F1" i="12"/>
  <c r="D1" i="12"/>
  <c r="M22" i="11"/>
  <c r="L22" i="11"/>
  <c r="K22" i="11"/>
  <c r="J22" i="11"/>
  <c r="I22" i="11"/>
  <c r="H22" i="11"/>
  <c r="G22" i="11"/>
  <c r="F22" i="11"/>
  <c r="E22" i="11"/>
  <c r="D22" i="11"/>
  <c r="M21" i="11"/>
  <c r="L21" i="11"/>
  <c r="K21" i="11"/>
  <c r="J21" i="11"/>
  <c r="I21" i="11"/>
  <c r="E21" i="11"/>
  <c r="D21" i="11"/>
  <c r="M20" i="11"/>
  <c r="L20" i="11"/>
  <c r="K20" i="11"/>
  <c r="J20" i="11"/>
  <c r="I20" i="11"/>
  <c r="H20" i="11"/>
  <c r="G20" i="11"/>
  <c r="F20" i="11"/>
  <c r="E20" i="11"/>
  <c r="D20" i="11"/>
  <c r="M19" i="11"/>
  <c r="L19" i="11"/>
  <c r="K19" i="11"/>
  <c r="J19" i="11"/>
  <c r="I19" i="11"/>
  <c r="M18" i="11"/>
  <c r="L18" i="11"/>
  <c r="K18" i="11"/>
  <c r="J18" i="11"/>
  <c r="I18" i="11"/>
  <c r="H18" i="11"/>
  <c r="G18" i="11"/>
  <c r="F18" i="11"/>
  <c r="E18" i="11"/>
  <c r="D18" i="11"/>
  <c r="M17" i="11"/>
  <c r="L17" i="11"/>
  <c r="K17" i="11"/>
  <c r="J17" i="11"/>
  <c r="I17" i="11"/>
  <c r="H17" i="11"/>
  <c r="G17" i="11"/>
  <c r="F17" i="11"/>
  <c r="E17" i="11"/>
  <c r="D17" i="11"/>
  <c r="M16" i="11"/>
  <c r="L16" i="11"/>
  <c r="K16" i="11"/>
  <c r="J16" i="11"/>
  <c r="I16" i="11"/>
  <c r="H16" i="11"/>
  <c r="G16" i="11"/>
  <c r="F16" i="11"/>
  <c r="E16" i="11"/>
  <c r="D16" i="11"/>
  <c r="M13" i="11"/>
  <c r="L13" i="11"/>
  <c r="K13" i="11"/>
  <c r="I6" i="11" s="1"/>
  <c r="J13" i="11"/>
  <c r="I13" i="11"/>
  <c r="H13" i="11"/>
  <c r="G13" i="11"/>
  <c r="F13" i="11"/>
  <c r="E13" i="11"/>
  <c r="M6" i="11"/>
  <c r="I3" i="11"/>
  <c r="F3" i="11"/>
  <c r="C3" i="11"/>
  <c r="AE62" i="12" l="1"/>
  <c r="AF62" i="12"/>
  <c r="AE70" i="12"/>
  <c r="AF70" i="12"/>
  <c r="AE32" i="12"/>
  <c r="M33" i="12"/>
  <c r="N33" i="12" s="1"/>
  <c r="Q33" i="12" s="1"/>
  <c r="R28" i="12" s="1"/>
  <c r="AF32" i="12"/>
  <c r="AE42" i="12"/>
  <c r="N42" i="12"/>
  <c r="Q42" i="12" s="1"/>
  <c r="Q17" i="14"/>
  <c r="P17" i="14"/>
  <c r="F2" i="12"/>
  <c r="AE16" i="12"/>
  <c r="AF16" i="12"/>
  <c r="AF24" i="12"/>
  <c r="AF55" i="12"/>
  <c r="N5" i="12"/>
  <c r="P5" i="12" s="1"/>
  <c r="Q9" i="14"/>
  <c r="P9" i="14"/>
  <c r="AE60" i="12"/>
  <c r="Q66" i="14"/>
  <c r="P66" i="14"/>
  <c r="AE5" i="12"/>
  <c r="AF9" i="12"/>
  <c r="AF17" i="12"/>
  <c r="AE40" i="12"/>
  <c r="AE68" i="12"/>
  <c r="Q36" i="14"/>
  <c r="P36" i="14"/>
  <c r="Q53" i="12"/>
  <c r="M71" i="12"/>
  <c r="AF71" i="12" s="1"/>
  <c r="AG65" i="12" s="1"/>
  <c r="AE40" i="14"/>
  <c r="AF40" i="14"/>
  <c r="AG35" i="14" s="1"/>
  <c r="N40" i="14"/>
  <c r="P30" i="12"/>
  <c r="AF53" i="12"/>
  <c r="AE69" i="12"/>
  <c r="AE15" i="12"/>
  <c r="P38" i="12"/>
  <c r="AF38" i="12"/>
  <c r="Q46" i="12"/>
  <c r="Q44" i="14"/>
  <c r="P44" i="14"/>
  <c r="N24" i="12"/>
  <c r="K15" i="17"/>
  <c r="I8" i="17" s="1"/>
  <c r="I7" i="17"/>
  <c r="D15" i="17"/>
  <c r="G7" i="17"/>
  <c r="F7" i="17"/>
  <c r="E7" i="17"/>
  <c r="Q53" i="16"/>
  <c r="R44" i="16" s="1"/>
  <c r="H14" i="15"/>
  <c r="H15" i="15" s="1"/>
  <c r="P53" i="16"/>
  <c r="Q29" i="16"/>
  <c r="R23" i="16" s="1"/>
  <c r="P29" i="16"/>
  <c r="G14" i="15"/>
  <c r="G15" i="15" s="1"/>
  <c r="Q43" i="16"/>
  <c r="R37" i="16" s="1"/>
  <c r="P43" i="16"/>
  <c r="L14" i="15"/>
  <c r="L15" i="15" s="1"/>
  <c r="Q36" i="16"/>
  <c r="R30" i="16" s="1"/>
  <c r="P36" i="16"/>
  <c r="K14" i="15"/>
  <c r="Q14" i="16"/>
  <c r="R12" i="16" s="1"/>
  <c r="E14" i="15"/>
  <c r="E15" i="15" s="1"/>
  <c r="P14" i="16"/>
  <c r="F14" i="15"/>
  <c r="F15" i="15" s="1"/>
  <c r="Q22" i="16"/>
  <c r="R15" i="16" s="1"/>
  <c r="P22" i="16"/>
  <c r="Q70" i="16"/>
  <c r="R65" i="16" s="1"/>
  <c r="J14" i="15"/>
  <c r="J15" i="15" s="1"/>
  <c r="P70" i="16"/>
  <c r="D2" i="16"/>
  <c r="Q11" i="16"/>
  <c r="R5" i="16" s="1"/>
  <c r="P11" i="16"/>
  <c r="D14" i="15"/>
  <c r="Q77" i="16"/>
  <c r="R71" i="16" s="1"/>
  <c r="P77" i="16"/>
  <c r="M14" i="15"/>
  <c r="M15" i="15" s="1"/>
  <c r="Q64" i="16"/>
  <c r="R54" i="16" s="1"/>
  <c r="P64" i="16"/>
  <c r="I14" i="15"/>
  <c r="I15" i="15" s="1"/>
  <c r="K14" i="13"/>
  <c r="Q34" i="14"/>
  <c r="R29" i="14" s="1"/>
  <c r="P34" i="14"/>
  <c r="Q35" i="14"/>
  <c r="P35" i="14"/>
  <c r="Q27" i="14"/>
  <c r="P27" i="14"/>
  <c r="Q67" i="14"/>
  <c r="P67" i="14"/>
  <c r="Q65" i="14"/>
  <c r="P65" i="14"/>
  <c r="P26" i="14"/>
  <c r="Q26" i="14"/>
  <c r="P52" i="14"/>
  <c r="Q52" i="14"/>
  <c r="N28" i="14"/>
  <c r="Q28" i="14" s="1"/>
  <c r="R22" i="14" s="1"/>
  <c r="AF28" i="14"/>
  <c r="AG22" i="14" s="1"/>
  <c r="AE28" i="14"/>
  <c r="Q45" i="14"/>
  <c r="P45" i="14"/>
  <c r="N21" i="14"/>
  <c r="F14" i="13" s="1"/>
  <c r="F15" i="13" s="1"/>
  <c r="AE21" i="14"/>
  <c r="AF21" i="14"/>
  <c r="AG14" i="14" s="1"/>
  <c r="J14" i="13"/>
  <c r="J15" i="13" s="1"/>
  <c r="Q64" i="14"/>
  <c r="R59" i="14" s="1"/>
  <c r="P64" i="14"/>
  <c r="P59" i="14"/>
  <c r="Q59" i="14"/>
  <c r="P18" i="14"/>
  <c r="Q18" i="14"/>
  <c r="N13" i="14"/>
  <c r="E14" i="13" s="1"/>
  <c r="E15" i="13" s="1"/>
  <c r="AF13" i="14"/>
  <c r="AG11" i="14" s="1"/>
  <c r="AE13" i="14"/>
  <c r="Q37" i="14"/>
  <c r="P37" i="14"/>
  <c r="P11" i="14"/>
  <c r="Q11" i="14"/>
  <c r="Q70" i="14"/>
  <c r="P70" i="14"/>
  <c r="Q62" i="14"/>
  <c r="P62" i="14"/>
  <c r="AF64" i="14"/>
  <c r="AG59" i="14" s="1"/>
  <c r="AE64" i="14"/>
  <c r="Q55" i="14"/>
  <c r="P55" i="14"/>
  <c r="N58" i="14"/>
  <c r="AF58" i="14"/>
  <c r="AG49" i="14" s="1"/>
  <c r="AE58" i="14"/>
  <c r="Q48" i="14"/>
  <c r="R41" i="14" s="1"/>
  <c r="P48" i="14"/>
  <c r="H14" i="13"/>
  <c r="H15" i="13" s="1"/>
  <c r="Q42" i="14"/>
  <c r="P42" i="14"/>
  <c r="AF34" i="14"/>
  <c r="AG29" i="14" s="1"/>
  <c r="AE34" i="14"/>
  <c r="Q29" i="14"/>
  <c r="P29" i="14"/>
  <c r="Q22" i="14"/>
  <c r="P22" i="14"/>
  <c r="G14" i="13"/>
  <c r="G15" i="13" s="1"/>
  <c r="P19" i="14"/>
  <c r="Q19" i="14"/>
  <c r="Q14" i="14"/>
  <c r="P14" i="14"/>
  <c r="Q5" i="14"/>
  <c r="P5" i="14"/>
  <c r="N10" i="14"/>
  <c r="AF10" i="14"/>
  <c r="AG5" i="14" s="1"/>
  <c r="AE10" i="14"/>
  <c r="AE71" i="12"/>
  <c r="Q43" i="12"/>
  <c r="P43" i="12"/>
  <c r="Q56" i="12"/>
  <c r="P56" i="12"/>
  <c r="Q26" i="12"/>
  <c r="P26" i="12"/>
  <c r="K14" i="11"/>
  <c r="AF12" i="12"/>
  <c r="AE12" i="12"/>
  <c r="N12" i="12"/>
  <c r="Q8" i="12"/>
  <c r="P8" i="12"/>
  <c r="Q24" i="12"/>
  <c r="P24" i="12"/>
  <c r="AE58" i="12"/>
  <c r="AF58" i="12"/>
  <c r="M64" i="12"/>
  <c r="Q5" i="12"/>
  <c r="AE8" i="12"/>
  <c r="AE14" i="12"/>
  <c r="AF18" i="12"/>
  <c r="AE18" i="12"/>
  <c r="N29" i="12"/>
  <c r="AF29" i="12"/>
  <c r="Q31" i="12"/>
  <c r="P31" i="12"/>
  <c r="AF36" i="12"/>
  <c r="AE36" i="12"/>
  <c r="N37" i="12"/>
  <c r="AF37" i="12"/>
  <c r="AF51" i="12"/>
  <c r="AE51" i="12"/>
  <c r="N52" i="12"/>
  <c r="AF52" i="12"/>
  <c r="Q54" i="12"/>
  <c r="P54" i="12"/>
  <c r="AF8" i="12"/>
  <c r="Q16" i="12"/>
  <c r="P16" i="12"/>
  <c r="N18" i="12"/>
  <c r="AE29" i="12"/>
  <c r="AE31" i="12"/>
  <c r="N36" i="12"/>
  <c r="AE37" i="12"/>
  <c r="AF42" i="12"/>
  <c r="N51" i="12"/>
  <c r="AE52" i="12"/>
  <c r="AE54" i="12"/>
  <c r="AF63" i="12"/>
  <c r="AE63" i="12"/>
  <c r="AE6" i="12"/>
  <c r="M10" i="12"/>
  <c r="P11" i="12"/>
  <c r="P19" i="12"/>
  <c r="AE22" i="12"/>
  <c r="N45" i="12"/>
  <c r="AF45" i="12"/>
  <c r="AF60" i="12"/>
  <c r="AF65" i="12"/>
  <c r="AE65" i="12"/>
  <c r="AF68" i="12"/>
  <c r="Y2" i="12"/>
  <c r="K6" i="11" s="1"/>
  <c r="M27" i="12"/>
  <c r="N21" i="12"/>
  <c r="AF25" i="12"/>
  <c r="AE25" i="12"/>
  <c r="AF31" i="12"/>
  <c r="AF54" i="12"/>
  <c r="N59" i="12"/>
  <c r="AF59" i="12"/>
  <c r="Q61" i="12"/>
  <c r="P61" i="12"/>
  <c r="Q63" i="12"/>
  <c r="AF66" i="12"/>
  <c r="AE66" i="12"/>
  <c r="N67" i="12"/>
  <c r="AF67" i="12"/>
  <c r="Q69" i="12"/>
  <c r="P69" i="12"/>
  <c r="N9" i="12"/>
  <c r="AD2" i="12"/>
  <c r="N6" i="11" s="1"/>
  <c r="AF21" i="12"/>
  <c r="AE23" i="12"/>
  <c r="AE28" i="12"/>
  <c r="N28" i="12"/>
  <c r="AF28" i="12"/>
  <c r="Q41" i="12"/>
  <c r="P41" i="12"/>
  <c r="AF61" i="12"/>
  <c r="P63" i="12"/>
  <c r="AF69" i="12"/>
  <c r="G6" i="11"/>
  <c r="AF26" i="12"/>
  <c r="AE26" i="12"/>
  <c r="P34" i="12"/>
  <c r="AF44" i="12"/>
  <c r="AE44" i="12"/>
  <c r="N49" i="12"/>
  <c r="E19" i="11"/>
  <c r="Z2" i="12"/>
  <c r="L6" i="11" s="1"/>
  <c r="Q23" i="12"/>
  <c r="P23" i="12"/>
  <c r="AF43" i="12"/>
  <c r="AE43" i="12"/>
  <c r="Q48" i="12"/>
  <c r="P48" i="12"/>
  <c r="AF49" i="12"/>
  <c r="N58" i="12"/>
  <c r="E6" i="11"/>
  <c r="F6" i="11"/>
  <c r="AE7" i="12"/>
  <c r="Q15" i="12"/>
  <c r="AF23" i="12"/>
  <c r="P25" i="12"/>
  <c r="N32" i="12"/>
  <c r="AF35" i="12"/>
  <c r="AE35" i="12"/>
  <c r="M47" i="12"/>
  <c r="N40" i="12"/>
  <c r="AE41" i="12"/>
  <c r="AE46" i="12"/>
  <c r="AF50" i="12"/>
  <c r="AE50" i="12"/>
  <c r="N55" i="12"/>
  <c r="N65" i="12"/>
  <c r="P66" i="12"/>
  <c r="AF6" i="12"/>
  <c r="M20" i="12"/>
  <c r="N14" i="12"/>
  <c r="AF22" i="12"/>
  <c r="AF33" i="12"/>
  <c r="AG28" i="12" s="1"/>
  <c r="AE33" i="12"/>
  <c r="N44" i="12"/>
  <c r="AF56" i="12"/>
  <c r="AE56" i="12"/>
  <c r="P6" i="12"/>
  <c r="AF7" i="12"/>
  <c r="N17" i="12"/>
  <c r="N35" i="12"/>
  <c r="AF41" i="12"/>
  <c r="AF46" i="12"/>
  <c r="AE48" i="12"/>
  <c r="N50" i="12"/>
  <c r="M57" i="12"/>
  <c r="Q60" i="12"/>
  <c r="Q68" i="12"/>
  <c r="M13" i="12"/>
  <c r="AF11" i="12"/>
  <c r="AE11" i="12"/>
  <c r="AF19" i="12"/>
  <c r="AE19" i="12"/>
  <c r="Q22" i="12"/>
  <c r="AE30" i="12"/>
  <c r="AF34" i="12"/>
  <c r="M39" i="12"/>
  <c r="AE34" i="12"/>
  <c r="AE38" i="12"/>
  <c r="AF48" i="12"/>
  <c r="AE53" i="12"/>
  <c r="N62" i="12"/>
  <c r="N70" i="12"/>
  <c r="AD71" i="10"/>
  <c r="Z71" i="10"/>
  <c r="Y71" i="10"/>
  <c r="O71" i="10"/>
  <c r="K71" i="10"/>
  <c r="M13" i="9" s="1"/>
  <c r="V70" i="10"/>
  <c r="M70" i="10" s="1"/>
  <c r="AF70" i="10" s="1"/>
  <c r="U70" i="10"/>
  <c r="O70" i="10"/>
  <c r="K70" i="10"/>
  <c r="V69" i="10"/>
  <c r="M69" i="10" s="1"/>
  <c r="N69" i="10" s="1"/>
  <c r="U69" i="10"/>
  <c r="O69" i="10"/>
  <c r="K69" i="10"/>
  <c r="V68" i="10"/>
  <c r="M68" i="10" s="1"/>
  <c r="N68" i="10" s="1"/>
  <c r="P68" i="10" s="1"/>
  <c r="U68" i="10"/>
  <c r="O68" i="10"/>
  <c r="K68" i="10"/>
  <c r="V67" i="10"/>
  <c r="M67" i="10" s="1"/>
  <c r="U67" i="10"/>
  <c r="O67" i="10"/>
  <c r="K67" i="10"/>
  <c r="V66" i="10"/>
  <c r="M66" i="10" s="1"/>
  <c r="N66" i="10" s="1"/>
  <c r="U66" i="10"/>
  <c r="O66" i="10"/>
  <c r="K66" i="10"/>
  <c r="X65" i="10"/>
  <c r="W65" i="10"/>
  <c r="V65" i="10"/>
  <c r="M65" i="10" s="1"/>
  <c r="O65" i="10"/>
  <c r="N65" i="10"/>
  <c r="Q65" i="10" s="1"/>
  <c r="K65" i="10"/>
  <c r="AD64" i="10"/>
  <c r="Z64" i="10"/>
  <c r="Y64" i="10"/>
  <c r="O64" i="10"/>
  <c r="K64" i="10"/>
  <c r="V63" i="10"/>
  <c r="M63" i="10" s="1"/>
  <c r="N63" i="10" s="1"/>
  <c r="U63" i="10"/>
  <c r="O63" i="10"/>
  <c r="K63" i="10"/>
  <c r="V62" i="10"/>
  <c r="M62" i="10" s="1"/>
  <c r="U62" i="10"/>
  <c r="O62" i="10"/>
  <c r="K62" i="10"/>
  <c r="AE61" i="10"/>
  <c r="V61" i="10"/>
  <c r="M61" i="10" s="1"/>
  <c r="N61" i="10" s="1"/>
  <c r="U61" i="10"/>
  <c r="O61" i="10"/>
  <c r="K61" i="10"/>
  <c r="AF60" i="10"/>
  <c r="AE60" i="10"/>
  <c r="V60" i="10"/>
  <c r="M60" i="10" s="1"/>
  <c r="N60" i="10" s="1"/>
  <c r="P60" i="10" s="1"/>
  <c r="U60" i="10"/>
  <c r="Q60" i="10"/>
  <c r="O60" i="10"/>
  <c r="K60" i="10"/>
  <c r="V59" i="10"/>
  <c r="M59" i="10" s="1"/>
  <c r="U59" i="10"/>
  <c r="O59" i="10"/>
  <c r="K59" i="10"/>
  <c r="V58" i="10"/>
  <c r="M58" i="10" s="1"/>
  <c r="N58" i="10" s="1"/>
  <c r="Q58" i="10" s="1"/>
  <c r="O58" i="10"/>
  <c r="K58" i="10"/>
  <c r="AD57" i="10"/>
  <c r="Z57" i="10"/>
  <c r="Y57" i="10"/>
  <c r="O57" i="10"/>
  <c r="K57" i="10"/>
  <c r="V56" i="10"/>
  <c r="M56" i="10" s="1"/>
  <c r="U56" i="10"/>
  <c r="O56" i="10"/>
  <c r="K56" i="10"/>
  <c r="V55" i="10"/>
  <c r="U55" i="10"/>
  <c r="O55" i="10"/>
  <c r="M55" i="10"/>
  <c r="K55" i="10"/>
  <c r="V54" i="10"/>
  <c r="M54" i="10" s="1"/>
  <c r="N54" i="10" s="1"/>
  <c r="U54" i="10"/>
  <c r="O54" i="10"/>
  <c r="K54" i="10"/>
  <c r="V53" i="10"/>
  <c r="M53" i="10" s="1"/>
  <c r="N53" i="10" s="1"/>
  <c r="P53" i="10" s="1"/>
  <c r="U53" i="10"/>
  <c r="Q53" i="10"/>
  <c r="O53" i="10"/>
  <c r="K53" i="10"/>
  <c r="V52" i="10"/>
  <c r="M52" i="10" s="1"/>
  <c r="U52" i="10"/>
  <c r="O52" i="10"/>
  <c r="K52" i="10"/>
  <c r="V51" i="10"/>
  <c r="M51" i="10" s="1"/>
  <c r="U51" i="10"/>
  <c r="O51" i="10"/>
  <c r="K51" i="10"/>
  <c r="V50" i="10"/>
  <c r="M50" i="10" s="1"/>
  <c r="U50" i="10"/>
  <c r="O50" i="10"/>
  <c r="K50" i="10"/>
  <c r="V49" i="10"/>
  <c r="U49" i="10"/>
  <c r="O49" i="10"/>
  <c r="M49" i="10"/>
  <c r="K49" i="10"/>
  <c r="V48" i="10"/>
  <c r="M48" i="10" s="1"/>
  <c r="O48" i="10"/>
  <c r="K48" i="10"/>
  <c r="AD47" i="10"/>
  <c r="H21" i="9" s="1"/>
  <c r="Z47" i="10"/>
  <c r="H19" i="9" s="1"/>
  <c r="Y47" i="10"/>
  <c r="O47" i="10"/>
  <c r="K47" i="10"/>
  <c r="V46" i="10"/>
  <c r="M46" i="10" s="1"/>
  <c r="N46" i="10" s="1"/>
  <c r="P46" i="10" s="1"/>
  <c r="U46" i="10"/>
  <c r="O46" i="10"/>
  <c r="K46" i="10"/>
  <c r="V45" i="10"/>
  <c r="M45" i="10" s="1"/>
  <c r="U45" i="10"/>
  <c r="O45" i="10"/>
  <c r="K45" i="10"/>
  <c r="V44" i="10"/>
  <c r="M44" i="10" s="1"/>
  <c r="N44" i="10" s="1"/>
  <c r="U44" i="10"/>
  <c r="O44" i="10"/>
  <c r="K44" i="10"/>
  <c r="V43" i="10"/>
  <c r="M43" i="10" s="1"/>
  <c r="N43" i="10" s="1"/>
  <c r="U43" i="10"/>
  <c r="O43" i="10"/>
  <c r="K43" i="10"/>
  <c r="V42" i="10"/>
  <c r="M42" i="10" s="1"/>
  <c r="U42" i="10"/>
  <c r="O42" i="10"/>
  <c r="K42" i="10"/>
  <c r="V41" i="10"/>
  <c r="M41" i="10" s="1"/>
  <c r="N41" i="10" s="1"/>
  <c r="U41" i="10"/>
  <c r="O41" i="10"/>
  <c r="K41" i="10"/>
  <c r="AE40" i="10"/>
  <c r="X40" i="10"/>
  <c r="W40" i="10"/>
  <c r="V40" i="10"/>
  <c r="O40" i="10"/>
  <c r="M40" i="10"/>
  <c r="AF40" i="10" s="1"/>
  <c r="K40" i="10"/>
  <c r="AD39" i="10"/>
  <c r="Z39" i="10"/>
  <c r="Y39" i="10"/>
  <c r="O39" i="10"/>
  <c r="K39" i="10"/>
  <c r="V38" i="10"/>
  <c r="M38" i="10" s="1"/>
  <c r="N38" i="10" s="1"/>
  <c r="P38" i="10" s="1"/>
  <c r="U38" i="10"/>
  <c r="O38" i="10"/>
  <c r="K38" i="10"/>
  <c r="V37" i="10"/>
  <c r="M37" i="10" s="1"/>
  <c r="U37" i="10"/>
  <c r="O37" i="10"/>
  <c r="K37" i="10"/>
  <c r="V36" i="10"/>
  <c r="M36" i="10" s="1"/>
  <c r="U36" i="10"/>
  <c r="O36" i="10"/>
  <c r="K36" i="10"/>
  <c r="V35" i="10"/>
  <c r="M35" i="10" s="1"/>
  <c r="U35" i="10"/>
  <c r="O35" i="10"/>
  <c r="K35" i="10"/>
  <c r="X34" i="10"/>
  <c r="W34" i="10"/>
  <c r="V34" i="10"/>
  <c r="O34" i="10"/>
  <c r="M34" i="10"/>
  <c r="K34" i="10"/>
  <c r="AD33" i="10"/>
  <c r="Z33" i="10"/>
  <c r="Y33" i="10"/>
  <c r="O33" i="10"/>
  <c r="K33" i="10"/>
  <c r="V32" i="10"/>
  <c r="U32" i="10"/>
  <c r="O32" i="10"/>
  <c r="M32" i="10"/>
  <c r="K32" i="10"/>
  <c r="V31" i="10"/>
  <c r="M31" i="10" s="1"/>
  <c r="N31" i="10" s="1"/>
  <c r="U31" i="10"/>
  <c r="O31" i="10"/>
  <c r="K31" i="10"/>
  <c r="V30" i="10"/>
  <c r="M30" i="10" s="1"/>
  <c r="N30" i="10" s="1"/>
  <c r="P30" i="10" s="1"/>
  <c r="U30" i="10"/>
  <c r="O30" i="10"/>
  <c r="K30" i="10"/>
  <c r="V29" i="10"/>
  <c r="M29" i="10" s="1"/>
  <c r="U29" i="10"/>
  <c r="O29" i="10"/>
  <c r="K29" i="10"/>
  <c r="X28" i="10"/>
  <c r="W28" i="10"/>
  <c r="V28" i="10"/>
  <c r="M28" i="10" s="1"/>
  <c r="O28" i="10"/>
  <c r="K28" i="10"/>
  <c r="AD27" i="10"/>
  <c r="G21" i="9" s="1"/>
  <c r="Z27" i="10"/>
  <c r="Y27" i="10"/>
  <c r="O27" i="10"/>
  <c r="K27" i="10"/>
  <c r="V26" i="10"/>
  <c r="U26" i="10"/>
  <c r="O26" i="10"/>
  <c r="M26" i="10"/>
  <c r="N26" i="10" s="1"/>
  <c r="K26" i="10"/>
  <c r="V25" i="10"/>
  <c r="U25" i="10"/>
  <c r="O25" i="10"/>
  <c r="M25" i="10"/>
  <c r="K25" i="10"/>
  <c r="V24" i="10"/>
  <c r="U24" i="10"/>
  <c r="O24" i="10"/>
  <c r="M24" i="10"/>
  <c r="AF24" i="10" s="1"/>
  <c r="K24" i="10"/>
  <c r="V23" i="10"/>
  <c r="M23" i="10" s="1"/>
  <c r="N23" i="10" s="1"/>
  <c r="U23" i="10"/>
  <c r="O23" i="10"/>
  <c r="K23" i="10"/>
  <c r="AE22" i="10"/>
  <c r="V22" i="10"/>
  <c r="M22" i="10" s="1"/>
  <c r="N22" i="10" s="1"/>
  <c r="U22" i="10"/>
  <c r="O22" i="10"/>
  <c r="K22" i="10"/>
  <c r="AE21" i="10"/>
  <c r="V21" i="10"/>
  <c r="M21" i="10" s="1"/>
  <c r="O21" i="10"/>
  <c r="K21" i="10"/>
  <c r="AD20" i="10"/>
  <c r="F21" i="9" s="1"/>
  <c r="Z20" i="10"/>
  <c r="F19" i="9" s="1"/>
  <c r="Y20" i="10"/>
  <c r="F18" i="9" s="1"/>
  <c r="O20" i="10"/>
  <c r="K20" i="10"/>
  <c r="V19" i="10"/>
  <c r="M19" i="10" s="1"/>
  <c r="U19" i="10"/>
  <c r="O19" i="10"/>
  <c r="K19" i="10"/>
  <c r="V18" i="10"/>
  <c r="U18" i="10"/>
  <c r="O18" i="10"/>
  <c r="M18" i="10"/>
  <c r="K18" i="10"/>
  <c r="V17" i="10"/>
  <c r="M17" i="10" s="1"/>
  <c r="AF17" i="10" s="1"/>
  <c r="U17" i="10"/>
  <c r="O17" i="10"/>
  <c r="K17" i="10"/>
  <c r="V16" i="10"/>
  <c r="M16" i="10" s="1"/>
  <c r="N16" i="10" s="1"/>
  <c r="U16" i="10"/>
  <c r="O16" i="10"/>
  <c r="K16" i="10"/>
  <c r="V15" i="10"/>
  <c r="M15" i="10" s="1"/>
  <c r="N15" i="10" s="1"/>
  <c r="P15" i="10" s="1"/>
  <c r="U15" i="10"/>
  <c r="O15" i="10"/>
  <c r="K15" i="10"/>
  <c r="V14" i="10"/>
  <c r="M14" i="10" s="1"/>
  <c r="AE14" i="10" s="1"/>
  <c r="O14" i="10"/>
  <c r="K14" i="10"/>
  <c r="AD13" i="10"/>
  <c r="Z13" i="10"/>
  <c r="Y13" i="10"/>
  <c r="Y2" i="10" s="1"/>
  <c r="K6" i="9" s="1"/>
  <c r="O13" i="10"/>
  <c r="K13" i="10"/>
  <c r="V12" i="10"/>
  <c r="U12" i="10"/>
  <c r="O12" i="10"/>
  <c r="M12" i="10"/>
  <c r="K12" i="10"/>
  <c r="V11" i="10"/>
  <c r="O11" i="10"/>
  <c r="M11" i="10"/>
  <c r="N11" i="10" s="1"/>
  <c r="K11" i="10"/>
  <c r="AD10" i="10"/>
  <c r="Z10" i="10"/>
  <c r="Y10" i="10"/>
  <c r="O10" i="10"/>
  <c r="K10" i="10"/>
  <c r="D13" i="9" s="1"/>
  <c r="V9" i="10"/>
  <c r="U9" i="10"/>
  <c r="O9" i="10"/>
  <c r="M9" i="10"/>
  <c r="AE9" i="10" s="1"/>
  <c r="K9" i="10"/>
  <c r="V8" i="10"/>
  <c r="M8" i="10" s="1"/>
  <c r="N8" i="10" s="1"/>
  <c r="U8" i="10"/>
  <c r="O8" i="10"/>
  <c r="K8" i="10"/>
  <c r="V7" i="10"/>
  <c r="M7" i="10" s="1"/>
  <c r="N7" i="10" s="1"/>
  <c r="P7" i="10" s="1"/>
  <c r="U7" i="10"/>
  <c r="Q7" i="10"/>
  <c r="O7" i="10"/>
  <c r="K7" i="10"/>
  <c r="V6" i="10"/>
  <c r="M6" i="10" s="1"/>
  <c r="AE6" i="10" s="1"/>
  <c r="U6" i="10"/>
  <c r="O6" i="10"/>
  <c r="K6" i="10"/>
  <c r="V5" i="10"/>
  <c r="M5" i="10" s="1"/>
  <c r="O5" i="10"/>
  <c r="K5" i="10"/>
  <c r="H2" i="10"/>
  <c r="H1" i="10"/>
  <c r="F1" i="10"/>
  <c r="D1" i="10"/>
  <c r="F3" i="9" s="1"/>
  <c r="M22" i="9"/>
  <c r="L22" i="9"/>
  <c r="K22" i="9"/>
  <c r="J22" i="9"/>
  <c r="I22" i="9"/>
  <c r="H22" i="9"/>
  <c r="G22" i="9"/>
  <c r="F22" i="9"/>
  <c r="E22" i="9"/>
  <c r="D22" i="9"/>
  <c r="M21" i="9"/>
  <c r="L21" i="9"/>
  <c r="K21" i="9"/>
  <c r="J21" i="9"/>
  <c r="I21" i="9"/>
  <c r="D21" i="9"/>
  <c r="M20" i="9"/>
  <c r="L20" i="9"/>
  <c r="K20" i="9"/>
  <c r="J20" i="9"/>
  <c r="I20" i="9"/>
  <c r="H20" i="9"/>
  <c r="G20" i="9"/>
  <c r="F20" i="9"/>
  <c r="E20" i="9"/>
  <c r="D20" i="9"/>
  <c r="M19" i="9"/>
  <c r="L19" i="9"/>
  <c r="K19" i="9"/>
  <c r="J19" i="9"/>
  <c r="I19" i="9"/>
  <c r="G19" i="9"/>
  <c r="D19" i="9"/>
  <c r="M18" i="9"/>
  <c r="L18" i="9"/>
  <c r="K18" i="9"/>
  <c r="J18" i="9"/>
  <c r="I18" i="9"/>
  <c r="H18" i="9"/>
  <c r="G18" i="9"/>
  <c r="E18" i="9"/>
  <c r="D18" i="9"/>
  <c r="M17" i="9"/>
  <c r="L17" i="9"/>
  <c r="K17" i="9"/>
  <c r="J17" i="9"/>
  <c r="I17" i="9"/>
  <c r="H17" i="9"/>
  <c r="G17" i="9"/>
  <c r="F17" i="9"/>
  <c r="E17" i="9"/>
  <c r="D17" i="9"/>
  <c r="M16" i="9"/>
  <c r="L16" i="9"/>
  <c r="K16" i="9"/>
  <c r="J16" i="9"/>
  <c r="I16" i="9"/>
  <c r="H16" i="9"/>
  <c r="G16" i="9"/>
  <c r="F16" i="9"/>
  <c r="E16" i="9"/>
  <c r="D16" i="9"/>
  <c r="L13" i="9"/>
  <c r="K13" i="9"/>
  <c r="I6" i="9" s="1"/>
  <c r="J13" i="9"/>
  <c r="I13" i="9"/>
  <c r="H13" i="9"/>
  <c r="E6" i="9" s="1"/>
  <c r="G13" i="9"/>
  <c r="F13" i="9"/>
  <c r="E13" i="9"/>
  <c r="M6" i="9"/>
  <c r="C3" i="9"/>
  <c r="Q26" i="10" l="1"/>
  <c r="P26" i="10"/>
  <c r="N48" i="10"/>
  <c r="AF48" i="10"/>
  <c r="AE48" i="10"/>
  <c r="Q66" i="10"/>
  <c r="P66" i="10"/>
  <c r="AF14" i="10"/>
  <c r="Q30" i="10"/>
  <c r="AF61" i="10"/>
  <c r="AF41" i="10"/>
  <c r="AE23" i="10"/>
  <c r="AE30" i="10"/>
  <c r="N71" i="12"/>
  <c r="AF23" i="10"/>
  <c r="AF30" i="10"/>
  <c r="AE69" i="10"/>
  <c r="P42" i="12"/>
  <c r="L14" i="13"/>
  <c r="L15" i="13" s="1"/>
  <c r="Q40" i="14"/>
  <c r="R35" i="14" s="1"/>
  <c r="P40" i="14"/>
  <c r="AF69" i="10"/>
  <c r="F2" i="10"/>
  <c r="AE8" i="10"/>
  <c r="AE31" i="10"/>
  <c r="AF8" i="10"/>
  <c r="AF31" i="10"/>
  <c r="P13" i="14"/>
  <c r="Q13" i="14"/>
  <c r="R11" i="14" s="1"/>
  <c r="P33" i="12"/>
  <c r="P22" i="10"/>
  <c r="I3" i="9"/>
  <c r="AF22" i="10"/>
  <c r="Q68" i="10"/>
  <c r="P28" i="14"/>
  <c r="F8" i="17"/>
  <c r="E8" i="17"/>
  <c r="G8" i="17"/>
  <c r="K15" i="15"/>
  <c r="I8" i="15" s="1"/>
  <c r="I7" i="15"/>
  <c r="D15" i="15"/>
  <c r="G7" i="15"/>
  <c r="F7" i="15"/>
  <c r="E7" i="15"/>
  <c r="P21" i="14"/>
  <c r="Q21" i="14"/>
  <c r="R14" i="14" s="1"/>
  <c r="I14" i="13"/>
  <c r="I15" i="13" s="1"/>
  <c r="Q58" i="14"/>
  <c r="R49" i="14" s="1"/>
  <c r="P58" i="14"/>
  <c r="D2" i="14"/>
  <c r="Q10" i="14"/>
  <c r="R5" i="14" s="1"/>
  <c r="P10" i="14"/>
  <c r="D14" i="13"/>
  <c r="K15" i="13"/>
  <c r="I7" i="13"/>
  <c r="K15" i="11"/>
  <c r="Q70" i="12"/>
  <c r="P70" i="12"/>
  <c r="Q62" i="12"/>
  <c r="P62" i="12"/>
  <c r="AF10" i="12"/>
  <c r="AG5" i="12" s="1"/>
  <c r="AE10" i="12"/>
  <c r="N10" i="12"/>
  <c r="Q18" i="12"/>
  <c r="P18" i="12"/>
  <c r="Q55" i="12"/>
  <c r="P55" i="12"/>
  <c r="P67" i="12"/>
  <c r="Q67" i="12"/>
  <c r="Q44" i="12"/>
  <c r="P44" i="12"/>
  <c r="N27" i="12"/>
  <c r="AE27" i="12"/>
  <c r="AF27" i="12"/>
  <c r="AG21" i="12" s="1"/>
  <c r="AF57" i="12"/>
  <c r="AG48" i="12" s="1"/>
  <c r="AE57" i="12"/>
  <c r="N57" i="12"/>
  <c r="Q58" i="12"/>
  <c r="P58" i="12"/>
  <c r="Q28" i="12"/>
  <c r="P28" i="12"/>
  <c r="N47" i="12"/>
  <c r="AF47" i="12"/>
  <c r="AG40" i="12" s="1"/>
  <c r="AE47" i="12"/>
  <c r="N13" i="12"/>
  <c r="AF13" i="12"/>
  <c r="AG11" i="12" s="1"/>
  <c r="AE13" i="12"/>
  <c r="Q49" i="12"/>
  <c r="P49" i="12"/>
  <c r="Q50" i="12"/>
  <c r="P50" i="12"/>
  <c r="Q40" i="12"/>
  <c r="P40" i="12"/>
  <c r="Q14" i="12"/>
  <c r="P14" i="12"/>
  <c r="Q29" i="12"/>
  <c r="P29" i="12"/>
  <c r="P65" i="12"/>
  <c r="Q65" i="12"/>
  <c r="Q37" i="12"/>
  <c r="P37" i="12"/>
  <c r="P21" i="12"/>
  <c r="Q21" i="12"/>
  <c r="N39" i="12"/>
  <c r="AF39" i="12"/>
  <c r="AG34" i="12" s="1"/>
  <c r="AE39" i="12"/>
  <c r="N20" i="12"/>
  <c r="AE20" i="12"/>
  <c r="AF20" i="12"/>
  <c r="AG14" i="12" s="1"/>
  <c r="P51" i="12"/>
  <c r="Q51" i="12"/>
  <c r="Q12" i="12"/>
  <c r="P12" i="12"/>
  <c r="Q71" i="12"/>
  <c r="R65" i="12" s="1"/>
  <c r="P71" i="12"/>
  <c r="M14" i="11"/>
  <c r="M15" i="11" s="1"/>
  <c r="P36" i="12"/>
  <c r="Q36" i="12"/>
  <c r="AF64" i="12"/>
  <c r="AG58" i="12" s="1"/>
  <c r="AE64" i="12"/>
  <c r="N64" i="12"/>
  <c r="Q35" i="12"/>
  <c r="P35" i="12"/>
  <c r="Q32" i="12"/>
  <c r="P32" i="12"/>
  <c r="P59" i="12"/>
  <c r="Q59" i="12"/>
  <c r="P52" i="12"/>
  <c r="Q52" i="12"/>
  <c r="Q17" i="12"/>
  <c r="P17" i="12"/>
  <c r="Q9" i="12"/>
  <c r="P9" i="12"/>
  <c r="P45" i="12"/>
  <c r="Q45" i="12"/>
  <c r="Q44" i="10"/>
  <c r="P44" i="10"/>
  <c r="Q11" i="10"/>
  <c r="P11" i="10"/>
  <c r="N59" i="10"/>
  <c r="AF59" i="10"/>
  <c r="AE59" i="10"/>
  <c r="N9" i="10"/>
  <c r="AE15" i="10"/>
  <c r="AF35" i="10"/>
  <c r="AE35" i="10"/>
  <c r="AE38" i="10"/>
  <c r="AE49" i="10"/>
  <c r="N49" i="10"/>
  <c r="AE51" i="10"/>
  <c r="AF51" i="10"/>
  <c r="N52" i="10"/>
  <c r="AF52" i="10"/>
  <c r="AE52" i="10"/>
  <c r="AE54" i="10"/>
  <c r="N51" i="10"/>
  <c r="AF54" i="10"/>
  <c r="P65" i="10"/>
  <c r="AE7" i="10"/>
  <c r="AF25" i="10"/>
  <c r="AE25" i="10"/>
  <c r="AE32" i="10"/>
  <c r="N32" i="10"/>
  <c r="P58" i="10"/>
  <c r="AE62" i="10"/>
  <c r="N62" i="10"/>
  <c r="M64" i="10"/>
  <c r="AE68" i="10"/>
  <c r="AF7" i="10"/>
  <c r="AF18" i="10"/>
  <c r="AE18" i="10"/>
  <c r="N25" i="10"/>
  <c r="N28" i="10"/>
  <c r="AF28" i="10"/>
  <c r="AE28" i="10"/>
  <c r="AF34" i="10"/>
  <c r="AE34" i="10"/>
  <c r="M39" i="10"/>
  <c r="AE55" i="10"/>
  <c r="N55" i="10"/>
  <c r="M57" i="10"/>
  <c r="AF68" i="10"/>
  <c r="AF9" i="10"/>
  <c r="M20" i="10"/>
  <c r="N14" i="10"/>
  <c r="N18" i="10"/>
  <c r="M27" i="10"/>
  <c r="N21" i="10"/>
  <c r="AF21" i="10"/>
  <c r="Q23" i="10"/>
  <c r="P23" i="10"/>
  <c r="N34" i="10"/>
  <c r="Q46" i="10"/>
  <c r="AF49" i="10"/>
  <c r="AF65" i="10"/>
  <c r="AE65" i="10"/>
  <c r="Q54" i="10"/>
  <c r="P54" i="10"/>
  <c r="AE70" i="10"/>
  <c r="N70" i="10"/>
  <c r="AF5" i="10"/>
  <c r="AE5" i="10"/>
  <c r="AF15" i="10"/>
  <c r="N35" i="10"/>
  <c r="AF38" i="10"/>
  <c r="AE42" i="10"/>
  <c r="N42" i="10"/>
  <c r="N45" i="10"/>
  <c r="AF45" i="10"/>
  <c r="AE45" i="10"/>
  <c r="M13" i="10"/>
  <c r="AF11" i="10"/>
  <c r="AE11" i="10"/>
  <c r="G6" i="9"/>
  <c r="F6" i="9"/>
  <c r="Q16" i="10"/>
  <c r="P16" i="10"/>
  <c r="AF42" i="10"/>
  <c r="Q48" i="10"/>
  <c r="P48" i="10"/>
  <c r="AF58" i="10"/>
  <c r="AE58" i="10"/>
  <c r="M71" i="10"/>
  <c r="N29" i="10"/>
  <c r="AF29" i="10"/>
  <c r="AE29" i="10"/>
  <c r="AE44" i="10"/>
  <c r="AF44" i="10"/>
  <c r="M10" i="10"/>
  <c r="AE16" i="10"/>
  <c r="AF32" i="10"/>
  <c r="AE36" i="10"/>
  <c r="AF36" i="10"/>
  <c r="N37" i="10"/>
  <c r="AF37" i="10"/>
  <c r="AE37" i="10"/>
  <c r="AF50" i="10"/>
  <c r="AE50" i="10"/>
  <c r="AE53" i="10"/>
  <c r="AF62" i="10"/>
  <c r="N6" i="10"/>
  <c r="AF6" i="10"/>
  <c r="Q8" i="10"/>
  <c r="P8" i="10"/>
  <c r="AF16" i="10"/>
  <c r="N36" i="10"/>
  <c r="AF43" i="10"/>
  <c r="AE43" i="10"/>
  <c r="AE46" i="10"/>
  <c r="N50" i="10"/>
  <c r="AF53" i="10"/>
  <c r="AF55" i="10"/>
  <c r="Q69" i="10"/>
  <c r="P69" i="10"/>
  <c r="N5" i="10"/>
  <c r="Q22" i="10"/>
  <c r="AE24" i="10"/>
  <c r="N24" i="10"/>
  <c r="AE26" i="10"/>
  <c r="AF26" i="10"/>
  <c r="M33" i="10"/>
  <c r="Q43" i="10"/>
  <c r="P43" i="10"/>
  <c r="AF46" i="10"/>
  <c r="AF63" i="10"/>
  <c r="AE63" i="10"/>
  <c r="AE66" i="10"/>
  <c r="AF66" i="10"/>
  <c r="N67" i="10"/>
  <c r="AE67" i="10"/>
  <c r="AF67" i="10"/>
  <c r="AE12" i="10"/>
  <c r="AF12" i="10"/>
  <c r="E19" i="9"/>
  <c r="Z2" i="10"/>
  <c r="L6" i="9" s="1"/>
  <c r="Q15" i="10"/>
  <c r="AE17" i="10"/>
  <c r="N17" i="10"/>
  <c r="AE19" i="10"/>
  <c r="AF19" i="10"/>
  <c r="Q38" i="10"/>
  <c r="Q41" i="10"/>
  <c r="P41" i="10"/>
  <c r="AF56" i="10"/>
  <c r="AE56" i="10"/>
  <c r="Q63" i="10"/>
  <c r="P63" i="10"/>
  <c r="N12" i="10"/>
  <c r="AD2" i="10"/>
  <c r="N6" i="9" s="1"/>
  <c r="E21" i="9"/>
  <c r="N19" i="10"/>
  <c r="Q31" i="10"/>
  <c r="P31" i="10"/>
  <c r="M47" i="10"/>
  <c r="AE41" i="10"/>
  <c r="N56" i="10"/>
  <c r="Q61" i="10"/>
  <c r="P61" i="10"/>
  <c r="N40" i="10"/>
  <c r="AD77" i="8"/>
  <c r="Z77" i="8"/>
  <c r="Y77" i="8"/>
  <c r="O77" i="8"/>
  <c r="K77" i="8"/>
  <c r="M13" i="7" s="1"/>
  <c r="V76" i="8"/>
  <c r="M76" i="8" s="1"/>
  <c r="U76" i="8"/>
  <c r="O76" i="8"/>
  <c r="K76" i="8"/>
  <c r="X75" i="8"/>
  <c r="W75" i="8"/>
  <c r="V75" i="8"/>
  <c r="M75" i="8" s="1"/>
  <c r="U75" i="8"/>
  <c r="O75" i="8"/>
  <c r="K75" i="8"/>
  <c r="V74" i="8"/>
  <c r="M74" i="8" s="1"/>
  <c r="N74" i="8" s="1"/>
  <c r="U74" i="8"/>
  <c r="O74" i="8"/>
  <c r="K74" i="8"/>
  <c r="V73" i="8"/>
  <c r="M73" i="8" s="1"/>
  <c r="U73" i="8"/>
  <c r="O73" i="8"/>
  <c r="K73" i="8"/>
  <c r="V72" i="8"/>
  <c r="M72" i="8" s="1"/>
  <c r="U72" i="8"/>
  <c r="O72" i="8"/>
  <c r="K72" i="8"/>
  <c r="V71" i="8"/>
  <c r="M71" i="8" s="1"/>
  <c r="N71" i="8" s="1"/>
  <c r="U71" i="8"/>
  <c r="O71" i="8"/>
  <c r="K71" i="8"/>
  <c r="X70" i="8"/>
  <c r="W70" i="8"/>
  <c r="V70" i="8"/>
  <c r="M70" i="8" s="1"/>
  <c r="N70" i="8" s="1"/>
  <c r="O70" i="8"/>
  <c r="K70" i="8"/>
  <c r="AD69" i="8"/>
  <c r="Z69" i="8"/>
  <c r="Y69" i="8"/>
  <c r="O69" i="8"/>
  <c r="K69" i="8"/>
  <c r="V68" i="8"/>
  <c r="M68" i="8" s="1"/>
  <c r="U68" i="8"/>
  <c r="O68" i="8"/>
  <c r="K68" i="8"/>
  <c r="V67" i="8"/>
  <c r="M67" i="8" s="1"/>
  <c r="U67" i="8"/>
  <c r="O67" i="8"/>
  <c r="K67" i="8"/>
  <c r="V66" i="8"/>
  <c r="M66" i="8" s="1"/>
  <c r="N66" i="8" s="1"/>
  <c r="U66" i="8"/>
  <c r="O66" i="8"/>
  <c r="K66" i="8"/>
  <c r="V65" i="8"/>
  <c r="M65" i="8" s="1"/>
  <c r="U65" i="8"/>
  <c r="O65" i="8"/>
  <c r="K65" i="8"/>
  <c r="V64" i="8"/>
  <c r="M64" i="8" s="1"/>
  <c r="U64" i="8"/>
  <c r="O64" i="8"/>
  <c r="K64" i="8"/>
  <c r="V63" i="8"/>
  <c r="M63" i="8" s="1"/>
  <c r="O63" i="8"/>
  <c r="N63" i="8"/>
  <c r="Q63" i="8" s="1"/>
  <c r="K63" i="8"/>
  <c r="AD62" i="8"/>
  <c r="Z62" i="8"/>
  <c r="Y62" i="8"/>
  <c r="O62" i="8"/>
  <c r="K62" i="8"/>
  <c r="V61" i="8"/>
  <c r="U61" i="8"/>
  <c r="O61" i="8"/>
  <c r="M61" i="8"/>
  <c r="N61" i="8" s="1"/>
  <c r="K61" i="8"/>
  <c r="X60" i="8"/>
  <c r="W60" i="8"/>
  <c r="V60" i="8"/>
  <c r="U60" i="8"/>
  <c r="O60" i="8"/>
  <c r="M60" i="8"/>
  <c r="AE60" i="8" s="1"/>
  <c r="K60" i="8"/>
  <c r="V59" i="8"/>
  <c r="M59" i="8" s="1"/>
  <c r="U59" i="8"/>
  <c r="O59" i="8"/>
  <c r="K59" i="8"/>
  <c r="V58" i="8"/>
  <c r="M58" i="8" s="1"/>
  <c r="N58" i="8" s="1"/>
  <c r="U58" i="8"/>
  <c r="O58" i="8"/>
  <c r="K58" i="8"/>
  <c r="AE57" i="8"/>
  <c r="V57" i="8"/>
  <c r="M57" i="8" s="1"/>
  <c r="U57" i="8"/>
  <c r="O57" i="8"/>
  <c r="K57" i="8"/>
  <c r="V56" i="8"/>
  <c r="M56" i="8" s="1"/>
  <c r="U56" i="8"/>
  <c r="O56" i="8"/>
  <c r="K56" i="8"/>
  <c r="V55" i="8"/>
  <c r="U55" i="8"/>
  <c r="O55" i="8"/>
  <c r="M55" i="8"/>
  <c r="N55" i="8" s="1"/>
  <c r="Q55" i="8" s="1"/>
  <c r="K55" i="8"/>
  <c r="V54" i="8"/>
  <c r="U54" i="8"/>
  <c r="O54" i="8"/>
  <c r="M54" i="8"/>
  <c r="N54" i="8" s="1"/>
  <c r="K54" i="8"/>
  <c r="V53" i="8"/>
  <c r="M53" i="8" s="1"/>
  <c r="U53" i="8"/>
  <c r="O53" i="8"/>
  <c r="K53" i="8"/>
  <c r="V52" i="8"/>
  <c r="M52" i="8" s="1"/>
  <c r="O52" i="8"/>
  <c r="K52" i="8"/>
  <c r="AD51" i="8"/>
  <c r="H21" i="7" s="1"/>
  <c r="Z51" i="8"/>
  <c r="H19" i="7" s="1"/>
  <c r="Y51" i="8"/>
  <c r="O51" i="8"/>
  <c r="K51" i="8"/>
  <c r="V50" i="8"/>
  <c r="M50" i="8" s="1"/>
  <c r="U50" i="8"/>
  <c r="O50" i="8"/>
  <c r="K50" i="8"/>
  <c r="X49" i="8"/>
  <c r="W49" i="8"/>
  <c r="V49" i="8"/>
  <c r="M49" i="8" s="1"/>
  <c r="U49" i="8"/>
  <c r="O49" i="8"/>
  <c r="K49" i="8"/>
  <c r="V48" i="8"/>
  <c r="M48" i="8" s="1"/>
  <c r="U48" i="8"/>
  <c r="O48" i="8"/>
  <c r="K48" i="8"/>
  <c r="V47" i="8"/>
  <c r="U47" i="8"/>
  <c r="O47" i="8"/>
  <c r="M47" i="8"/>
  <c r="K47" i="8"/>
  <c r="V46" i="8"/>
  <c r="M46" i="8" s="1"/>
  <c r="N46" i="8" s="1"/>
  <c r="U46" i="8"/>
  <c r="O46" i="8"/>
  <c r="K46" i="8"/>
  <c r="V45" i="8"/>
  <c r="M45" i="8" s="1"/>
  <c r="U45" i="8"/>
  <c r="O45" i="8"/>
  <c r="K45" i="8"/>
  <c r="AE44" i="8"/>
  <c r="V44" i="8"/>
  <c r="M44" i="8" s="1"/>
  <c r="N44" i="8" s="1"/>
  <c r="U44" i="8"/>
  <c r="O44" i="8"/>
  <c r="K44" i="8"/>
  <c r="AE43" i="8"/>
  <c r="X43" i="8"/>
  <c r="W43" i="8"/>
  <c r="V43" i="8"/>
  <c r="O43" i="8"/>
  <c r="M43" i="8"/>
  <c r="AF43" i="8" s="1"/>
  <c r="K43" i="8"/>
  <c r="AD42" i="8"/>
  <c r="L21" i="7" s="1"/>
  <c r="Z42" i="8"/>
  <c r="L19" i="7" s="1"/>
  <c r="Y42" i="8"/>
  <c r="O42" i="8"/>
  <c r="K42" i="8"/>
  <c r="V41" i="8"/>
  <c r="M41" i="8" s="1"/>
  <c r="U41" i="8"/>
  <c r="O41" i="8"/>
  <c r="K41" i="8"/>
  <c r="V40" i="8"/>
  <c r="M40" i="8" s="1"/>
  <c r="U40" i="8"/>
  <c r="O40" i="8"/>
  <c r="K40" i="8"/>
  <c r="V39" i="8"/>
  <c r="M39" i="8" s="1"/>
  <c r="N39" i="8" s="1"/>
  <c r="Q39" i="8" s="1"/>
  <c r="U39" i="8"/>
  <c r="O39" i="8"/>
  <c r="K39" i="8"/>
  <c r="V38" i="8"/>
  <c r="M38" i="8" s="1"/>
  <c r="U38" i="8"/>
  <c r="O38" i="8"/>
  <c r="K38" i="8"/>
  <c r="X37" i="8"/>
  <c r="W37" i="8"/>
  <c r="V37" i="8"/>
  <c r="O37" i="8"/>
  <c r="M37" i="8"/>
  <c r="K37" i="8"/>
  <c r="AD36" i="8"/>
  <c r="Z36" i="8"/>
  <c r="Y36" i="8"/>
  <c r="O36" i="8"/>
  <c r="K36" i="8"/>
  <c r="V35" i="8"/>
  <c r="U35" i="8"/>
  <c r="O35" i="8"/>
  <c r="M35" i="8"/>
  <c r="AE35" i="8" s="1"/>
  <c r="K35" i="8"/>
  <c r="AF34" i="8"/>
  <c r="X34" i="8"/>
  <c r="W34" i="8"/>
  <c r="V34" i="8"/>
  <c r="U34" i="8"/>
  <c r="O34" i="8"/>
  <c r="M34" i="8"/>
  <c r="N34" i="8" s="1"/>
  <c r="K34" i="8"/>
  <c r="V33" i="8"/>
  <c r="M33" i="8" s="1"/>
  <c r="N33" i="8" s="1"/>
  <c r="U33" i="8"/>
  <c r="O33" i="8"/>
  <c r="K33" i="8"/>
  <c r="V32" i="8"/>
  <c r="M32" i="8" s="1"/>
  <c r="U32" i="8"/>
  <c r="O32" i="8"/>
  <c r="K32" i="8"/>
  <c r="V31" i="8"/>
  <c r="M31" i="8" s="1"/>
  <c r="U31" i="8"/>
  <c r="O31" i="8"/>
  <c r="K31" i="8"/>
  <c r="X30" i="8"/>
  <c r="W30" i="8"/>
  <c r="V30" i="8"/>
  <c r="M30" i="8" s="1"/>
  <c r="O30" i="8"/>
  <c r="K30" i="8"/>
  <c r="AD29" i="8"/>
  <c r="Z29" i="8"/>
  <c r="G19" i="7" s="1"/>
  <c r="Y29" i="8"/>
  <c r="G18" i="7" s="1"/>
  <c r="O29" i="8"/>
  <c r="K29" i="8"/>
  <c r="V28" i="8"/>
  <c r="M28" i="8" s="1"/>
  <c r="N28" i="8" s="1"/>
  <c r="Q28" i="8" s="1"/>
  <c r="U28" i="8"/>
  <c r="O28" i="8"/>
  <c r="K28" i="8"/>
  <c r="X27" i="8"/>
  <c r="W27" i="8"/>
  <c r="V27" i="8"/>
  <c r="M27" i="8" s="1"/>
  <c r="U27" i="8"/>
  <c r="O27" i="8"/>
  <c r="K27" i="8"/>
  <c r="V26" i="8"/>
  <c r="U26" i="8"/>
  <c r="O26" i="8"/>
  <c r="M26" i="8"/>
  <c r="N26" i="8" s="1"/>
  <c r="K26" i="8"/>
  <c r="V25" i="8"/>
  <c r="M25" i="8" s="1"/>
  <c r="U25" i="8"/>
  <c r="O25" i="8"/>
  <c r="K25" i="8"/>
  <c r="V24" i="8"/>
  <c r="M24" i="8" s="1"/>
  <c r="N24" i="8" s="1"/>
  <c r="U24" i="8"/>
  <c r="O24" i="8"/>
  <c r="K24" i="8"/>
  <c r="V23" i="8"/>
  <c r="M23" i="8" s="1"/>
  <c r="AF23" i="8" s="1"/>
  <c r="O23" i="8"/>
  <c r="K23" i="8"/>
  <c r="AD22" i="8"/>
  <c r="F21" i="7" s="1"/>
  <c r="Z22" i="8"/>
  <c r="F19" i="7" s="1"/>
  <c r="Y22" i="8"/>
  <c r="F18" i="7" s="1"/>
  <c r="O22" i="8"/>
  <c r="K22" i="8"/>
  <c r="V21" i="8"/>
  <c r="M21" i="8" s="1"/>
  <c r="U21" i="8"/>
  <c r="O21" i="8"/>
  <c r="K21" i="8"/>
  <c r="X20" i="8"/>
  <c r="W20" i="8"/>
  <c r="V20" i="8"/>
  <c r="M20" i="8" s="1"/>
  <c r="U20" i="8"/>
  <c r="O20" i="8"/>
  <c r="K20" i="8"/>
  <c r="V19" i="8"/>
  <c r="M19" i="8" s="1"/>
  <c r="N19" i="8" s="1"/>
  <c r="Q19" i="8" s="1"/>
  <c r="U19" i="8"/>
  <c r="O19" i="8"/>
  <c r="K19" i="8"/>
  <c r="V18" i="8"/>
  <c r="M18" i="8" s="1"/>
  <c r="N18" i="8" s="1"/>
  <c r="U18" i="8"/>
  <c r="O18" i="8"/>
  <c r="K18" i="8"/>
  <c r="V17" i="8"/>
  <c r="M17" i="8" s="1"/>
  <c r="U17" i="8"/>
  <c r="O17" i="8"/>
  <c r="K17" i="8"/>
  <c r="AF16" i="8"/>
  <c r="V16" i="8"/>
  <c r="M16" i="8" s="1"/>
  <c r="N16" i="8" s="1"/>
  <c r="U16" i="8"/>
  <c r="O16" i="8"/>
  <c r="K16" i="8"/>
  <c r="V15" i="8"/>
  <c r="M15" i="8" s="1"/>
  <c r="O15" i="8"/>
  <c r="K15" i="8"/>
  <c r="AD14" i="8"/>
  <c r="Z14" i="8"/>
  <c r="Y14" i="8"/>
  <c r="O14" i="8"/>
  <c r="K14" i="8"/>
  <c r="V13" i="8"/>
  <c r="M13" i="8" s="1"/>
  <c r="U13" i="8"/>
  <c r="O13" i="8"/>
  <c r="K13" i="8"/>
  <c r="V12" i="8"/>
  <c r="M12" i="8" s="1"/>
  <c r="N12" i="8" s="1"/>
  <c r="O12" i="8"/>
  <c r="K12" i="8"/>
  <c r="AD11" i="8"/>
  <c r="D21" i="7" s="1"/>
  <c r="Z11" i="8"/>
  <c r="Y11" i="8"/>
  <c r="O11" i="8"/>
  <c r="K11" i="8"/>
  <c r="V10" i="8"/>
  <c r="U10" i="8"/>
  <c r="O10" i="8"/>
  <c r="N10" i="8"/>
  <c r="M10" i="8"/>
  <c r="K10" i="8"/>
  <c r="X9" i="8"/>
  <c r="W9" i="8"/>
  <c r="V9" i="8"/>
  <c r="M9" i="8" s="1"/>
  <c r="U9" i="8"/>
  <c r="O9" i="8"/>
  <c r="K9" i="8"/>
  <c r="V8" i="8"/>
  <c r="M8" i="8" s="1"/>
  <c r="U8" i="8"/>
  <c r="O8" i="8"/>
  <c r="K8" i="8"/>
  <c r="AE7" i="8"/>
  <c r="V7" i="8"/>
  <c r="M7" i="8" s="1"/>
  <c r="N7" i="8" s="1"/>
  <c r="U7" i="8"/>
  <c r="O7" i="8"/>
  <c r="K7" i="8"/>
  <c r="AE6" i="8"/>
  <c r="V6" i="8"/>
  <c r="M6" i="8" s="1"/>
  <c r="U6" i="8"/>
  <c r="O6" i="8"/>
  <c r="K6" i="8"/>
  <c r="V5" i="8"/>
  <c r="M5" i="8" s="1"/>
  <c r="O5" i="8"/>
  <c r="K5" i="8"/>
  <c r="H2" i="8"/>
  <c r="H1" i="8"/>
  <c r="F1" i="8"/>
  <c r="D1" i="8"/>
  <c r="M22" i="7"/>
  <c r="L22" i="7"/>
  <c r="K22" i="7"/>
  <c r="J22" i="7"/>
  <c r="I22" i="7"/>
  <c r="H22" i="7"/>
  <c r="G22" i="7"/>
  <c r="F22" i="7"/>
  <c r="E22" i="7"/>
  <c r="D22" i="7"/>
  <c r="M21" i="7"/>
  <c r="K21" i="7"/>
  <c r="J21" i="7"/>
  <c r="I21" i="7"/>
  <c r="G21" i="7"/>
  <c r="M20" i="7"/>
  <c r="L20" i="7"/>
  <c r="K20" i="7"/>
  <c r="J20" i="7"/>
  <c r="I20" i="7"/>
  <c r="H20" i="7"/>
  <c r="G20" i="7"/>
  <c r="F20" i="7"/>
  <c r="E20" i="7"/>
  <c r="D20" i="7"/>
  <c r="M19" i="7"/>
  <c r="K19" i="7"/>
  <c r="J19" i="7"/>
  <c r="I19" i="7"/>
  <c r="D19" i="7"/>
  <c r="M18" i="7"/>
  <c r="L18" i="7"/>
  <c r="K18" i="7"/>
  <c r="J18" i="7"/>
  <c r="I18" i="7"/>
  <c r="H18" i="7"/>
  <c r="D18" i="7"/>
  <c r="M17" i="7"/>
  <c r="L17" i="7"/>
  <c r="K17" i="7"/>
  <c r="J17" i="7"/>
  <c r="I17" i="7"/>
  <c r="H17" i="7"/>
  <c r="G17" i="7"/>
  <c r="F17" i="7"/>
  <c r="E17" i="7"/>
  <c r="D17" i="7"/>
  <c r="M16" i="7"/>
  <c r="L16" i="7"/>
  <c r="K16" i="7"/>
  <c r="J16" i="7"/>
  <c r="I16" i="7"/>
  <c r="H16" i="7"/>
  <c r="G16" i="7"/>
  <c r="F16" i="7"/>
  <c r="E16" i="7"/>
  <c r="D16" i="7"/>
  <c r="L13" i="7"/>
  <c r="K13" i="7"/>
  <c r="I6" i="7" s="1"/>
  <c r="J13" i="7"/>
  <c r="I13" i="7"/>
  <c r="H13" i="7"/>
  <c r="E6" i="7" s="1"/>
  <c r="G13" i="7"/>
  <c r="F13" i="7"/>
  <c r="E13" i="7"/>
  <c r="D13" i="7"/>
  <c r="M6" i="7"/>
  <c r="I3" i="7"/>
  <c r="F3" i="7"/>
  <c r="C3" i="7"/>
  <c r="AE9" i="8" l="1"/>
  <c r="AF9" i="8"/>
  <c r="AE8" i="8"/>
  <c r="AF8" i="8"/>
  <c r="AE25" i="8"/>
  <c r="AF25" i="8"/>
  <c r="AE17" i="8"/>
  <c r="AF17" i="8"/>
  <c r="Q70" i="8"/>
  <c r="P70" i="8"/>
  <c r="N52" i="8"/>
  <c r="AF52" i="8"/>
  <c r="AE52" i="8"/>
  <c r="N75" i="8"/>
  <c r="AF75" i="8"/>
  <c r="AE75" i="8"/>
  <c r="AE53" i="8"/>
  <c r="AF53" i="8"/>
  <c r="AE76" i="8"/>
  <c r="AF76" i="8"/>
  <c r="AE45" i="8"/>
  <c r="AF45" i="8"/>
  <c r="AE67" i="8"/>
  <c r="AF67" i="8"/>
  <c r="AE59" i="8"/>
  <c r="AF59" i="8"/>
  <c r="AE33" i="8"/>
  <c r="AF44" i="8"/>
  <c r="AF7" i="8"/>
  <c r="I8" i="13"/>
  <c r="M69" i="8"/>
  <c r="AF69" i="8" s="1"/>
  <c r="AG63" i="8" s="1"/>
  <c r="AE34" i="8"/>
  <c r="F2" i="8"/>
  <c r="AF24" i="8"/>
  <c r="AF35" i="8"/>
  <c r="AE58" i="8"/>
  <c r="AF58" i="8"/>
  <c r="F8" i="15"/>
  <c r="G8" i="15"/>
  <c r="E8" i="15"/>
  <c r="G7" i="13"/>
  <c r="F7" i="13"/>
  <c r="E7" i="13"/>
  <c r="D15" i="13"/>
  <c r="P57" i="12"/>
  <c r="I14" i="11"/>
  <c r="I15" i="11" s="1"/>
  <c r="Q57" i="12"/>
  <c r="R48" i="12" s="1"/>
  <c r="D14" i="11"/>
  <c r="D2" i="12"/>
  <c r="Q10" i="12"/>
  <c r="R5" i="12" s="1"/>
  <c r="P10" i="12"/>
  <c r="E14" i="11"/>
  <c r="E15" i="11" s="1"/>
  <c r="Q13" i="12"/>
  <c r="R11" i="12" s="1"/>
  <c r="P13" i="12"/>
  <c r="P64" i="12"/>
  <c r="J14" i="11"/>
  <c r="J15" i="11" s="1"/>
  <c r="Q64" i="12"/>
  <c r="R58" i="12" s="1"/>
  <c r="G14" i="11"/>
  <c r="G15" i="11" s="1"/>
  <c r="Q27" i="12"/>
  <c r="R21" i="12" s="1"/>
  <c r="P27" i="12"/>
  <c r="F14" i="11"/>
  <c r="F15" i="11" s="1"/>
  <c r="Q20" i="12"/>
  <c r="R14" i="12" s="1"/>
  <c r="P20" i="12"/>
  <c r="H14" i="11"/>
  <c r="H15" i="11" s="1"/>
  <c r="Q47" i="12"/>
  <c r="R40" i="12" s="1"/>
  <c r="P47" i="12"/>
  <c r="Q39" i="12"/>
  <c r="R34" i="12" s="1"/>
  <c r="P39" i="12"/>
  <c r="L14" i="11"/>
  <c r="Q6" i="10"/>
  <c r="P6" i="10"/>
  <c r="Q50" i="10"/>
  <c r="P50" i="10"/>
  <c r="N39" i="10"/>
  <c r="AF39" i="10"/>
  <c r="AG34" i="10" s="1"/>
  <c r="AE39" i="10"/>
  <c r="P62" i="10"/>
  <c r="Q62" i="10"/>
  <c r="P9" i="10"/>
  <c r="Q9" i="10"/>
  <c r="AF33" i="10"/>
  <c r="AG28" i="10" s="1"/>
  <c r="AE33" i="10"/>
  <c r="N33" i="10"/>
  <c r="P5" i="10"/>
  <c r="Q5" i="10"/>
  <c r="AF10" i="10"/>
  <c r="AG5" i="10" s="1"/>
  <c r="AE10" i="10"/>
  <c r="N10" i="10"/>
  <c r="Q12" i="10"/>
  <c r="P12" i="10"/>
  <c r="Q34" i="10"/>
  <c r="P34" i="10"/>
  <c r="Q29" i="10"/>
  <c r="P29" i="10"/>
  <c r="P70" i="10"/>
  <c r="Q70" i="10"/>
  <c r="P21" i="10"/>
  <c r="Q21" i="10"/>
  <c r="Q52" i="10"/>
  <c r="P52" i="10"/>
  <c r="Q59" i="10"/>
  <c r="P59" i="10"/>
  <c r="P56" i="10"/>
  <c r="Q56" i="10"/>
  <c r="AF71" i="10"/>
  <c r="AG65" i="10" s="1"/>
  <c r="AE71" i="10"/>
  <c r="N71" i="10"/>
  <c r="N13" i="10"/>
  <c r="AE13" i="10"/>
  <c r="AF13" i="10"/>
  <c r="AG11" i="10" s="1"/>
  <c r="Q19" i="10"/>
  <c r="P19" i="10"/>
  <c r="P17" i="10"/>
  <c r="Q17" i="10"/>
  <c r="Q35" i="10"/>
  <c r="P35" i="10"/>
  <c r="P55" i="10"/>
  <c r="Q55" i="10"/>
  <c r="Q40" i="10"/>
  <c r="P40" i="10"/>
  <c r="P32" i="10"/>
  <c r="Q32" i="10"/>
  <c r="N47" i="10"/>
  <c r="AF47" i="10"/>
  <c r="AG40" i="10" s="1"/>
  <c r="AE47" i="10"/>
  <c r="P24" i="10"/>
  <c r="Q24" i="10"/>
  <c r="Q36" i="10"/>
  <c r="P36" i="10"/>
  <c r="Q37" i="10"/>
  <c r="P37" i="10"/>
  <c r="Q18" i="10"/>
  <c r="P18" i="10"/>
  <c r="P42" i="10"/>
  <c r="Q42" i="10"/>
  <c r="Q67" i="10"/>
  <c r="P67" i="10"/>
  <c r="P14" i="10"/>
  <c r="Q14" i="10"/>
  <c r="Q28" i="10"/>
  <c r="P28" i="10"/>
  <c r="P49" i="10"/>
  <c r="Q49" i="10"/>
  <c r="AF57" i="10"/>
  <c r="AG48" i="10" s="1"/>
  <c r="AE57" i="10"/>
  <c r="N57" i="10"/>
  <c r="Q51" i="10"/>
  <c r="P51" i="10"/>
  <c r="AF64" i="10"/>
  <c r="AG58" i="10" s="1"/>
  <c r="AE64" i="10"/>
  <c r="N64" i="10"/>
  <c r="N27" i="10"/>
  <c r="AE27" i="10"/>
  <c r="AF27" i="10"/>
  <c r="AG21" i="10" s="1"/>
  <c r="P45" i="10"/>
  <c r="Q45" i="10"/>
  <c r="N20" i="10"/>
  <c r="AF20" i="10"/>
  <c r="AG14" i="10" s="1"/>
  <c r="AE20" i="10"/>
  <c r="P25" i="10"/>
  <c r="Q25" i="10"/>
  <c r="Q12" i="8"/>
  <c r="P12" i="8"/>
  <c r="M22" i="8"/>
  <c r="N15" i="8"/>
  <c r="N31" i="8"/>
  <c r="AF31" i="8"/>
  <c r="AE31" i="8"/>
  <c r="AF33" i="8"/>
  <c r="AF37" i="8"/>
  <c r="AE37" i="8"/>
  <c r="M42" i="8"/>
  <c r="AF46" i="8"/>
  <c r="AE46" i="8"/>
  <c r="AF60" i="8"/>
  <c r="AE66" i="8"/>
  <c r="AF70" i="8"/>
  <c r="AE70" i="8"/>
  <c r="AE74" i="8"/>
  <c r="AE15" i="8"/>
  <c r="P19" i="8"/>
  <c r="AF27" i="8"/>
  <c r="AE27" i="8"/>
  <c r="P28" i="8"/>
  <c r="N37" i="8"/>
  <c r="N40" i="8"/>
  <c r="AF40" i="8"/>
  <c r="AE40" i="8"/>
  <c r="Q46" i="8"/>
  <c r="P46" i="8"/>
  <c r="P55" i="8"/>
  <c r="AF66" i="8"/>
  <c r="AF74" i="8"/>
  <c r="N6" i="8"/>
  <c r="AF6" i="8"/>
  <c r="AF10" i="8"/>
  <c r="AE10" i="8"/>
  <c r="N13" i="8"/>
  <c r="AF13" i="8"/>
  <c r="AE13" i="8"/>
  <c r="AF15" i="8"/>
  <c r="N27" i="8"/>
  <c r="Q34" i="8"/>
  <c r="P34" i="8"/>
  <c r="AF39" i="8"/>
  <c r="AE39" i="8"/>
  <c r="Q44" i="8"/>
  <c r="P44" i="8"/>
  <c r="N57" i="8"/>
  <c r="AF57" i="8"/>
  <c r="AF61" i="8"/>
  <c r="AE61" i="8"/>
  <c r="N64" i="8"/>
  <c r="AF64" i="8"/>
  <c r="AE64" i="8"/>
  <c r="N72" i="8"/>
  <c r="AF72" i="8"/>
  <c r="AE72" i="8"/>
  <c r="Q75" i="8"/>
  <c r="P75" i="8"/>
  <c r="AF18" i="8"/>
  <c r="AE18" i="8"/>
  <c r="AE23" i="8"/>
  <c r="N30" i="8"/>
  <c r="AF30" i="8"/>
  <c r="AE30" i="8"/>
  <c r="M51" i="8"/>
  <c r="AF54" i="8"/>
  <c r="AE54" i="8"/>
  <c r="AF71" i="8"/>
  <c r="AE71" i="8"/>
  <c r="Q66" i="8"/>
  <c r="P66" i="8"/>
  <c r="Q74" i="8"/>
  <c r="P74" i="8"/>
  <c r="Q18" i="8"/>
  <c r="P18" i="8"/>
  <c r="N21" i="8"/>
  <c r="AF21" i="8"/>
  <c r="AE21" i="8"/>
  <c r="N32" i="8"/>
  <c r="AF32" i="8"/>
  <c r="M36" i="8"/>
  <c r="P39" i="8"/>
  <c r="N48" i="8"/>
  <c r="AF48" i="8"/>
  <c r="AE48" i="8"/>
  <c r="N50" i="8"/>
  <c r="AF50" i="8"/>
  <c r="Q54" i="8"/>
  <c r="P54" i="8"/>
  <c r="Q71" i="8"/>
  <c r="P71" i="8"/>
  <c r="N5" i="8"/>
  <c r="AE5" i="8"/>
  <c r="AF5" i="8"/>
  <c r="N20" i="8"/>
  <c r="AF20" i="8"/>
  <c r="AE20" i="8"/>
  <c r="N9" i="8"/>
  <c r="E18" i="7"/>
  <c r="Y2" i="8"/>
  <c r="K6" i="7" s="1"/>
  <c r="Q16" i="8"/>
  <c r="P16" i="8"/>
  <c r="AE32" i="8"/>
  <c r="N41" i="8"/>
  <c r="AF41" i="8"/>
  <c r="AF47" i="8"/>
  <c r="AE47" i="8"/>
  <c r="AE50" i="8"/>
  <c r="N60" i="8"/>
  <c r="P63" i="8"/>
  <c r="M77" i="8"/>
  <c r="Q10" i="8"/>
  <c r="P10" i="8"/>
  <c r="M29" i="8"/>
  <c r="N23" i="8"/>
  <c r="Q52" i="8"/>
  <c r="P52" i="8"/>
  <c r="Q61" i="8"/>
  <c r="P61" i="8"/>
  <c r="Q7" i="8"/>
  <c r="P7" i="8"/>
  <c r="E19" i="7"/>
  <c r="Z2" i="8"/>
  <c r="L6" i="7" s="1"/>
  <c r="AE16" i="8"/>
  <c r="AF26" i="8"/>
  <c r="AE26" i="8"/>
  <c r="AE41" i="8"/>
  <c r="N47" i="8"/>
  <c r="Q58" i="8"/>
  <c r="P58" i="8"/>
  <c r="N65" i="8"/>
  <c r="AF65" i="8"/>
  <c r="AE65" i="8"/>
  <c r="N73" i="8"/>
  <c r="AF73" i="8"/>
  <c r="AE73" i="8"/>
  <c r="M11" i="8"/>
  <c r="M14" i="8"/>
  <c r="AF12" i="8"/>
  <c r="AE12" i="8"/>
  <c r="E21" i="7"/>
  <c r="AD2" i="8"/>
  <c r="N6" i="7" s="1"/>
  <c r="Q26" i="8"/>
  <c r="P26" i="8"/>
  <c r="AF38" i="8"/>
  <c r="AE38" i="8"/>
  <c r="M62" i="8"/>
  <c r="AF63" i="8"/>
  <c r="AE63" i="8"/>
  <c r="Q24" i="8"/>
  <c r="P24" i="8"/>
  <c r="N38" i="8"/>
  <c r="N56" i="8"/>
  <c r="AF56" i="8"/>
  <c r="AE56" i="8"/>
  <c r="AF68" i="8"/>
  <c r="AE68" i="8"/>
  <c r="N68" i="8"/>
  <c r="G6" i="7"/>
  <c r="F6" i="7"/>
  <c r="AF19" i="8"/>
  <c r="AE19" i="8"/>
  <c r="AE24" i="8"/>
  <c r="AF28" i="8"/>
  <c r="AE28" i="8"/>
  <c r="Q33" i="8"/>
  <c r="P33" i="8"/>
  <c r="N49" i="8"/>
  <c r="AF49" i="8"/>
  <c r="AE49" i="8"/>
  <c r="AF55" i="8"/>
  <c r="AE55" i="8"/>
  <c r="N8" i="8"/>
  <c r="N17" i="8"/>
  <c r="N25" i="8"/>
  <c r="N35" i="8"/>
  <c r="N45" i="8"/>
  <c r="N53" i="8"/>
  <c r="N59" i="8"/>
  <c r="N67" i="8"/>
  <c r="N76" i="8"/>
  <c r="N43" i="8"/>
  <c r="AD80" i="6"/>
  <c r="Z80" i="6"/>
  <c r="Y80" i="6"/>
  <c r="O80" i="6"/>
  <c r="K80" i="6"/>
  <c r="V79" i="6"/>
  <c r="M79" i="6" s="1"/>
  <c r="U79" i="6"/>
  <c r="O79" i="6"/>
  <c r="K79" i="6"/>
  <c r="X78" i="6"/>
  <c r="W78" i="6"/>
  <c r="V78" i="6"/>
  <c r="M78" i="6" s="1"/>
  <c r="U78" i="6"/>
  <c r="O78" i="6"/>
  <c r="K78" i="6"/>
  <c r="V77" i="6"/>
  <c r="M77" i="6" s="1"/>
  <c r="U77" i="6"/>
  <c r="O77" i="6"/>
  <c r="K77" i="6"/>
  <c r="V76" i="6"/>
  <c r="M76" i="6" s="1"/>
  <c r="U76" i="6"/>
  <c r="O76" i="6"/>
  <c r="K76" i="6"/>
  <c r="V75" i="6"/>
  <c r="M75" i="6" s="1"/>
  <c r="U75" i="6"/>
  <c r="O75" i="6"/>
  <c r="K75" i="6"/>
  <c r="V74" i="6"/>
  <c r="M74" i="6" s="1"/>
  <c r="AF74" i="6" s="1"/>
  <c r="U74" i="6"/>
  <c r="O74" i="6"/>
  <c r="K74" i="6"/>
  <c r="X73" i="6"/>
  <c r="W73" i="6"/>
  <c r="V73" i="6"/>
  <c r="M73" i="6" s="1"/>
  <c r="O73" i="6"/>
  <c r="K73" i="6"/>
  <c r="AD72" i="6"/>
  <c r="Z72" i="6"/>
  <c r="Y72" i="6"/>
  <c r="O72" i="6"/>
  <c r="K72" i="6"/>
  <c r="V71" i="6"/>
  <c r="M71" i="6" s="1"/>
  <c r="U71" i="6"/>
  <c r="O71" i="6"/>
  <c r="K71" i="6"/>
  <c r="V70" i="6"/>
  <c r="U70" i="6"/>
  <c r="O70" i="6"/>
  <c r="M70" i="6"/>
  <c r="AF70" i="6" s="1"/>
  <c r="K70" i="6"/>
  <c r="V69" i="6"/>
  <c r="M69" i="6" s="1"/>
  <c r="U69" i="6"/>
  <c r="O69" i="6"/>
  <c r="K69" i="6"/>
  <c r="V68" i="6"/>
  <c r="M68" i="6" s="1"/>
  <c r="U68" i="6"/>
  <c r="O68" i="6"/>
  <c r="K68" i="6"/>
  <c r="AF67" i="6"/>
  <c r="V67" i="6"/>
  <c r="U67" i="6"/>
  <c r="O67" i="6"/>
  <c r="M67" i="6"/>
  <c r="N67" i="6" s="1"/>
  <c r="K67" i="6"/>
  <c r="V66" i="6"/>
  <c r="O66" i="6"/>
  <c r="N66" i="6"/>
  <c r="Q66" i="6" s="1"/>
  <c r="M66" i="6"/>
  <c r="AF66" i="6" s="1"/>
  <c r="K66" i="6"/>
  <c r="AD65" i="6"/>
  <c r="Z65" i="6"/>
  <c r="Y65" i="6"/>
  <c r="O65" i="6"/>
  <c r="K65" i="6"/>
  <c r="V64" i="6"/>
  <c r="M64" i="6" s="1"/>
  <c r="U64" i="6"/>
  <c r="O64" i="6"/>
  <c r="K64" i="6"/>
  <c r="X63" i="6"/>
  <c r="W63" i="6"/>
  <c r="V63" i="6"/>
  <c r="M63" i="6" s="1"/>
  <c r="U63" i="6"/>
  <c r="O63" i="6"/>
  <c r="K63" i="6"/>
  <c r="AF62" i="6"/>
  <c r="V62" i="6"/>
  <c r="U62" i="6"/>
  <c r="Q62" i="6"/>
  <c r="P62" i="6"/>
  <c r="O62" i="6"/>
  <c r="N62" i="6"/>
  <c r="M62" i="6"/>
  <c r="AE62" i="6" s="1"/>
  <c r="K62" i="6"/>
  <c r="V61" i="6"/>
  <c r="M61" i="6" s="1"/>
  <c r="U61" i="6"/>
  <c r="O61" i="6"/>
  <c r="K61" i="6"/>
  <c r="V60" i="6"/>
  <c r="M60" i="6" s="1"/>
  <c r="U60" i="6"/>
  <c r="O60" i="6"/>
  <c r="K60" i="6"/>
  <c r="V59" i="6"/>
  <c r="M59" i="6" s="1"/>
  <c r="U59" i="6"/>
  <c r="O59" i="6"/>
  <c r="K59" i="6"/>
  <c r="V58" i="6"/>
  <c r="U58" i="6"/>
  <c r="O58" i="6"/>
  <c r="M58" i="6"/>
  <c r="K58" i="6"/>
  <c r="V57" i="6"/>
  <c r="M57" i="6" s="1"/>
  <c r="U57" i="6"/>
  <c r="O57" i="6"/>
  <c r="K57" i="6"/>
  <c r="V56" i="6"/>
  <c r="M56" i="6" s="1"/>
  <c r="U56" i="6"/>
  <c r="O56" i="6"/>
  <c r="K56" i="6"/>
  <c r="V55" i="6"/>
  <c r="M55" i="6" s="1"/>
  <c r="O55" i="6"/>
  <c r="K55" i="6"/>
  <c r="AD54" i="6"/>
  <c r="Z54" i="6"/>
  <c r="Y54" i="6"/>
  <c r="O54" i="6"/>
  <c r="K54" i="6"/>
  <c r="V53" i="6"/>
  <c r="U53" i="6"/>
  <c r="O53" i="6"/>
  <c r="M53" i="6"/>
  <c r="AF53" i="6" s="1"/>
  <c r="K53" i="6"/>
  <c r="AF52" i="6"/>
  <c r="V52" i="6"/>
  <c r="U52" i="6"/>
  <c r="O52" i="6"/>
  <c r="M52" i="6"/>
  <c r="N52" i="6" s="1"/>
  <c r="K52" i="6"/>
  <c r="V51" i="6"/>
  <c r="M51" i="6" s="1"/>
  <c r="AF51" i="6" s="1"/>
  <c r="U51" i="6"/>
  <c r="O51" i="6"/>
  <c r="K51" i="6"/>
  <c r="X50" i="6"/>
  <c r="W50" i="6"/>
  <c r="V50" i="6"/>
  <c r="U50" i="6"/>
  <c r="O50" i="6"/>
  <c r="M50" i="6"/>
  <c r="AF50" i="6" s="1"/>
  <c r="K50" i="6"/>
  <c r="V49" i="6"/>
  <c r="U49" i="6"/>
  <c r="O49" i="6"/>
  <c r="M49" i="6"/>
  <c r="AE49" i="6" s="1"/>
  <c r="K49" i="6"/>
  <c r="V48" i="6"/>
  <c r="U48" i="6"/>
  <c r="O48" i="6"/>
  <c r="M48" i="6"/>
  <c r="AF48" i="6" s="1"/>
  <c r="K48" i="6"/>
  <c r="V47" i="6"/>
  <c r="M47" i="6" s="1"/>
  <c r="U47" i="6"/>
  <c r="O47" i="6"/>
  <c r="K47" i="6"/>
  <c r="V46" i="6"/>
  <c r="M46" i="6" s="1"/>
  <c r="U46" i="6"/>
  <c r="O46" i="6"/>
  <c r="K46" i="6"/>
  <c r="V45" i="6"/>
  <c r="M45" i="6" s="1"/>
  <c r="U45" i="6"/>
  <c r="O45" i="6"/>
  <c r="K45" i="6"/>
  <c r="X44" i="6"/>
  <c r="W44" i="6"/>
  <c r="V44" i="6"/>
  <c r="M44" i="6" s="1"/>
  <c r="O44" i="6"/>
  <c r="K44" i="6"/>
  <c r="AD43" i="6"/>
  <c r="Z43" i="6"/>
  <c r="Y43" i="6"/>
  <c r="L18" i="5" s="1"/>
  <c r="O43" i="6"/>
  <c r="K43" i="6"/>
  <c r="V42" i="6"/>
  <c r="M42" i="6" s="1"/>
  <c r="AF42" i="6" s="1"/>
  <c r="U42" i="6"/>
  <c r="O42" i="6"/>
  <c r="K42" i="6"/>
  <c r="X41" i="6"/>
  <c r="W41" i="6"/>
  <c r="V41" i="6"/>
  <c r="M41" i="6" s="1"/>
  <c r="U41" i="6"/>
  <c r="O41" i="6"/>
  <c r="K41" i="6"/>
  <c r="AF40" i="6"/>
  <c r="V40" i="6"/>
  <c r="U40" i="6"/>
  <c r="O40" i="6"/>
  <c r="N40" i="6"/>
  <c r="Q40" i="6" s="1"/>
  <c r="M40" i="6"/>
  <c r="AE40" i="6" s="1"/>
  <c r="K40" i="6"/>
  <c r="V39" i="6"/>
  <c r="M39" i="6" s="1"/>
  <c r="U39" i="6"/>
  <c r="O39" i="6"/>
  <c r="K39" i="6"/>
  <c r="V38" i="6"/>
  <c r="M38" i="6" s="1"/>
  <c r="U38" i="6"/>
  <c r="O38" i="6"/>
  <c r="K38" i="6"/>
  <c r="X37" i="6"/>
  <c r="W37" i="6"/>
  <c r="V37" i="6"/>
  <c r="M37" i="6" s="1"/>
  <c r="O37" i="6"/>
  <c r="K37" i="6"/>
  <c r="AD36" i="6"/>
  <c r="Z36" i="6"/>
  <c r="Y36" i="6"/>
  <c r="O36" i="6"/>
  <c r="K36" i="6"/>
  <c r="V35" i="6"/>
  <c r="U35" i="6"/>
  <c r="P35" i="6"/>
  <c r="O35" i="6"/>
  <c r="N35" i="6"/>
  <c r="Q35" i="6" s="1"/>
  <c r="M35" i="6"/>
  <c r="AF35" i="6" s="1"/>
  <c r="K35" i="6"/>
  <c r="AF34" i="6"/>
  <c r="AE34" i="6"/>
  <c r="X34" i="6"/>
  <c r="W34" i="6"/>
  <c r="V34" i="6"/>
  <c r="U34" i="6"/>
  <c r="P34" i="6"/>
  <c r="O34" i="6"/>
  <c r="N34" i="6"/>
  <c r="Q34" i="6" s="1"/>
  <c r="M34" i="6"/>
  <c r="K34" i="6"/>
  <c r="V33" i="6"/>
  <c r="U33" i="6"/>
  <c r="O33" i="6"/>
  <c r="M33" i="6"/>
  <c r="AF33" i="6" s="1"/>
  <c r="K33" i="6"/>
  <c r="V32" i="6"/>
  <c r="U32" i="6"/>
  <c r="O32" i="6"/>
  <c r="M32" i="6"/>
  <c r="AF32" i="6" s="1"/>
  <c r="K32" i="6"/>
  <c r="AF31" i="6"/>
  <c r="AE31" i="6"/>
  <c r="V31" i="6"/>
  <c r="U31" i="6"/>
  <c r="O31" i="6"/>
  <c r="M31" i="6"/>
  <c r="N31" i="6" s="1"/>
  <c r="Q31" i="6" s="1"/>
  <c r="K31" i="6"/>
  <c r="X30" i="6"/>
  <c r="W30" i="6"/>
  <c r="V30" i="6"/>
  <c r="M30" i="6" s="1"/>
  <c r="O30" i="6"/>
  <c r="K30" i="6"/>
  <c r="AD29" i="6"/>
  <c r="Z29" i="6"/>
  <c r="Y29" i="6"/>
  <c r="O29" i="6"/>
  <c r="K29" i="6"/>
  <c r="V28" i="6"/>
  <c r="U28" i="6"/>
  <c r="O28" i="6"/>
  <c r="M28" i="6"/>
  <c r="AF28" i="6" s="1"/>
  <c r="K28" i="6"/>
  <c r="AF27" i="6"/>
  <c r="AE27" i="6"/>
  <c r="X27" i="6"/>
  <c r="W27" i="6"/>
  <c r="V27" i="6"/>
  <c r="U27" i="6"/>
  <c r="Q27" i="6"/>
  <c r="O27" i="6"/>
  <c r="N27" i="6"/>
  <c r="M27" i="6"/>
  <c r="K27" i="6"/>
  <c r="P27" i="6" s="1"/>
  <c r="AE26" i="6"/>
  <c r="V26" i="6"/>
  <c r="U26" i="6"/>
  <c r="O26" i="6"/>
  <c r="M26" i="6"/>
  <c r="AF26" i="6" s="1"/>
  <c r="K26" i="6"/>
  <c r="V25" i="6"/>
  <c r="M25" i="6" s="1"/>
  <c r="U25" i="6"/>
  <c r="O25" i="6"/>
  <c r="K25" i="6"/>
  <c r="V24" i="6"/>
  <c r="U24" i="6"/>
  <c r="O24" i="6"/>
  <c r="M24" i="6"/>
  <c r="AF24" i="6" s="1"/>
  <c r="K24" i="6"/>
  <c r="V23" i="6"/>
  <c r="O23" i="6"/>
  <c r="M23" i="6"/>
  <c r="AF23" i="6" s="1"/>
  <c r="K23" i="6"/>
  <c r="AD22" i="6"/>
  <c r="Z22" i="6"/>
  <c r="Y22" i="6"/>
  <c r="O22" i="6"/>
  <c r="K22" i="6"/>
  <c r="V21" i="6"/>
  <c r="M21" i="6" s="1"/>
  <c r="U21" i="6"/>
  <c r="O21" i="6"/>
  <c r="K21" i="6"/>
  <c r="X20" i="6"/>
  <c r="W20" i="6"/>
  <c r="V20" i="6"/>
  <c r="M20" i="6" s="1"/>
  <c r="U20" i="6"/>
  <c r="O20" i="6"/>
  <c r="K20" i="6"/>
  <c r="V19" i="6"/>
  <c r="U19" i="6"/>
  <c r="O19" i="6"/>
  <c r="M19" i="6"/>
  <c r="AF19" i="6" s="1"/>
  <c r="K19" i="6"/>
  <c r="V18" i="6"/>
  <c r="U18" i="6"/>
  <c r="O18" i="6"/>
  <c r="N18" i="6"/>
  <c r="Q18" i="6" s="1"/>
  <c r="M18" i="6"/>
  <c r="AF18" i="6" s="1"/>
  <c r="K18" i="6"/>
  <c r="V17" i="6"/>
  <c r="U17" i="6"/>
  <c r="O17" i="6"/>
  <c r="M17" i="6"/>
  <c r="AF17" i="6" s="1"/>
  <c r="K17" i="6"/>
  <c r="V16" i="6"/>
  <c r="U16" i="6"/>
  <c r="O16" i="6"/>
  <c r="N16" i="6"/>
  <c r="Q16" i="6" s="1"/>
  <c r="M16" i="6"/>
  <c r="AE16" i="6" s="1"/>
  <c r="K16" i="6"/>
  <c r="V15" i="6"/>
  <c r="O15" i="6"/>
  <c r="M15" i="6"/>
  <c r="AF15" i="6" s="1"/>
  <c r="K15" i="6"/>
  <c r="AD14" i="6"/>
  <c r="E21" i="5" s="1"/>
  <c r="Z14" i="6"/>
  <c r="E19" i="5" s="1"/>
  <c r="Y14" i="6"/>
  <c r="O14" i="6"/>
  <c r="K14" i="6"/>
  <c r="V13" i="6"/>
  <c r="U13" i="6"/>
  <c r="O13" i="6"/>
  <c r="N13" i="6"/>
  <c r="Q13" i="6" s="1"/>
  <c r="M13" i="6"/>
  <c r="AF13" i="6" s="1"/>
  <c r="K13" i="6"/>
  <c r="AF12" i="6"/>
  <c r="V12" i="6"/>
  <c r="O12" i="6"/>
  <c r="N12" i="6"/>
  <c r="Q12" i="6" s="1"/>
  <c r="M12" i="6"/>
  <c r="AE12" i="6" s="1"/>
  <c r="K12" i="6"/>
  <c r="AD11" i="6"/>
  <c r="AD2" i="6" s="1"/>
  <c r="N6" i="5" s="1"/>
  <c r="Z11" i="6"/>
  <c r="Z2" i="6" s="1"/>
  <c r="L6" i="5" s="1"/>
  <c r="Y11" i="6"/>
  <c r="D18" i="5" s="1"/>
  <c r="O11" i="6"/>
  <c r="K11" i="6"/>
  <c r="V10" i="6"/>
  <c r="U10" i="6"/>
  <c r="O10" i="6"/>
  <c r="N10" i="6"/>
  <c r="Q10" i="6" s="1"/>
  <c r="M10" i="6"/>
  <c r="AF10" i="6" s="1"/>
  <c r="K10" i="6"/>
  <c r="X9" i="6"/>
  <c r="W9" i="6"/>
  <c r="V9" i="6"/>
  <c r="M9" i="6" s="1"/>
  <c r="U9" i="6"/>
  <c r="O9" i="6"/>
  <c r="K9" i="6"/>
  <c r="V8" i="6"/>
  <c r="U8" i="6"/>
  <c r="O8" i="6"/>
  <c r="N8" i="6"/>
  <c r="Q8" i="6" s="1"/>
  <c r="M8" i="6"/>
  <c r="AF8" i="6" s="1"/>
  <c r="K8" i="6"/>
  <c r="V7" i="6"/>
  <c r="U7" i="6"/>
  <c r="O7" i="6"/>
  <c r="N7" i="6"/>
  <c r="Q7" i="6" s="1"/>
  <c r="M7" i="6"/>
  <c r="AF7" i="6" s="1"/>
  <c r="K7" i="6"/>
  <c r="V6" i="6"/>
  <c r="U6" i="6"/>
  <c r="O6" i="6"/>
  <c r="M6" i="6"/>
  <c r="AF6" i="6" s="1"/>
  <c r="K6" i="6"/>
  <c r="V5" i="6"/>
  <c r="M5" i="6" s="1"/>
  <c r="O5" i="6"/>
  <c r="K5" i="6"/>
  <c r="H2" i="6"/>
  <c r="F2" i="6"/>
  <c r="H1" i="6"/>
  <c r="F1" i="6"/>
  <c r="D1" i="6"/>
  <c r="M22" i="5"/>
  <c r="L22" i="5"/>
  <c r="K22" i="5"/>
  <c r="J22" i="5"/>
  <c r="I22" i="5"/>
  <c r="H22" i="5"/>
  <c r="G22" i="5"/>
  <c r="F22" i="5"/>
  <c r="E22" i="5"/>
  <c r="D22" i="5"/>
  <c r="M21" i="5"/>
  <c r="L21" i="5"/>
  <c r="K21" i="5"/>
  <c r="J21" i="5"/>
  <c r="I21" i="5"/>
  <c r="H21" i="5"/>
  <c r="G21" i="5"/>
  <c r="F21" i="5"/>
  <c r="M20" i="5"/>
  <c r="L20" i="5"/>
  <c r="K20" i="5"/>
  <c r="J20" i="5"/>
  <c r="I20" i="5"/>
  <c r="H20" i="5"/>
  <c r="G20" i="5"/>
  <c r="F20" i="5"/>
  <c r="E20" i="5"/>
  <c r="D20" i="5"/>
  <c r="M19" i="5"/>
  <c r="L19" i="5"/>
  <c r="K19" i="5"/>
  <c r="J19" i="5"/>
  <c r="I19" i="5"/>
  <c r="H19" i="5"/>
  <c r="G19" i="5"/>
  <c r="F19" i="5"/>
  <c r="D19" i="5"/>
  <c r="M18" i="5"/>
  <c r="K18" i="5"/>
  <c r="J18" i="5"/>
  <c r="I18" i="5"/>
  <c r="H18" i="5"/>
  <c r="G18" i="5"/>
  <c r="F18" i="5"/>
  <c r="E18" i="5"/>
  <c r="M17" i="5"/>
  <c r="L17" i="5"/>
  <c r="K17" i="5"/>
  <c r="J17" i="5"/>
  <c r="I17" i="5"/>
  <c r="H17" i="5"/>
  <c r="G17" i="5"/>
  <c r="F17" i="5"/>
  <c r="E17" i="5"/>
  <c r="D17" i="5"/>
  <c r="M16" i="5"/>
  <c r="L16" i="5"/>
  <c r="K16" i="5"/>
  <c r="J16" i="5"/>
  <c r="I16" i="5"/>
  <c r="H16" i="5"/>
  <c r="G16" i="5"/>
  <c r="F16" i="5"/>
  <c r="E16" i="5"/>
  <c r="D16" i="5"/>
  <c r="M13" i="5"/>
  <c r="L13" i="5"/>
  <c r="K13" i="5"/>
  <c r="I6" i="5" s="1"/>
  <c r="J13" i="5"/>
  <c r="I13" i="5"/>
  <c r="H13" i="5"/>
  <c r="G13" i="5"/>
  <c r="F13" i="5"/>
  <c r="E13" i="5"/>
  <c r="D13" i="5"/>
  <c r="M6" i="5"/>
  <c r="G6" i="5"/>
  <c r="F6" i="5"/>
  <c r="I3" i="5"/>
  <c r="F3" i="5"/>
  <c r="C3" i="5"/>
  <c r="AF56" i="6" l="1"/>
  <c r="AE56" i="6"/>
  <c r="N56" i="6"/>
  <c r="N64" i="6"/>
  <c r="Q64" i="6" s="1"/>
  <c r="AF64" i="6"/>
  <c r="AE64" i="6"/>
  <c r="AF68" i="6"/>
  <c r="AE68" i="6"/>
  <c r="N68" i="6"/>
  <c r="AF61" i="6"/>
  <c r="AE61" i="6"/>
  <c r="N61" i="6"/>
  <c r="Q61" i="6" s="1"/>
  <c r="AF73" i="6"/>
  <c r="N73" i="6"/>
  <c r="Q73" i="6" s="1"/>
  <c r="N30" i="6"/>
  <c r="AF30" i="6"/>
  <c r="AE30" i="6"/>
  <c r="N44" i="6"/>
  <c r="AF44" i="6"/>
  <c r="AE44" i="6"/>
  <c r="AF78" i="6"/>
  <c r="AE78" i="6"/>
  <c r="N78" i="6"/>
  <c r="N69" i="6"/>
  <c r="Q69" i="6" s="1"/>
  <c r="AF69" i="6"/>
  <c r="AE69" i="6"/>
  <c r="N57" i="6"/>
  <c r="Q57" i="6" s="1"/>
  <c r="AF57" i="6"/>
  <c r="AE57" i="6"/>
  <c r="AF77" i="6"/>
  <c r="AE77" i="6"/>
  <c r="N77" i="6"/>
  <c r="Q77" i="6" s="1"/>
  <c r="Q52" i="6"/>
  <c r="P52" i="6"/>
  <c r="AF5" i="6"/>
  <c r="AE5" i="6"/>
  <c r="N5" i="6"/>
  <c r="N37" i="6"/>
  <c r="Q37" i="6" s="1"/>
  <c r="AF37" i="6"/>
  <c r="AE37" i="6"/>
  <c r="AF9" i="6"/>
  <c r="AE9" i="6"/>
  <c r="N9" i="6"/>
  <c r="Q9" i="6" s="1"/>
  <c r="AF20" i="6"/>
  <c r="AE20" i="6"/>
  <c r="N20" i="6"/>
  <c r="Q20" i="6" s="1"/>
  <c r="M43" i="6"/>
  <c r="N45" i="6"/>
  <c r="AF45" i="6"/>
  <c r="AE45" i="6"/>
  <c r="N39" i="6"/>
  <c r="AF39" i="6"/>
  <c r="AE39" i="6"/>
  <c r="AF79" i="6"/>
  <c r="AE79" i="6"/>
  <c r="N79" i="6"/>
  <c r="AF75" i="6"/>
  <c r="AE75" i="6"/>
  <c r="N75" i="6"/>
  <c r="Q67" i="6"/>
  <c r="P67" i="6"/>
  <c r="AF25" i="6"/>
  <c r="AE25" i="6"/>
  <c r="N25" i="6"/>
  <c r="AF46" i="6"/>
  <c r="AE46" i="6"/>
  <c r="N46" i="6"/>
  <c r="AF38" i="6"/>
  <c r="AE38" i="6"/>
  <c r="N38" i="6"/>
  <c r="Q38" i="6" s="1"/>
  <c r="AF59" i="6"/>
  <c r="AE59" i="6"/>
  <c r="N59" i="6"/>
  <c r="AF71" i="6"/>
  <c r="AE71" i="6"/>
  <c r="N71" i="6"/>
  <c r="Q71" i="6" s="1"/>
  <c r="AF63" i="6"/>
  <c r="AE63" i="6"/>
  <c r="N63" i="6"/>
  <c r="Q63" i="6" s="1"/>
  <c r="AF76" i="6"/>
  <c r="AE76" i="6"/>
  <c r="N76" i="6"/>
  <c r="AF21" i="6"/>
  <c r="AE21" i="6"/>
  <c r="N21" i="6"/>
  <c r="Q21" i="6" s="1"/>
  <c r="N47" i="6"/>
  <c r="Q47" i="6" s="1"/>
  <c r="AF47" i="6"/>
  <c r="AE47" i="6"/>
  <c r="AF55" i="6"/>
  <c r="AE55" i="6"/>
  <c r="N55" i="6"/>
  <c r="Q55" i="6" s="1"/>
  <c r="AF60" i="6"/>
  <c r="AE60" i="6"/>
  <c r="N60" i="6"/>
  <c r="D21" i="5"/>
  <c r="AE8" i="6"/>
  <c r="AF16" i="6"/>
  <c r="N24" i="6"/>
  <c r="N26" i="6"/>
  <c r="Q26" i="6" s="1"/>
  <c r="N28" i="6"/>
  <c r="N33" i="6"/>
  <c r="AF49" i="6"/>
  <c r="M14" i="6"/>
  <c r="AF14" i="6" s="1"/>
  <c r="AG12" i="6" s="1"/>
  <c r="N19" i="6"/>
  <c r="AE52" i="6"/>
  <c r="M72" i="6"/>
  <c r="AF72" i="6" s="1"/>
  <c r="AG66" i="6" s="1"/>
  <c r="AE67" i="6"/>
  <c r="N17" i="6"/>
  <c r="M65" i="6"/>
  <c r="N70" i="6"/>
  <c r="Y2" i="6"/>
  <c r="K6" i="5" s="1"/>
  <c r="N48" i="6"/>
  <c r="N53" i="6"/>
  <c r="P7" i="6"/>
  <c r="AE24" i="6"/>
  <c r="AE28" i="6"/>
  <c r="AE33" i="6"/>
  <c r="AE19" i="6"/>
  <c r="N15" i="6"/>
  <c r="Q15" i="6" s="1"/>
  <c r="M22" i="6"/>
  <c r="AF22" i="6" s="1"/>
  <c r="AG15" i="6" s="1"/>
  <c r="AE35" i="6"/>
  <c r="AE17" i="6"/>
  <c r="M29" i="6"/>
  <c r="AF29" i="6" s="1"/>
  <c r="AG23" i="6" s="1"/>
  <c r="AE7" i="6"/>
  <c r="AE70" i="6"/>
  <c r="AE48" i="6"/>
  <c r="AE53" i="6"/>
  <c r="N69" i="8"/>
  <c r="P16" i="6"/>
  <c r="N23" i="6"/>
  <c r="Q23" i="6" s="1"/>
  <c r="N49" i="6"/>
  <c r="Q49" i="6" s="1"/>
  <c r="AE69" i="8"/>
  <c r="P8" i="6"/>
  <c r="AE18" i="6"/>
  <c r="AE10" i="6"/>
  <c r="AE13" i="6"/>
  <c r="G8" i="13"/>
  <c r="F8" i="13"/>
  <c r="E8" i="13"/>
  <c r="L15" i="11"/>
  <c r="I8" i="11" s="1"/>
  <c r="I7" i="11"/>
  <c r="G7" i="11"/>
  <c r="D15" i="11"/>
  <c r="F7" i="11"/>
  <c r="E7" i="11"/>
  <c r="D14" i="9"/>
  <c r="Q10" i="10"/>
  <c r="R5" i="10" s="1"/>
  <c r="P10" i="10"/>
  <c r="D2" i="10"/>
  <c r="G14" i="9"/>
  <c r="G15" i="9" s="1"/>
  <c r="Q27" i="10"/>
  <c r="R21" i="10" s="1"/>
  <c r="P27" i="10"/>
  <c r="H14" i="9"/>
  <c r="H15" i="9" s="1"/>
  <c r="Q47" i="10"/>
  <c r="R40" i="10" s="1"/>
  <c r="P47" i="10"/>
  <c r="Q57" i="10"/>
  <c r="R48" i="10" s="1"/>
  <c r="P57" i="10"/>
  <c r="I14" i="9"/>
  <c r="I15" i="9" s="1"/>
  <c r="Q39" i="10"/>
  <c r="R34" i="10" s="1"/>
  <c r="P39" i="10"/>
  <c r="L14" i="9"/>
  <c r="L15" i="9" s="1"/>
  <c r="F14" i="9"/>
  <c r="F15" i="9" s="1"/>
  <c r="Q20" i="10"/>
  <c r="R14" i="10" s="1"/>
  <c r="P20" i="10"/>
  <c r="Q64" i="10"/>
  <c r="R58" i="10" s="1"/>
  <c r="P64" i="10"/>
  <c r="J14" i="9"/>
  <c r="J15" i="9" s="1"/>
  <c r="E14" i="9"/>
  <c r="E15" i="9" s="1"/>
  <c r="Q13" i="10"/>
  <c r="R11" i="10" s="1"/>
  <c r="P13" i="10"/>
  <c r="P71" i="10"/>
  <c r="Q71" i="10"/>
  <c r="R65" i="10" s="1"/>
  <c r="M14" i="9"/>
  <c r="M15" i="9" s="1"/>
  <c r="Q33" i="10"/>
  <c r="R28" i="10" s="1"/>
  <c r="P33" i="10"/>
  <c r="K14" i="9"/>
  <c r="Q47" i="8"/>
  <c r="P47" i="8"/>
  <c r="Q9" i="8"/>
  <c r="P9" i="8"/>
  <c r="P50" i="8"/>
  <c r="Q50" i="8"/>
  <c r="Q30" i="8"/>
  <c r="P30" i="8"/>
  <c r="N22" i="8"/>
  <c r="AE22" i="8"/>
  <c r="AF22" i="8"/>
  <c r="AG15" i="8" s="1"/>
  <c r="Q35" i="8"/>
  <c r="P35" i="8"/>
  <c r="P6" i="8"/>
  <c r="Q6" i="8"/>
  <c r="Q25" i="8"/>
  <c r="P25" i="8"/>
  <c r="Q23" i="8"/>
  <c r="P23" i="8"/>
  <c r="P32" i="8"/>
  <c r="Q32" i="8"/>
  <c r="N14" i="8"/>
  <c r="AE14" i="8"/>
  <c r="AF14" i="8"/>
  <c r="AG12" i="8" s="1"/>
  <c r="Q8" i="8"/>
  <c r="P8" i="8"/>
  <c r="Q21" i="8"/>
  <c r="P21" i="8"/>
  <c r="Q27" i="8"/>
  <c r="P27" i="8"/>
  <c r="P64" i="8"/>
  <c r="Q64" i="8"/>
  <c r="Q15" i="8"/>
  <c r="P15" i="8"/>
  <c r="P73" i="8"/>
  <c r="Q73" i="8"/>
  <c r="Q76" i="8"/>
  <c r="P76" i="8"/>
  <c r="Q60" i="8"/>
  <c r="P60" i="8"/>
  <c r="Q69" i="8"/>
  <c r="R63" i="8" s="1"/>
  <c r="P69" i="8"/>
  <c r="J14" i="7"/>
  <c r="J15" i="7" s="1"/>
  <c r="Q43" i="8"/>
  <c r="P43" i="8"/>
  <c r="Q67" i="8"/>
  <c r="P67" i="8"/>
  <c r="P49" i="8"/>
  <c r="Q49" i="8"/>
  <c r="P13" i="8"/>
  <c r="Q13" i="8"/>
  <c r="P40" i="8"/>
  <c r="Q40" i="8"/>
  <c r="Q38" i="8"/>
  <c r="P38" i="8"/>
  <c r="Q5" i="8"/>
  <c r="P5" i="8"/>
  <c r="AF11" i="8"/>
  <c r="AG5" i="8" s="1"/>
  <c r="AE11" i="8"/>
  <c r="N11" i="8"/>
  <c r="AF62" i="8"/>
  <c r="AG52" i="8" s="1"/>
  <c r="AE62" i="8"/>
  <c r="N62" i="8"/>
  <c r="Q59" i="8"/>
  <c r="P59" i="8"/>
  <c r="P65" i="8"/>
  <c r="Q65" i="8"/>
  <c r="Q20" i="8"/>
  <c r="P20" i="8"/>
  <c r="Q48" i="8"/>
  <c r="P48" i="8"/>
  <c r="P57" i="8"/>
  <c r="Q57" i="8"/>
  <c r="P37" i="8"/>
  <c r="Q37" i="8"/>
  <c r="P41" i="8"/>
  <c r="Q41" i="8"/>
  <c r="Q17" i="8"/>
  <c r="P17" i="8"/>
  <c r="N29" i="8"/>
  <c r="AF29" i="8"/>
  <c r="AG23" i="8" s="1"/>
  <c r="AE29" i="8"/>
  <c r="P72" i="8"/>
  <c r="Q72" i="8"/>
  <c r="N51" i="8"/>
  <c r="AF51" i="8"/>
  <c r="AG43" i="8" s="1"/>
  <c r="AE51" i="8"/>
  <c r="Q31" i="8"/>
  <c r="P31" i="8"/>
  <c r="AF77" i="8"/>
  <c r="AG70" i="8" s="1"/>
  <c r="AE77" i="8"/>
  <c r="N77" i="8"/>
  <c r="Q68" i="8"/>
  <c r="P68" i="8"/>
  <c r="Q53" i="8"/>
  <c r="P53" i="8"/>
  <c r="N42" i="8"/>
  <c r="AF42" i="8"/>
  <c r="AG37" i="8" s="1"/>
  <c r="AE42" i="8"/>
  <c r="Q45" i="8"/>
  <c r="P45" i="8"/>
  <c r="Q56" i="8"/>
  <c r="P56" i="8"/>
  <c r="AF36" i="8"/>
  <c r="AG30" i="8" s="1"/>
  <c r="AE36" i="8"/>
  <c r="N36" i="8"/>
  <c r="N43" i="6"/>
  <c r="AF43" i="6"/>
  <c r="AG37" i="6" s="1"/>
  <c r="AE43" i="6"/>
  <c r="P44" i="6"/>
  <c r="Q44" i="6"/>
  <c r="AF65" i="6"/>
  <c r="AG55" i="6" s="1"/>
  <c r="AE65" i="6"/>
  <c r="N65" i="6"/>
  <c r="N42" i="6"/>
  <c r="N50" i="6"/>
  <c r="N58" i="6"/>
  <c r="N72" i="6"/>
  <c r="P23" i="6"/>
  <c r="P73" i="6"/>
  <c r="N32" i="6"/>
  <c r="M11" i="6"/>
  <c r="P13" i="6"/>
  <c r="P20" i="6"/>
  <c r="P21" i="6"/>
  <c r="P31" i="6"/>
  <c r="P40" i="6"/>
  <c r="P49" i="6"/>
  <c r="P57" i="6"/>
  <c r="P63" i="6"/>
  <c r="P64" i="6"/>
  <c r="P71" i="6"/>
  <c r="N6" i="6"/>
  <c r="N14" i="6"/>
  <c r="N41" i="6"/>
  <c r="N51" i="6"/>
  <c r="N74" i="6"/>
  <c r="P12" i="6"/>
  <c r="AE15" i="6"/>
  <c r="AE23" i="6"/>
  <c r="M36" i="6"/>
  <c r="M54" i="6"/>
  <c r="AE66" i="6"/>
  <c r="P15" i="6"/>
  <c r="P66" i="6"/>
  <c r="M80" i="6"/>
  <c r="N29" i="6"/>
  <c r="E6" i="5"/>
  <c r="AE6" i="6"/>
  <c r="AE32" i="6"/>
  <c r="AE42" i="6"/>
  <c r="AE51" i="6"/>
  <c r="AE58" i="6"/>
  <c r="AE74" i="6"/>
  <c r="AE14" i="6"/>
  <c r="AE22" i="6"/>
  <c r="P55" i="6"/>
  <c r="AF58" i="6"/>
  <c r="AE72" i="6"/>
  <c r="AE73" i="6"/>
  <c r="P9" i="6"/>
  <c r="P10" i="6"/>
  <c r="P18" i="6"/>
  <c r="P26" i="6"/>
  <c r="P38" i="6"/>
  <c r="AE41" i="6"/>
  <c r="P47" i="6"/>
  <c r="AE50" i="6"/>
  <c r="P61" i="6"/>
  <c r="P69" i="6"/>
  <c r="P77" i="6"/>
  <c r="AE29" i="6"/>
  <c r="AF41" i="6"/>
  <c r="AD82" i="4"/>
  <c r="Z82" i="4"/>
  <c r="Y82" i="4"/>
  <c r="O82" i="4"/>
  <c r="K82" i="4"/>
  <c r="V81" i="4"/>
  <c r="M81" i="4" s="1"/>
  <c r="U81" i="4"/>
  <c r="O81" i="4"/>
  <c r="K81" i="4"/>
  <c r="V80" i="4"/>
  <c r="M80" i="4" s="1"/>
  <c r="AE80" i="4" s="1"/>
  <c r="U80" i="4"/>
  <c r="O80" i="4"/>
  <c r="K80" i="4"/>
  <c r="X79" i="4"/>
  <c r="W79" i="4"/>
  <c r="V79" i="4"/>
  <c r="M79" i="4" s="1"/>
  <c r="U79" i="4"/>
  <c r="O79" i="4"/>
  <c r="K79" i="4"/>
  <c r="V78" i="4"/>
  <c r="M78" i="4" s="1"/>
  <c r="U78" i="4"/>
  <c r="O78" i="4"/>
  <c r="K78" i="4"/>
  <c r="V77" i="4"/>
  <c r="M77" i="4" s="1"/>
  <c r="U77" i="4"/>
  <c r="O77" i="4"/>
  <c r="K77" i="4"/>
  <c r="V76" i="4"/>
  <c r="M76" i="4" s="1"/>
  <c r="N76" i="4" s="1"/>
  <c r="U76" i="4"/>
  <c r="O76" i="4"/>
  <c r="K76" i="4"/>
  <c r="V75" i="4"/>
  <c r="M75" i="4" s="1"/>
  <c r="AF75" i="4" s="1"/>
  <c r="U75" i="4"/>
  <c r="O75" i="4"/>
  <c r="K75" i="4"/>
  <c r="X74" i="4"/>
  <c r="W74" i="4"/>
  <c r="V74" i="4"/>
  <c r="M74" i="4" s="1"/>
  <c r="O74" i="4"/>
  <c r="K74" i="4"/>
  <c r="AD73" i="4"/>
  <c r="Z73" i="4"/>
  <c r="Y73" i="4"/>
  <c r="O73" i="4"/>
  <c r="K73" i="4"/>
  <c r="V72" i="4"/>
  <c r="M72" i="4" s="1"/>
  <c r="U72" i="4"/>
  <c r="O72" i="4"/>
  <c r="K72" i="4"/>
  <c r="V71" i="4"/>
  <c r="M71" i="4" s="1"/>
  <c r="N71" i="4" s="1"/>
  <c r="U71" i="4"/>
  <c r="O71" i="4"/>
  <c r="K71" i="4"/>
  <c r="V70" i="4"/>
  <c r="M70" i="4" s="1"/>
  <c r="U70" i="4"/>
  <c r="O70" i="4"/>
  <c r="K70" i="4"/>
  <c r="V69" i="4"/>
  <c r="M69" i="4" s="1"/>
  <c r="U69" i="4"/>
  <c r="O69" i="4"/>
  <c r="K69" i="4"/>
  <c r="V68" i="4"/>
  <c r="M68" i="4" s="1"/>
  <c r="N68" i="4" s="1"/>
  <c r="U68" i="4"/>
  <c r="O68" i="4"/>
  <c r="K68" i="4"/>
  <c r="V67" i="4"/>
  <c r="M67" i="4" s="1"/>
  <c r="N67" i="4" s="1"/>
  <c r="O67" i="4"/>
  <c r="K67" i="4"/>
  <c r="AD66" i="4"/>
  <c r="Z66" i="4"/>
  <c r="Y66" i="4"/>
  <c r="O66" i="4"/>
  <c r="K66" i="4"/>
  <c r="V65" i="4"/>
  <c r="U65" i="4"/>
  <c r="O65" i="4"/>
  <c r="M65" i="4"/>
  <c r="AE65" i="4" s="1"/>
  <c r="K65" i="4"/>
  <c r="X64" i="4"/>
  <c r="W64" i="4"/>
  <c r="V64" i="4"/>
  <c r="M64" i="4" s="1"/>
  <c r="U64" i="4"/>
  <c r="O64" i="4"/>
  <c r="K64" i="4"/>
  <c r="V63" i="4"/>
  <c r="M63" i="4" s="1"/>
  <c r="N63" i="4" s="1"/>
  <c r="U63" i="4"/>
  <c r="O63" i="4"/>
  <c r="K63" i="4"/>
  <c r="V62" i="4"/>
  <c r="M62" i="4" s="1"/>
  <c r="U62" i="4"/>
  <c r="O62" i="4"/>
  <c r="K62" i="4"/>
  <c r="V61" i="4"/>
  <c r="M61" i="4" s="1"/>
  <c r="U61" i="4"/>
  <c r="O61" i="4"/>
  <c r="K61" i="4"/>
  <c r="V60" i="4"/>
  <c r="M60" i="4" s="1"/>
  <c r="N60" i="4" s="1"/>
  <c r="U60" i="4"/>
  <c r="O60" i="4"/>
  <c r="K60" i="4"/>
  <c r="V59" i="4"/>
  <c r="U59" i="4"/>
  <c r="O59" i="4"/>
  <c r="M59" i="4"/>
  <c r="K59" i="4"/>
  <c r="V58" i="4"/>
  <c r="U58" i="4"/>
  <c r="O58" i="4"/>
  <c r="M58" i="4"/>
  <c r="AE58" i="4" s="1"/>
  <c r="K58" i="4"/>
  <c r="AF57" i="4"/>
  <c r="AE57" i="4"/>
  <c r="V57" i="4"/>
  <c r="M57" i="4" s="1"/>
  <c r="N57" i="4" s="1"/>
  <c r="U57" i="4"/>
  <c r="O57" i="4"/>
  <c r="K57" i="4"/>
  <c r="V56" i="4"/>
  <c r="M56" i="4" s="1"/>
  <c r="AE56" i="4" s="1"/>
  <c r="O56" i="4"/>
  <c r="K56" i="4"/>
  <c r="AD55" i="4"/>
  <c r="H21" i="3" s="1"/>
  <c r="Z55" i="4"/>
  <c r="H19" i="3" s="1"/>
  <c r="Y55" i="4"/>
  <c r="H18" i="3" s="1"/>
  <c r="O55" i="4"/>
  <c r="K55" i="4"/>
  <c r="V54" i="4"/>
  <c r="M54" i="4" s="1"/>
  <c r="U54" i="4"/>
  <c r="O54" i="4"/>
  <c r="K54" i="4"/>
  <c r="V53" i="4"/>
  <c r="U53" i="4"/>
  <c r="O53" i="4"/>
  <c r="M53" i="4"/>
  <c r="N53" i="4" s="1"/>
  <c r="K53" i="4"/>
  <c r="V52" i="4"/>
  <c r="U52" i="4"/>
  <c r="O52" i="4"/>
  <c r="M52" i="4"/>
  <c r="K52" i="4"/>
  <c r="AF51" i="4"/>
  <c r="X51" i="4"/>
  <c r="W51" i="4"/>
  <c r="V51" i="4"/>
  <c r="U51" i="4"/>
  <c r="O51" i="4"/>
  <c r="M51" i="4"/>
  <c r="K51" i="4"/>
  <c r="AF50" i="4"/>
  <c r="V50" i="4"/>
  <c r="U50" i="4"/>
  <c r="O50" i="4"/>
  <c r="M50" i="4"/>
  <c r="AE50" i="4" s="1"/>
  <c r="K50" i="4"/>
  <c r="AE49" i="4"/>
  <c r="V49" i="4"/>
  <c r="M49" i="4" s="1"/>
  <c r="N49" i="4" s="1"/>
  <c r="U49" i="4"/>
  <c r="O49" i="4"/>
  <c r="K49" i="4"/>
  <c r="V48" i="4"/>
  <c r="M48" i="4" s="1"/>
  <c r="U48" i="4"/>
  <c r="O48" i="4"/>
  <c r="K48" i="4"/>
  <c r="V47" i="4"/>
  <c r="M47" i="4" s="1"/>
  <c r="U47" i="4"/>
  <c r="O47" i="4"/>
  <c r="K47" i="4"/>
  <c r="V46" i="4"/>
  <c r="M46" i="4" s="1"/>
  <c r="O46" i="4"/>
  <c r="N46" i="4"/>
  <c r="Q46" i="4" s="1"/>
  <c r="K46" i="4"/>
  <c r="AD45" i="4"/>
  <c r="Z45" i="4"/>
  <c r="Y45" i="4"/>
  <c r="O45" i="4"/>
  <c r="K45" i="4"/>
  <c r="V44" i="4"/>
  <c r="U44" i="4"/>
  <c r="O44" i="4"/>
  <c r="M44" i="4"/>
  <c r="K44" i="4"/>
  <c r="V43" i="4"/>
  <c r="M43" i="4" s="1"/>
  <c r="U43" i="4"/>
  <c r="O43" i="4"/>
  <c r="K43" i="4"/>
  <c r="X42" i="4"/>
  <c r="W42" i="4"/>
  <c r="V42" i="4"/>
  <c r="M42" i="4" s="1"/>
  <c r="U42" i="4"/>
  <c r="O42" i="4"/>
  <c r="K42" i="4"/>
  <c r="AE41" i="4"/>
  <c r="V41" i="4"/>
  <c r="M41" i="4" s="1"/>
  <c r="N41" i="4" s="1"/>
  <c r="U41" i="4"/>
  <c r="O41" i="4"/>
  <c r="K41" i="4"/>
  <c r="V40" i="4"/>
  <c r="M40" i="4" s="1"/>
  <c r="M45" i="4" s="1"/>
  <c r="N45" i="4" s="1"/>
  <c r="L14" i="3" s="1"/>
  <c r="L15" i="3" s="1"/>
  <c r="U40" i="4"/>
  <c r="O40" i="4"/>
  <c r="K40" i="4"/>
  <c r="V39" i="4"/>
  <c r="M39" i="4" s="1"/>
  <c r="U39" i="4"/>
  <c r="O39" i="4"/>
  <c r="K39" i="4"/>
  <c r="X38" i="4"/>
  <c r="W38" i="4"/>
  <c r="V38" i="4"/>
  <c r="M38" i="4" s="1"/>
  <c r="O38" i="4"/>
  <c r="K38" i="4"/>
  <c r="AD37" i="4"/>
  <c r="Z37" i="4"/>
  <c r="Y37" i="4"/>
  <c r="O37" i="4"/>
  <c r="K37" i="4"/>
  <c r="V36" i="4"/>
  <c r="U36" i="4"/>
  <c r="O36" i="4"/>
  <c r="N36" i="4"/>
  <c r="M36" i="4"/>
  <c r="K36" i="4"/>
  <c r="V35" i="4"/>
  <c r="U35" i="4"/>
  <c r="O35" i="4"/>
  <c r="M35" i="4"/>
  <c r="K35" i="4"/>
  <c r="X34" i="4"/>
  <c r="W34" i="4"/>
  <c r="V34" i="4"/>
  <c r="M34" i="4" s="1"/>
  <c r="AF34" i="4" s="1"/>
  <c r="U34" i="4"/>
  <c r="O34" i="4"/>
  <c r="K34" i="4"/>
  <c r="V33" i="4"/>
  <c r="U33" i="4"/>
  <c r="O33" i="4"/>
  <c r="M33" i="4"/>
  <c r="AE33" i="4" s="1"/>
  <c r="K33" i="4"/>
  <c r="V32" i="4"/>
  <c r="M32" i="4" s="1"/>
  <c r="N32" i="4" s="1"/>
  <c r="U32" i="4"/>
  <c r="O32" i="4"/>
  <c r="K32" i="4"/>
  <c r="V31" i="4"/>
  <c r="M31" i="4" s="1"/>
  <c r="U31" i="4"/>
  <c r="O31" i="4"/>
  <c r="K31" i="4"/>
  <c r="X30" i="4"/>
  <c r="W30" i="4"/>
  <c r="V30" i="4"/>
  <c r="M30" i="4" s="1"/>
  <c r="O30" i="4"/>
  <c r="K30" i="4"/>
  <c r="AD29" i="4"/>
  <c r="G21" i="3" s="1"/>
  <c r="Z29" i="4"/>
  <c r="G19" i="3" s="1"/>
  <c r="Y29" i="4"/>
  <c r="O29" i="4"/>
  <c r="K29" i="4"/>
  <c r="V28" i="4"/>
  <c r="M28" i="4" s="1"/>
  <c r="U28" i="4"/>
  <c r="O28" i="4"/>
  <c r="K28" i="4"/>
  <c r="X27" i="4"/>
  <c r="W27" i="4"/>
  <c r="V27" i="4"/>
  <c r="M27" i="4" s="1"/>
  <c r="U27" i="4"/>
  <c r="O27" i="4"/>
  <c r="K27" i="4"/>
  <c r="V26" i="4"/>
  <c r="M26" i="4" s="1"/>
  <c r="N26" i="4" s="1"/>
  <c r="U26" i="4"/>
  <c r="O26" i="4"/>
  <c r="K26" i="4"/>
  <c r="V25" i="4"/>
  <c r="M25" i="4" s="1"/>
  <c r="U25" i="4"/>
  <c r="O25" i="4"/>
  <c r="K25" i="4"/>
  <c r="V24" i="4"/>
  <c r="M24" i="4" s="1"/>
  <c r="U24" i="4"/>
  <c r="O24" i="4"/>
  <c r="K24" i="4"/>
  <c r="V23" i="4"/>
  <c r="O23" i="4"/>
  <c r="M23" i="4"/>
  <c r="K23" i="4"/>
  <c r="AD22" i="4"/>
  <c r="F21" i="3" s="1"/>
  <c r="Z22" i="4"/>
  <c r="F19" i="3" s="1"/>
  <c r="Y22" i="4"/>
  <c r="O22" i="4"/>
  <c r="K22" i="4"/>
  <c r="V21" i="4"/>
  <c r="M21" i="4" s="1"/>
  <c r="U21" i="4"/>
  <c r="O21" i="4"/>
  <c r="K21" i="4"/>
  <c r="X20" i="4"/>
  <c r="W20" i="4"/>
  <c r="V20" i="4"/>
  <c r="M20" i="4" s="1"/>
  <c r="U20" i="4"/>
  <c r="O20" i="4"/>
  <c r="K20" i="4"/>
  <c r="V19" i="4"/>
  <c r="M19" i="4" s="1"/>
  <c r="U19" i="4"/>
  <c r="O19" i="4"/>
  <c r="K19" i="4"/>
  <c r="V18" i="4"/>
  <c r="U18" i="4"/>
  <c r="O18" i="4"/>
  <c r="M18" i="4"/>
  <c r="N18" i="4" s="1"/>
  <c r="K18" i="4"/>
  <c r="V17" i="4"/>
  <c r="U17" i="4"/>
  <c r="O17" i="4"/>
  <c r="M17" i="4"/>
  <c r="K17" i="4"/>
  <c r="V16" i="4"/>
  <c r="U16" i="4"/>
  <c r="O16" i="4"/>
  <c r="M16" i="4"/>
  <c r="AE16" i="4" s="1"/>
  <c r="K16" i="4"/>
  <c r="V15" i="4"/>
  <c r="O15" i="4"/>
  <c r="M15" i="4"/>
  <c r="K15" i="4"/>
  <c r="AD14" i="4"/>
  <c r="Z14" i="4"/>
  <c r="Y14" i="4"/>
  <c r="O14" i="4"/>
  <c r="K14" i="4"/>
  <c r="V13" i="4"/>
  <c r="M13" i="4" s="1"/>
  <c r="U13" i="4"/>
  <c r="O13" i="4"/>
  <c r="K13" i="4"/>
  <c r="V12" i="4"/>
  <c r="M12" i="4" s="1"/>
  <c r="O12" i="4"/>
  <c r="K12" i="4"/>
  <c r="AD11" i="4"/>
  <c r="Z11" i="4"/>
  <c r="Y11" i="4"/>
  <c r="D18" i="3" s="1"/>
  <c r="O11" i="4"/>
  <c r="K11" i="4"/>
  <c r="V10" i="4"/>
  <c r="U10" i="4"/>
  <c r="O10" i="4"/>
  <c r="M10" i="4"/>
  <c r="N10" i="4" s="1"/>
  <c r="K10" i="4"/>
  <c r="X9" i="4"/>
  <c r="W9" i="4"/>
  <c r="V9" i="4"/>
  <c r="M9" i="4" s="1"/>
  <c r="N9" i="4" s="1"/>
  <c r="U9" i="4"/>
  <c r="O9" i="4"/>
  <c r="K9" i="4"/>
  <c r="V8" i="4"/>
  <c r="U8" i="4"/>
  <c r="O8" i="4"/>
  <c r="M8" i="4"/>
  <c r="K8" i="4"/>
  <c r="V7" i="4"/>
  <c r="M7" i="4" s="1"/>
  <c r="U7" i="4"/>
  <c r="O7" i="4"/>
  <c r="K7" i="4"/>
  <c r="V6" i="4"/>
  <c r="M6" i="4" s="1"/>
  <c r="N6" i="4" s="1"/>
  <c r="U6" i="4"/>
  <c r="O6" i="4"/>
  <c r="K6" i="4"/>
  <c r="AE5" i="4"/>
  <c r="V5" i="4"/>
  <c r="M5" i="4" s="1"/>
  <c r="O5" i="4"/>
  <c r="K5" i="4"/>
  <c r="H2" i="4"/>
  <c r="H1" i="4"/>
  <c r="F1" i="4"/>
  <c r="F2" i="4" s="1"/>
  <c r="D1" i="4"/>
  <c r="M22" i="3"/>
  <c r="L22" i="3"/>
  <c r="K22" i="3"/>
  <c r="J22" i="3"/>
  <c r="I22" i="3"/>
  <c r="H22" i="3"/>
  <c r="G22" i="3"/>
  <c r="F22" i="3"/>
  <c r="E22" i="3"/>
  <c r="D22" i="3"/>
  <c r="M21" i="3"/>
  <c r="L21" i="3"/>
  <c r="K21" i="3"/>
  <c r="J21" i="3"/>
  <c r="I21" i="3"/>
  <c r="E21" i="3"/>
  <c r="D21" i="3"/>
  <c r="M20" i="3"/>
  <c r="L20" i="3"/>
  <c r="K20" i="3"/>
  <c r="J20" i="3"/>
  <c r="I20" i="3"/>
  <c r="H20" i="3"/>
  <c r="G20" i="3"/>
  <c r="F20" i="3"/>
  <c r="E20" i="3"/>
  <c r="D20" i="3"/>
  <c r="M19" i="3"/>
  <c r="L19" i="3"/>
  <c r="K19" i="3"/>
  <c r="J19" i="3"/>
  <c r="I19" i="3"/>
  <c r="D19" i="3"/>
  <c r="M18" i="3"/>
  <c r="L18" i="3"/>
  <c r="K18" i="3"/>
  <c r="J18" i="3"/>
  <c r="I18" i="3"/>
  <c r="F18" i="3"/>
  <c r="E18" i="3"/>
  <c r="M17" i="3"/>
  <c r="L17" i="3"/>
  <c r="K17" i="3"/>
  <c r="J17" i="3"/>
  <c r="I17" i="3"/>
  <c r="H17" i="3"/>
  <c r="G17" i="3"/>
  <c r="F17" i="3"/>
  <c r="E17" i="3"/>
  <c r="D17" i="3"/>
  <c r="M16" i="3"/>
  <c r="L16" i="3"/>
  <c r="K16" i="3"/>
  <c r="J16" i="3"/>
  <c r="I16" i="3"/>
  <c r="H16" i="3"/>
  <c r="G16" i="3"/>
  <c r="F16" i="3"/>
  <c r="E16" i="3"/>
  <c r="D16" i="3"/>
  <c r="M13" i="3"/>
  <c r="L13" i="3"/>
  <c r="K13" i="3"/>
  <c r="I6" i="3" s="1"/>
  <c r="J13" i="3"/>
  <c r="I13" i="3"/>
  <c r="H13" i="3"/>
  <c r="G13" i="3"/>
  <c r="F13" i="3"/>
  <c r="E13" i="3"/>
  <c r="D13" i="3"/>
  <c r="M6" i="3"/>
  <c r="I3" i="3"/>
  <c r="F3" i="3"/>
  <c r="C3" i="3"/>
  <c r="AE24" i="4" l="1"/>
  <c r="AF24" i="4"/>
  <c r="AE7" i="4"/>
  <c r="AF7" i="4"/>
  <c r="AE72" i="4"/>
  <c r="AF72" i="4"/>
  <c r="AE81" i="4"/>
  <c r="AF81" i="4"/>
  <c r="N64" i="4"/>
  <c r="P64" i="4" s="1"/>
  <c r="AF64" i="4"/>
  <c r="AE64" i="4"/>
  <c r="AE43" i="4"/>
  <c r="AF43" i="4"/>
  <c r="N42" i="4"/>
  <c r="AE42" i="4"/>
  <c r="AF42" i="4"/>
  <c r="Q28" i="6"/>
  <c r="P28" i="6"/>
  <c r="M22" i="4"/>
  <c r="AE22" i="4" s="1"/>
  <c r="AF33" i="4"/>
  <c r="M66" i="4"/>
  <c r="Q75" i="6"/>
  <c r="P75" i="6"/>
  <c r="Q24" i="6"/>
  <c r="P24" i="6"/>
  <c r="AE63" i="4"/>
  <c r="Q5" i="6"/>
  <c r="P5" i="6"/>
  <c r="AE15" i="4"/>
  <c r="M29" i="4"/>
  <c r="AF41" i="4"/>
  <c r="AF63" i="4"/>
  <c r="Q79" i="6"/>
  <c r="P79" i="6"/>
  <c r="AF15" i="4"/>
  <c r="Q30" i="6"/>
  <c r="P30" i="6"/>
  <c r="F6" i="3"/>
  <c r="P37" i="6"/>
  <c r="Q60" i="6"/>
  <c r="P60" i="6"/>
  <c r="AE23" i="4"/>
  <c r="Q53" i="6"/>
  <c r="P53" i="6"/>
  <c r="Q59" i="6"/>
  <c r="P59" i="6"/>
  <c r="AF23" i="4"/>
  <c r="Q48" i="6"/>
  <c r="P48" i="6"/>
  <c r="AF49" i="4"/>
  <c r="AE71" i="4"/>
  <c r="N22" i="6"/>
  <c r="F14" i="5" s="1"/>
  <c r="F15" i="5" s="1"/>
  <c r="Q39" i="6"/>
  <c r="P39" i="6"/>
  <c r="AF71" i="4"/>
  <c r="Q70" i="6"/>
  <c r="P70" i="6"/>
  <c r="AF16" i="4"/>
  <c r="Q68" i="6"/>
  <c r="P68" i="6"/>
  <c r="Q17" i="6"/>
  <c r="P17" i="6"/>
  <c r="P45" i="6"/>
  <c r="Q45" i="6"/>
  <c r="Q46" i="6"/>
  <c r="P46" i="6"/>
  <c r="AE32" i="4"/>
  <c r="P46" i="4"/>
  <c r="AF32" i="4"/>
  <c r="AE6" i="4"/>
  <c r="Q19" i="6"/>
  <c r="P19" i="6"/>
  <c r="Q25" i="6"/>
  <c r="P25" i="6"/>
  <c r="AF6" i="4"/>
  <c r="Q78" i="6"/>
  <c r="P78" i="6"/>
  <c r="Q56" i="6"/>
  <c r="P56" i="6"/>
  <c r="Q76" i="6"/>
  <c r="P76" i="6"/>
  <c r="AD2" i="4"/>
  <c r="N6" i="3" s="1"/>
  <c r="AF58" i="4"/>
  <c r="AF65" i="4"/>
  <c r="Q33" i="6"/>
  <c r="P33" i="6"/>
  <c r="G8" i="11"/>
  <c r="F8" i="11"/>
  <c r="E8" i="11"/>
  <c r="K15" i="9"/>
  <c r="I8" i="9" s="1"/>
  <c r="I7" i="9"/>
  <c r="D15" i="9"/>
  <c r="F7" i="9"/>
  <c r="E7" i="9"/>
  <c r="G7" i="9"/>
  <c r="Q36" i="8"/>
  <c r="R30" i="8" s="1"/>
  <c r="P36" i="8"/>
  <c r="K14" i="7"/>
  <c r="P14" i="8"/>
  <c r="E14" i="7"/>
  <c r="E15" i="7" s="1"/>
  <c r="Q14" i="8"/>
  <c r="R12" i="8" s="1"/>
  <c r="D14" i="7"/>
  <c r="Q11" i="8"/>
  <c r="R5" i="8" s="1"/>
  <c r="P11" i="8"/>
  <c r="D2" i="8"/>
  <c r="P22" i="8"/>
  <c r="F14" i="7"/>
  <c r="F15" i="7" s="1"/>
  <c r="Q22" i="8"/>
  <c r="R15" i="8" s="1"/>
  <c r="Q77" i="8"/>
  <c r="R70" i="8" s="1"/>
  <c r="P77" i="8"/>
  <c r="M14" i="7"/>
  <c r="M15" i="7" s="1"/>
  <c r="I14" i="7"/>
  <c r="I15" i="7" s="1"/>
  <c r="Q62" i="8"/>
  <c r="R52" i="8" s="1"/>
  <c r="P62" i="8"/>
  <c r="G14" i="7"/>
  <c r="G15" i="7" s="1"/>
  <c r="Q29" i="8"/>
  <c r="R23" i="8" s="1"/>
  <c r="P29" i="8"/>
  <c r="Q42" i="8"/>
  <c r="R37" i="8" s="1"/>
  <c r="P42" i="8"/>
  <c r="L14" i="7"/>
  <c r="L15" i="7" s="1"/>
  <c r="Q51" i="8"/>
  <c r="R43" i="8" s="1"/>
  <c r="P51" i="8"/>
  <c r="H14" i="7"/>
  <c r="H15" i="7" s="1"/>
  <c r="N36" i="6"/>
  <c r="AF36" i="6"/>
  <c r="AG30" i="6" s="1"/>
  <c r="AE36" i="6"/>
  <c r="P58" i="6"/>
  <c r="Q58" i="6"/>
  <c r="P50" i="6"/>
  <c r="Q50" i="6"/>
  <c r="P42" i="6"/>
  <c r="Q42" i="6"/>
  <c r="I14" i="5"/>
  <c r="I15" i="5" s="1"/>
  <c r="P65" i="6"/>
  <c r="Q65" i="6"/>
  <c r="R55" i="6" s="1"/>
  <c r="G14" i="5"/>
  <c r="G15" i="5" s="1"/>
  <c r="Q29" i="6"/>
  <c r="R23" i="6" s="1"/>
  <c r="P29" i="6"/>
  <c r="P41" i="6"/>
  <c r="Q41" i="6"/>
  <c r="AF80" i="6"/>
  <c r="AG73" i="6" s="1"/>
  <c r="AE80" i="6"/>
  <c r="N80" i="6"/>
  <c r="P22" i="6"/>
  <c r="E14" i="5"/>
  <c r="E15" i="5" s="1"/>
  <c r="P14" i="6"/>
  <c r="Q14" i="6"/>
  <c r="R12" i="6" s="1"/>
  <c r="AE11" i="6"/>
  <c r="N11" i="6"/>
  <c r="AF11" i="6"/>
  <c r="AG5" i="6" s="1"/>
  <c r="P51" i="6"/>
  <c r="Q51" i="6"/>
  <c r="P72" i="6"/>
  <c r="Q72" i="6"/>
  <c r="R66" i="6" s="1"/>
  <c r="J14" i="5"/>
  <c r="J15" i="5" s="1"/>
  <c r="P74" i="6"/>
  <c r="Q74" i="6"/>
  <c r="P6" i="6"/>
  <c r="Q6" i="6"/>
  <c r="P32" i="6"/>
  <c r="Q32" i="6"/>
  <c r="N54" i="6"/>
  <c r="AF54" i="6"/>
  <c r="AG44" i="6" s="1"/>
  <c r="AE54" i="6"/>
  <c r="Q43" i="6"/>
  <c r="R37" i="6" s="1"/>
  <c r="P43" i="6"/>
  <c r="L14" i="5"/>
  <c r="L15" i="5" s="1"/>
  <c r="G6" i="3"/>
  <c r="E6" i="3"/>
  <c r="M11" i="4"/>
  <c r="N5" i="4"/>
  <c r="AF5" i="4"/>
  <c r="Q6" i="4"/>
  <c r="P6" i="4"/>
  <c r="AF8" i="4"/>
  <c r="AE8" i="4"/>
  <c r="N8" i="4"/>
  <c r="AF9" i="4"/>
  <c r="AE9" i="4"/>
  <c r="P9" i="4"/>
  <c r="Q9" i="4"/>
  <c r="AF10" i="4"/>
  <c r="AE10" i="4"/>
  <c r="P10" i="4"/>
  <c r="Q10" i="4"/>
  <c r="N12" i="4"/>
  <c r="M14" i="4"/>
  <c r="AE14" i="4" s="1"/>
  <c r="AF12" i="4"/>
  <c r="AE12" i="4"/>
  <c r="N13" i="4"/>
  <c r="AE13" i="4"/>
  <c r="AF13" i="4"/>
  <c r="E19" i="3"/>
  <c r="Z2" i="4"/>
  <c r="L6" i="3" s="1"/>
  <c r="N22" i="4"/>
  <c r="AF22" i="4"/>
  <c r="AG15" i="4" s="1"/>
  <c r="AF17" i="4"/>
  <c r="AE17" i="4"/>
  <c r="N17" i="4"/>
  <c r="AF18" i="4"/>
  <c r="AE18" i="4"/>
  <c r="P18" i="4"/>
  <c r="Q18" i="4"/>
  <c r="N19" i="4"/>
  <c r="AF19" i="4"/>
  <c r="AE19" i="4"/>
  <c r="N20" i="4"/>
  <c r="AF20" i="4"/>
  <c r="AE20" i="4"/>
  <c r="N21" i="4"/>
  <c r="AE21" i="4"/>
  <c r="AF21" i="4"/>
  <c r="N29" i="4"/>
  <c r="Q29" i="4" s="1"/>
  <c r="R23" i="4" s="1"/>
  <c r="AF29" i="4"/>
  <c r="AG23" i="4" s="1"/>
  <c r="AE29" i="4"/>
  <c r="AF25" i="4"/>
  <c r="AE25" i="4"/>
  <c r="N25" i="4"/>
  <c r="AF26" i="4"/>
  <c r="AE26" i="4"/>
  <c r="P26" i="4"/>
  <c r="Q26" i="4"/>
  <c r="N27" i="4"/>
  <c r="AF27" i="4"/>
  <c r="AE27" i="4"/>
  <c r="N28" i="4"/>
  <c r="AF28" i="4"/>
  <c r="AE28" i="4"/>
  <c r="G18" i="3"/>
  <c r="Y2" i="4"/>
  <c r="K6" i="3" s="1"/>
  <c r="M37" i="4"/>
  <c r="N30" i="4"/>
  <c r="AF30" i="4"/>
  <c r="AE30" i="4"/>
  <c r="N31" i="4"/>
  <c r="AE31" i="4"/>
  <c r="AF31" i="4"/>
  <c r="Q32" i="4"/>
  <c r="P32" i="4"/>
  <c r="AE34" i="4"/>
  <c r="N34" i="4"/>
  <c r="AF35" i="4"/>
  <c r="AE35" i="4"/>
  <c r="N35" i="4"/>
  <c r="AF36" i="4"/>
  <c r="AE36" i="4"/>
  <c r="P36" i="4"/>
  <c r="Q36" i="4"/>
  <c r="N38" i="4"/>
  <c r="AF38" i="4"/>
  <c r="AE38" i="4"/>
  <c r="N39" i="4"/>
  <c r="AF39" i="4"/>
  <c r="AE39" i="4"/>
  <c r="N40" i="4"/>
  <c r="AE40" i="4"/>
  <c r="AF40" i="4"/>
  <c r="Q41" i="4"/>
  <c r="P41" i="4"/>
  <c r="Q42" i="4"/>
  <c r="P42" i="4"/>
  <c r="AF44" i="4"/>
  <c r="AE44" i="4"/>
  <c r="N44" i="4"/>
  <c r="AF45" i="4"/>
  <c r="AG38" i="4" s="1"/>
  <c r="AE45" i="4"/>
  <c r="P45" i="4"/>
  <c r="Q45" i="4"/>
  <c r="R38" i="4" s="1"/>
  <c r="M55" i="4"/>
  <c r="AF46" i="4"/>
  <c r="AE46" i="4"/>
  <c r="N47" i="4"/>
  <c r="AF47" i="4"/>
  <c r="AE47" i="4"/>
  <c r="N48" i="4"/>
  <c r="AE48" i="4"/>
  <c r="AF48" i="4"/>
  <c r="Q49" i="4"/>
  <c r="P49" i="4"/>
  <c r="AE51" i="4"/>
  <c r="N51" i="4"/>
  <c r="AF52" i="4"/>
  <c r="AE52" i="4"/>
  <c r="N52" i="4"/>
  <c r="AF53" i="4"/>
  <c r="AE53" i="4"/>
  <c r="P53" i="4"/>
  <c r="Q53" i="4"/>
  <c r="N54" i="4"/>
  <c r="AF54" i="4"/>
  <c r="AE54" i="4"/>
  <c r="N56" i="4"/>
  <c r="AF56" i="4"/>
  <c r="Q57" i="4"/>
  <c r="P57" i="4"/>
  <c r="AF59" i="4"/>
  <c r="AE59" i="4"/>
  <c r="N59" i="4"/>
  <c r="AF60" i="4"/>
  <c r="AE60" i="4"/>
  <c r="P60" i="4"/>
  <c r="Q60" i="4"/>
  <c r="N61" i="4"/>
  <c r="AF61" i="4"/>
  <c r="AE61" i="4"/>
  <c r="N62" i="4"/>
  <c r="AE62" i="4"/>
  <c r="AF62" i="4"/>
  <c r="Q63" i="4"/>
  <c r="P63" i="4"/>
  <c r="Q64" i="4"/>
  <c r="AF66" i="4"/>
  <c r="AG56" i="4" s="1"/>
  <c r="AE66" i="4"/>
  <c r="N66" i="4"/>
  <c r="AF67" i="4"/>
  <c r="AE67" i="4"/>
  <c r="M73" i="4"/>
  <c r="Q67" i="4"/>
  <c r="P67" i="4"/>
  <c r="AF68" i="4"/>
  <c r="AE68" i="4"/>
  <c r="P68" i="4"/>
  <c r="Q68" i="4"/>
  <c r="N69" i="4"/>
  <c r="AF69" i="4"/>
  <c r="AE69" i="4"/>
  <c r="N70" i="4"/>
  <c r="AE70" i="4"/>
  <c r="AF70" i="4"/>
  <c r="Q71" i="4"/>
  <c r="P71" i="4"/>
  <c r="AF74" i="4"/>
  <c r="AE74" i="4"/>
  <c r="M82" i="4"/>
  <c r="N74" i="4"/>
  <c r="AF76" i="4"/>
  <c r="AE76" i="4"/>
  <c r="P76" i="4"/>
  <c r="Q76" i="4"/>
  <c r="N77" i="4"/>
  <c r="AF77" i="4"/>
  <c r="AE77" i="4"/>
  <c r="N78" i="4"/>
  <c r="AE78" i="4"/>
  <c r="AF78" i="4"/>
  <c r="AE79" i="4"/>
  <c r="N79" i="4"/>
  <c r="AF79" i="4"/>
  <c r="N80" i="4"/>
  <c r="AF80" i="4"/>
  <c r="N7" i="4"/>
  <c r="N16" i="4"/>
  <c r="N24" i="4"/>
  <c r="N33" i="4"/>
  <c r="N43" i="4"/>
  <c r="N50" i="4"/>
  <c r="N58" i="4"/>
  <c r="N65" i="4"/>
  <c r="N72" i="4"/>
  <c r="N81" i="4"/>
  <c r="N15" i="4"/>
  <c r="N23" i="4"/>
  <c r="N75" i="4"/>
  <c r="AE75" i="4"/>
  <c r="M22" i="2"/>
  <c r="L22" i="2"/>
  <c r="K22" i="2"/>
  <c r="J22" i="2"/>
  <c r="I22" i="2"/>
  <c r="H22" i="2"/>
  <c r="G22" i="2"/>
  <c r="F22" i="2"/>
  <c r="E22" i="2"/>
  <c r="D22" i="2"/>
  <c r="M17" i="2"/>
  <c r="L17" i="2"/>
  <c r="K17" i="2"/>
  <c r="J17" i="2"/>
  <c r="I17" i="2"/>
  <c r="H17" i="2"/>
  <c r="G17" i="2"/>
  <c r="F17" i="2"/>
  <c r="E17" i="2"/>
  <c r="D17" i="2"/>
  <c r="M16" i="2"/>
  <c r="L16" i="2"/>
  <c r="K16" i="2"/>
  <c r="J16" i="2"/>
  <c r="I16" i="2"/>
  <c r="H16" i="2"/>
  <c r="G16" i="2"/>
  <c r="F16" i="2"/>
  <c r="E16" i="2"/>
  <c r="D16" i="2"/>
  <c r="C3" i="2"/>
  <c r="Q22" i="6" l="1"/>
  <c r="R15" i="6" s="1"/>
  <c r="G8" i="9"/>
  <c r="F8" i="9"/>
  <c r="E8" i="9"/>
  <c r="D15" i="7"/>
  <c r="G7" i="7"/>
  <c r="F7" i="7"/>
  <c r="E7" i="7"/>
  <c r="K15" i="7"/>
  <c r="I8" i="7" s="1"/>
  <c r="I7" i="7"/>
  <c r="M14" i="5"/>
  <c r="M15" i="5" s="1"/>
  <c r="Q80" i="6"/>
  <c r="R73" i="6" s="1"/>
  <c r="P80" i="6"/>
  <c r="Q54" i="6"/>
  <c r="R44" i="6" s="1"/>
  <c r="P54" i="6"/>
  <c r="H14" i="5"/>
  <c r="H15" i="5" s="1"/>
  <c r="D14" i="5"/>
  <c r="Q11" i="6"/>
  <c r="R5" i="6" s="1"/>
  <c r="P11" i="6"/>
  <c r="D2" i="6"/>
  <c r="Q36" i="6"/>
  <c r="R30" i="6" s="1"/>
  <c r="P36" i="6"/>
  <c r="K14" i="5"/>
  <c r="P62" i="4"/>
  <c r="Q62" i="4"/>
  <c r="P21" i="4"/>
  <c r="Q21" i="4"/>
  <c r="Q12" i="4"/>
  <c r="P12" i="4"/>
  <c r="Q54" i="4"/>
  <c r="P54" i="4"/>
  <c r="P28" i="4"/>
  <c r="Q28" i="4"/>
  <c r="Q27" i="4"/>
  <c r="P27" i="4"/>
  <c r="P13" i="4"/>
  <c r="Q13" i="4"/>
  <c r="P38" i="4"/>
  <c r="Q38" i="4"/>
  <c r="P78" i="4"/>
  <c r="Q78" i="4"/>
  <c r="Q77" i="4"/>
  <c r="P77" i="4"/>
  <c r="Q69" i="4"/>
  <c r="P69" i="4"/>
  <c r="P48" i="4"/>
  <c r="Q48" i="4"/>
  <c r="Q47" i="4"/>
  <c r="P47" i="4"/>
  <c r="P31" i="4"/>
  <c r="Q31" i="4"/>
  <c r="P70" i="4"/>
  <c r="Q70" i="4"/>
  <c r="P61" i="4"/>
  <c r="Q61" i="4"/>
  <c r="P40" i="4"/>
  <c r="Q40" i="4"/>
  <c r="P20" i="4"/>
  <c r="Q20" i="4"/>
  <c r="Q39" i="4"/>
  <c r="P39" i="4"/>
  <c r="Q19" i="4"/>
  <c r="P19" i="4"/>
  <c r="Q75" i="4"/>
  <c r="P75" i="4"/>
  <c r="Q23" i="4"/>
  <c r="P23" i="4"/>
  <c r="Q15" i="4"/>
  <c r="P15" i="4"/>
  <c r="Q81" i="4"/>
  <c r="P81" i="4"/>
  <c r="Q72" i="4"/>
  <c r="P72" i="4"/>
  <c r="Q65" i="4"/>
  <c r="P65" i="4"/>
  <c r="Q58" i="4"/>
  <c r="P58" i="4"/>
  <c r="Q50" i="4"/>
  <c r="P50" i="4"/>
  <c r="Q43" i="4"/>
  <c r="P43" i="4"/>
  <c r="Q33" i="4"/>
  <c r="P33" i="4"/>
  <c r="Q24" i="4"/>
  <c r="P24" i="4"/>
  <c r="Q16" i="4"/>
  <c r="P16" i="4"/>
  <c r="Q7" i="4"/>
  <c r="P7" i="4"/>
  <c r="Q80" i="4"/>
  <c r="P80" i="4"/>
  <c r="Q79" i="4"/>
  <c r="P79" i="4"/>
  <c r="Q74" i="4"/>
  <c r="P74" i="4"/>
  <c r="AF82" i="4"/>
  <c r="AG74" i="4" s="1"/>
  <c r="AE82" i="4"/>
  <c r="N82" i="4"/>
  <c r="M14" i="3" s="1"/>
  <c r="M15" i="3" s="1"/>
  <c r="AF73" i="4"/>
  <c r="AG67" i="4" s="1"/>
  <c r="AE73" i="4"/>
  <c r="N73" i="4"/>
  <c r="J14" i="3" s="1"/>
  <c r="J15" i="3" s="1"/>
  <c r="I14" i="3"/>
  <c r="I15" i="3" s="1"/>
  <c r="Q66" i="4"/>
  <c r="R56" i="4" s="1"/>
  <c r="P66" i="4"/>
  <c r="Q59" i="4"/>
  <c r="P59" i="4"/>
  <c r="Q56" i="4"/>
  <c r="P56" i="4"/>
  <c r="Q52" i="4"/>
  <c r="P52" i="4"/>
  <c r="Q51" i="4"/>
  <c r="P51" i="4"/>
  <c r="N55" i="4"/>
  <c r="Q55" i="4" s="1"/>
  <c r="R46" i="4" s="1"/>
  <c r="AF55" i="4"/>
  <c r="AG46" i="4" s="1"/>
  <c r="AE55" i="4"/>
  <c r="Q44" i="4"/>
  <c r="P44" i="4"/>
  <c r="Q35" i="4"/>
  <c r="P35" i="4"/>
  <c r="Q34" i="4"/>
  <c r="P34" i="4"/>
  <c r="Q30" i="4"/>
  <c r="P30" i="4"/>
  <c r="N37" i="4"/>
  <c r="AF37" i="4"/>
  <c r="AG30" i="4" s="1"/>
  <c r="AE37" i="4"/>
  <c r="Q25" i="4"/>
  <c r="P25" i="4"/>
  <c r="P29" i="4"/>
  <c r="G14" i="3"/>
  <c r="G15" i="3" s="1"/>
  <c r="Q17" i="4"/>
  <c r="P17" i="4"/>
  <c r="Q22" i="4"/>
  <c r="R15" i="4" s="1"/>
  <c r="P22" i="4"/>
  <c r="F14" i="3"/>
  <c r="F15" i="3" s="1"/>
  <c r="N14" i="4"/>
  <c r="AF14" i="4"/>
  <c r="AG12" i="4" s="1"/>
  <c r="Q8" i="4"/>
  <c r="P8" i="4"/>
  <c r="Q5" i="4"/>
  <c r="P5" i="4"/>
  <c r="N11" i="4"/>
  <c r="AF11" i="4"/>
  <c r="AG5" i="4" s="1"/>
  <c r="AE11" i="4"/>
  <c r="G8" i="7" l="1"/>
  <c r="F8" i="7"/>
  <c r="E8" i="7"/>
  <c r="D15" i="5"/>
  <c r="F7" i="5"/>
  <c r="E7" i="5"/>
  <c r="G7" i="5"/>
  <c r="I7" i="5"/>
  <c r="K15" i="5"/>
  <c r="I8" i="5" s="1"/>
  <c r="P37" i="4"/>
  <c r="Q37" i="4"/>
  <c r="R30" i="4" s="1"/>
  <c r="K14" i="3"/>
  <c r="D14" i="3"/>
  <c r="D2" i="4"/>
  <c r="Q11" i="4"/>
  <c r="R5" i="4" s="1"/>
  <c r="P11" i="4"/>
  <c r="Q14" i="4"/>
  <c r="R12" i="4" s="1"/>
  <c r="P14" i="4"/>
  <c r="E14" i="3"/>
  <c r="E15" i="3" s="1"/>
  <c r="P55" i="4"/>
  <c r="H14" i="3"/>
  <c r="H15" i="3" s="1"/>
  <c r="Q73" i="4"/>
  <c r="R67" i="4" s="1"/>
  <c r="P73" i="4"/>
  <c r="Q82" i="4"/>
  <c r="R74" i="4" s="1"/>
  <c r="P82" i="4"/>
  <c r="G8" i="5" l="1"/>
  <c r="E8" i="5"/>
  <c r="F8" i="5"/>
  <c r="G7" i="3"/>
  <c r="E7" i="3"/>
  <c r="D15" i="3"/>
  <c r="F7" i="3"/>
  <c r="K15" i="3"/>
  <c r="I8" i="3" s="1"/>
  <c r="I7" i="3"/>
  <c r="X79" i="1"/>
  <c r="W79" i="1"/>
  <c r="X64" i="1"/>
  <c r="W64" i="1"/>
  <c r="X51" i="1"/>
  <c r="W51" i="1"/>
  <c r="X42" i="1"/>
  <c r="W42" i="1"/>
  <c r="X27" i="1"/>
  <c r="W27" i="1"/>
  <c r="X20" i="1"/>
  <c r="W20" i="1"/>
  <c r="X9" i="1"/>
  <c r="W9" i="1"/>
  <c r="AD82" i="1"/>
  <c r="M21" i="2" s="1"/>
  <c r="Z82" i="1"/>
  <c r="M19" i="2" s="1"/>
  <c r="Y82" i="1"/>
  <c r="M18" i="2" s="1"/>
  <c r="AD73" i="1"/>
  <c r="J21" i="2" s="1"/>
  <c r="Z73" i="1"/>
  <c r="J19" i="2" s="1"/>
  <c r="Y73" i="1"/>
  <c r="J18" i="2" s="1"/>
  <c r="AD66" i="1"/>
  <c r="I21" i="2" s="1"/>
  <c r="Z66" i="1"/>
  <c r="I19" i="2" s="1"/>
  <c r="Y66" i="1"/>
  <c r="I18" i="2" s="1"/>
  <c r="AD55" i="1"/>
  <c r="H21" i="2" s="1"/>
  <c r="Z55" i="1"/>
  <c r="H19" i="2" s="1"/>
  <c r="Y55" i="1"/>
  <c r="H18" i="2" s="1"/>
  <c r="AD45" i="1"/>
  <c r="L21" i="2" s="1"/>
  <c r="Z45" i="1"/>
  <c r="L19" i="2" s="1"/>
  <c r="Y45" i="1"/>
  <c r="L18" i="2" s="1"/>
  <c r="AD37" i="1"/>
  <c r="K21" i="2" s="1"/>
  <c r="Z37" i="1"/>
  <c r="K19" i="2" s="1"/>
  <c r="Y37" i="1"/>
  <c r="K18" i="2" s="1"/>
  <c r="AD29" i="1"/>
  <c r="G21" i="2" s="1"/>
  <c r="Z29" i="1"/>
  <c r="G19" i="2" s="1"/>
  <c r="Y29" i="1"/>
  <c r="G18" i="2" s="1"/>
  <c r="AD22" i="1"/>
  <c r="F21" i="2" s="1"/>
  <c r="Z22" i="1"/>
  <c r="F19" i="2" s="1"/>
  <c r="Y22" i="1"/>
  <c r="F18" i="2" s="1"/>
  <c r="AD14" i="1"/>
  <c r="E21" i="2" s="1"/>
  <c r="Z14" i="1"/>
  <c r="E19" i="2" s="1"/>
  <c r="Y14" i="1"/>
  <c r="E18" i="2" s="1"/>
  <c r="AD11" i="1"/>
  <c r="D21" i="2" s="1"/>
  <c r="Z11" i="1"/>
  <c r="D19" i="2" s="1"/>
  <c r="Y11" i="1"/>
  <c r="D18" i="2" s="1"/>
  <c r="G8" i="3" l="1"/>
  <c r="F8" i="3"/>
  <c r="E8" i="3"/>
  <c r="AD2" i="1"/>
  <c r="N6" i="2" s="1"/>
  <c r="Z2" i="1"/>
  <c r="L6" i="2" s="1"/>
  <c r="O16" i="1"/>
  <c r="Y2" i="1"/>
  <c r="K6" i="2" s="1"/>
  <c r="G32" i="1"/>
  <c r="U17" i="1"/>
  <c r="O21" i="1"/>
  <c r="O8" i="1"/>
  <c r="U25" i="1"/>
  <c r="K35" i="1"/>
  <c r="O35" i="1"/>
  <c r="U61" i="1"/>
  <c r="G42" i="1"/>
  <c r="G58" i="1"/>
  <c r="O60" i="1" l="1"/>
  <c r="O68" i="1"/>
  <c r="G16" i="1"/>
  <c r="O26" i="1"/>
  <c r="G26" i="1"/>
  <c r="O13" i="1"/>
  <c r="G75" i="1"/>
  <c r="K75" i="1"/>
  <c r="K58" i="1"/>
  <c r="AC14" i="1"/>
  <c r="E20" i="2" s="1"/>
  <c r="O32" i="1"/>
  <c r="K21" i="1"/>
  <c r="K60" i="1"/>
  <c r="K42" i="1"/>
  <c r="G72" i="1"/>
  <c r="G64" i="1"/>
  <c r="K8" i="1"/>
  <c r="O64" i="1"/>
  <c r="O72" i="1"/>
  <c r="G68" i="1"/>
  <c r="G35" i="1"/>
  <c r="K38" i="1"/>
  <c r="G38" i="1"/>
  <c r="G33" i="1"/>
  <c r="O33" i="1"/>
  <c r="G13" i="1"/>
  <c r="K13" i="1"/>
  <c r="O70" i="1"/>
  <c r="G70" i="1"/>
  <c r="G19" i="1"/>
  <c r="O28" i="1"/>
  <c r="G28" i="1"/>
  <c r="O75" i="1"/>
  <c r="G81" i="1"/>
  <c r="O81" i="1"/>
  <c r="O57" i="1"/>
  <c r="G57" i="1"/>
  <c r="O65" i="1"/>
  <c r="G65" i="1"/>
  <c r="G69" i="1"/>
  <c r="G60" i="1"/>
  <c r="G49" i="1"/>
  <c r="O49" i="1"/>
  <c r="G46" i="1"/>
  <c r="O51" i="1"/>
  <c r="G51" i="1"/>
  <c r="G44" i="1"/>
  <c r="O44" i="1"/>
  <c r="AC37" i="1"/>
  <c r="K20" i="2" s="1"/>
  <c r="AC29" i="1"/>
  <c r="G20" i="2" s="1"/>
  <c r="K16" i="1"/>
  <c r="O20" i="1"/>
  <c r="G20" i="1"/>
  <c r="D1" i="1"/>
  <c r="F3" i="2" s="1"/>
  <c r="AC11" i="1"/>
  <c r="D20" i="2" s="1"/>
  <c r="G63" i="1"/>
  <c r="O63" i="1"/>
  <c r="O53" i="1"/>
  <c r="G53" i="1"/>
  <c r="O15" i="1"/>
  <c r="G15" i="1"/>
  <c r="G30" i="1"/>
  <c r="O61" i="1"/>
  <c r="G61" i="1"/>
  <c r="O42" i="1"/>
  <c r="O47" i="1"/>
  <c r="G47" i="1"/>
  <c r="G54" i="1"/>
  <c r="O54" i="1"/>
  <c r="G40" i="1"/>
  <c r="O40" i="1"/>
  <c r="G79" i="1"/>
  <c r="O79" i="1"/>
  <c r="K64" i="1"/>
  <c r="O52" i="1"/>
  <c r="G52" i="1"/>
  <c r="K39" i="1"/>
  <c r="G36" i="1"/>
  <c r="O36" i="1"/>
  <c r="G23" i="1"/>
  <c r="AC22" i="1"/>
  <c r="F20" i="2" s="1"/>
  <c r="G78" i="1"/>
  <c r="O78" i="1"/>
  <c r="G56" i="1"/>
  <c r="O56" i="1"/>
  <c r="O50" i="1"/>
  <c r="G50" i="1"/>
  <c r="G12" i="1"/>
  <c r="G8" i="1"/>
  <c r="O7" i="1"/>
  <c r="G7" i="1"/>
  <c r="O6" i="1"/>
  <c r="G6" i="1"/>
  <c r="O46" i="1"/>
  <c r="G67" i="1"/>
  <c r="O25" i="1"/>
  <c r="G25" i="1"/>
  <c r="K26" i="1"/>
  <c r="K23" i="1"/>
  <c r="O9" i="1"/>
  <c r="G9" i="1"/>
  <c r="G74" i="1"/>
  <c r="O71" i="1"/>
  <c r="G71" i="1"/>
  <c r="O48" i="1"/>
  <c r="G48" i="1"/>
  <c r="O39" i="1"/>
  <c r="O31" i="1"/>
  <c r="G31" i="1"/>
  <c r="O23" i="1"/>
  <c r="O24" i="1"/>
  <c r="G24" i="1"/>
  <c r="O17" i="1"/>
  <c r="G17" i="1"/>
  <c r="G80" i="1"/>
  <c r="O80" i="1"/>
  <c r="G62" i="1"/>
  <c r="O62" i="1"/>
  <c r="AC82" i="1"/>
  <c r="M20" i="2" s="1"/>
  <c r="K32" i="1"/>
  <c r="O19" i="1"/>
  <c r="O5" i="1"/>
  <c r="G5" i="1"/>
  <c r="O77" i="1"/>
  <c r="G77" i="1"/>
  <c r="O76" i="1"/>
  <c r="G76" i="1"/>
  <c r="O69" i="1"/>
  <c r="G43" i="1"/>
  <c r="O43" i="1"/>
  <c r="G34" i="1"/>
  <c r="O34" i="1"/>
  <c r="G18" i="1"/>
  <c r="O18" i="1"/>
  <c r="O41" i="1"/>
  <c r="G41" i="1"/>
  <c r="O59" i="1"/>
  <c r="G59" i="1"/>
  <c r="AC66" i="1"/>
  <c r="I20" i="2" s="1"/>
  <c r="AC45" i="1"/>
  <c r="L20" i="2" s="1"/>
  <c r="G39" i="1"/>
  <c r="O27" i="1"/>
  <c r="G27" i="1"/>
  <c r="G21" i="1"/>
  <c r="O10" i="1"/>
  <c r="G10" i="1"/>
  <c r="O58" i="1" l="1"/>
  <c r="K68" i="1"/>
  <c r="O38" i="1"/>
  <c r="K19" i="1"/>
  <c r="K49" i="1"/>
  <c r="O14" i="1"/>
  <c r="O12" i="1"/>
  <c r="K52" i="1"/>
  <c r="K70" i="1"/>
  <c r="K57" i="1"/>
  <c r="K72" i="1"/>
  <c r="K61" i="1"/>
  <c r="K43" i="1"/>
  <c r="K17" i="1"/>
  <c r="K34" i="1"/>
  <c r="O73" i="1"/>
  <c r="K78" i="1"/>
  <c r="O29" i="1"/>
  <c r="K28" i="1"/>
  <c r="K9" i="1"/>
  <c r="K40" i="1"/>
  <c r="K69" i="1"/>
  <c r="K76" i="1"/>
  <c r="K48" i="1"/>
  <c r="K50" i="1"/>
  <c r="K54" i="1"/>
  <c r="K20" i="1"/>
  <c r="K33" i="1"/>
  <c r="K41" i="1"/>
  <c r="K62" i="1"/>
  <c r="O11" i="1"/>
  <c r="K65" i="1"/>
  <c r="K77" i="1"/>
  <c r="K24" i="1"/>
  <c r="K71" i="1"/>
  <c r="K36" i="1"/>
  <c r="K15" i="1"/>
  <c r="K46" i="1"/>
  <c r="K81" i="1"/>
  <c r="K80" i="1"/>
  <c r="O22" i="1"/>
  <c r="K44" i="1"/>
  <c r="AC55" i="1"/>
  <c r="H20" i="2" s="1"/>
  <c r="O37" i="1"/>
  <c r="H1" i="1"/>
  <c r="K10" i="1"/>
  <c r="K59" i="1"/>
  <c r="K31" i="1"/>
  <c r="O82" i="1"/>
  <c r="O67" i="1"/>
  <c r="K6" i="1"/>
  <c r="K53" i="1"/>
  <c r="O55" i="1"/>
  <c r="K74" i="1"/>
  <c r="O30" i="1"/>
  <c r="O74" i="1"/>
  <c r="AC73" i="1"/>
  <c r="J20" i="2" s="1"/>
  <c r="K79" i="1"/>
  <c r="K47" i="1"/>
  <c r="K30" i="1"/>
  <c r="K51" i="1"/>
  <c r="K56" i="1"/>
  <c r="K7" i="1"/>
  <c r="K18" i="1"/>
  <c r="K5" i="1"/>
  <c r="K12" i="1"/>
  <c r="K14" i="1"/>
  <c r="E13" i="2" s="1"/>
  <c r="K63" i="1"/>
  <c r="K67" i="1"/>
  <c r="K25" i="1"/>
  <c r="K27" i="1"/>
  <c r="F1" i="1"/>
  <c r="O66" i="1"/>
  <c r="F2" i="1" l="1"/>
  <c r="I3" i="2"/>
  <c r="K29" i="1"/>
  <c r="G13" i="2" s="1"/>
  <c r="K82" i="1"/>
  <c r="M13" i="2" s="1"/>
  <c r="K45" i="1"/>
  <c r="L13" i="2" s="1"/>
  <c r="K11" i="1"/>
  <c r="D13" i="2" s="1"/>
  <c r="O45" i="1"/>
  <c r="K37" i="1"/>
  <c r="K13" i="2" s="1"/>
  <c r="K73" i="1"/>
  <c r="J13" i="2" s="1"/>
  <c r="F6" i="2" s="1"/>
  <c r="AC2" i="1"/>
  <c r="M6" i="2" s="1"/>
  <c r="K66" i="1"/>
  <c r="I13" i="2" s="1"/>
  <c r="K55" i="1"/>
  <c r="H13" i="2" s="1"/>
  <c r="K22" i="1"/>
  <c r="F13" i="2" s="1"/>
  <c r="I6" i="2" l="1"/>
  <c r="E6" i="2"/>
  <c r="G6" i="2"/>
  <c r="V17" i="1"/>
  <c r="M17" i="1" s="1"/>
  <c r="V56" i="1"/>
  <c r="M56" i="1" s="1"/>
  <c r="N56" i="1" l="1"/>
  <c r="AF56" i="1"/>
  <c r="AE56" i="1"/>
  <c r="W74" i="1"/>
  <c r="V74" i="1"/>
  <c r="M74" i="1" s="1"/>
  <c r="V38" i="1"/>
  <c r="M38" i="1" s="1"/>
  <c r="W38" i="1"/>
  <c r="AF17" i="1"/>
  <c r="AE17" i="1"/>
  <c r="N17" i="1"/>
  <c r="U57" i="1"/>
  <c r="U18" i="1"/>
  <c r="V57" i="1"/>
  <c r="M57" i="1" s="1"/>
  <c r="V18" i="1"/>
  <c r="M18" i="1" s="1"/>
  <c r="V23" i="1"/>
  <c r="M23" i="1" s="1"/>
  <c r="U19" i="1"/>
  <c r="N57" i="1" l="1"/>
  <c r="AF57" i="1"/>
  <c r="AE57" i="1"/>
  <c r="P17" i="1"/>
  <c r="Q17" i="1"/>
  <c r="AF38" i="1"/>
  <c r="AE38" i="1"/>
  <c r="N38" i="1"/>
  <c r="V30" i="1"/>
  <c r="M30" i="1" s="1"/>
  <c r="W30" i="1"/>
  <c r="AF74" i="1"/>
  <c r="N74" i="1"/>
  <c r="AE74" i="1"/>
  <c r="V46" i="1"/>
  <c r="M46" i="1" s="1"/>
  <c r="AF23" i="1"/>
  <c r="AE23" i="1"/>
  <c r="N23" i="1"/>
  <c r="X30" i="1"/>
  <c r="U31" i="1"/>
  <c r="AE18" i="1"/>
  <c r="N18" i="1"/>
  <c r="AF18" i="1"/>
  <c r="Q56" i="1"/>
  <c r="P56" i="1"/>
  <c r="V25" i="1"/>
  <c r="M25" i="1" s="1"/>
  <c r="U58" i="1"/>
  <c r="V15" i="1"/>
  <c r="M15" i="1" s="1"/>
  <c r="V31" i="1"/>
  <c r="M31" i="1" s="1"/>
  <c r="V67" i="1"/>
  <c r="M67" i="1" s="1"/>
  <c r="U24" i="1"/>
  <c r="V5" i="1"/>
  <c r="M5" i="1" s="1"/>
  <c r="V19" i="1"/>
  <c r="M19" i="1" s="1"/>
  <c r="U32" i="1" l="1"/>
  <c r="U68" i="1"/>
  <c r="V47" i="1"/>
  <c r="M47" i="1" s="1"/>
  <c r="V48" i="1"/>
  <c r="M48" i="1" s="1"/>
  <c r="N48" i="1" s="1"/>
  <c r="U47" i="1"/>
  <c r="AE30" i="1"/>
  <c r="AF30" i="1"/>
  <c r="N30" i="1"/>
  <c r="Q23" i="1"/>
  <c r="P23" i="1"/>
  <c r="Q38" i="1"/>
  <c r="P38" i="1"/>
  <c r="U13" i="1"/>
  <c r="AE47" i="1"/>
  <c r="N47" i="1"/>
  <c r="AF47" i="1"/>
  <c r="U75" i="1"/>
  <c r="X74" i="1"/>
  <c r="V13" i="1"/>
  <c r="M13" i="1" s="1"/>
  <c r="N31" i="1"/>
  <c r="AE31" i="1"/>
  <c r="AF31" i="1"/>
  <c r="U26" i="1"/>
  <c r="AE15" i="1"/>
  <c r="AF15" i="1"/>
  <c r="N15" i="1"/>
  <c r="U48" i="1"/>
  <c r="AF46" i="1"/>
  <c r="AE46" i="1"/>
  <c r="N46" i="1"/>
  <c r="AE67" i="1"/>
  <c r="N67" i="1"/>
  <c r="AF67" i="1"/>
  <c r="AE25" i="1"/>
  <c r="AF25" i="1"/>
  <c r="N25" i="1"/>
  <c r="AF19" i="1"/>
  <c r="AE19" i="1"/>
  <c r="N19" i="1"/>
  <c r="Q18" i="1"/>
  <c r="P18" i="1"/>
  <c r="P74" i="1"/>
  <c r="Q74" i="1"/>
  <c r="AE5" i="1"/>
  <c r="N5" i="1"/>
  <c r="AF5" i="1"/>
  <c r="V12" i="1"/>
  <c r="M12" i="1" s="1"/>
  <c r="P57" i="1"/>
  <c r="Q57" i="1"/>
  <c r="V26" i="1"/>
  <c r="M26" i="1" s="1"/>
  <c r="V58" i="1"/>
  <c r="M58" i="1" s="1"/>
  <c r="U49" i="1"/>
  <c r="V21" i="1"/>
  <c r="M21" i="1" s="1"/>
  <c r="U16" i="1"/>
  <c r="V24" i="1"/>
  <c r="M24" i="1" s="1"/>
  <c r="U6" i="1"/>
  <c r="V32" i="1"/>
  <c r="M32" i="1" s="1"/>
  <c r="V75" i="1"/>
  <c r="M75" i="1" s="1"/>
  <c r="U20" i="1"/>
  <c r="AE48" i="1" l="1"/>
  <c r="AF48" i="1"/>
  <c r="U27" i="1"/>
  <c r="V60" i="1"/>
  <c r="M60" i="1" s="1"/>
  <c r="N60" i="1" s="1"/>
  <c r="V16" i="1"/>
  <c r="M16" i="1" s="1"/>
  <c r="AF16" i="1" s="1"/>
  <c r="N26" i="1"/>
  <c r="AF26" i="1"/>
  <c r="AE26" i="1"/>
  <c r="Q67" i="1"/>
  <c r="P67" i="1"/>
  <c r="P46" i="1"/>
  <c r="Q46" i="1"/>
  <c r="Q31" i="1"/>
  <c r="P31" i="1"/>
  <c r="N75" i="1"/>
  <c r="AF75" i="1"/>
  <c r="AE75" i="1"/>
  <c r="AE12" i="1"/>
  <c r="AF12" i="1"/>
  <c r="N12" i="1"/>
  <c r="M14" i="1"/>
  <c r="P48" i="1"/>
  <c r="Q48" i="1"/>
  <c r="AE13" i="1"/>
  <c r="N13" i="1"/>
  <c r="AF13" i="1"/>
  <c r="AE32" i="1"/>
  <c r="AF32" i="1"/>
  <c r="N32" i="1"/>
  <c r="AF58" i="1"/>
  <c r="AE58" i="1"/>
  <c r="N58" i="1"/>
  <c r="P19" i="1"/>
  <c r="Q19" i="1"/>
  <c r="N16" i="1"/>
  <c r="Q30" i="1"/>
  <c r="P30" i="1"/>
  <c r="Q5" i="1"/>
  <c r="P5" i="1"/>
  <c r="X38" i="1"/>
  <c r="U39" i="1"/>
  <c r="Q25" i="1"/>
  <c r="P25" i="1"/>
  <c r="Q15" i="1"/>
  <c r="P15" i="1"/>
  <c r="P47" i="1"/>
  <c r="Q47" i="1"/>
  <c r="N21" i="1"/>
  <c r="AF21" i="1"/>
  <c r="AE21" i="1"/>
  <c r="V49" i="1"/>
  <c r="M49" i="1" s="1"/>
  <c r="AF24" i="1"/>
  <c r="AE24" i="1"/>
  <c r="N24" i="1"/>
  <c r="V27" i="1"/>
  <c r="M27" i="1" s="1"/>
  <c r="U59" i="1"/>
  <c r="U50" i="1"/>
  <c r="V68" i="1"/>
  <c r="M68" i="1" s="1"/>
  <c r="V39" i="1"/>
  <c r="M39" i="1" s="1"/>
  <c r="V6" i="1"/>
  <c r="M6" i="1" s="1"/>
  <c r="U76" i="1"/>
  <c r="U33" i="1"/>
  <c r="AE60" i="1" l="1"/>
  <c r="AE16" i="1"/>
  <c r="AF60" i="1"/>
  <c r="U51" i="1"/>
  <c r="V59" i="1"/>
  <c r="M59" i="1" s="1"/>
  <c r="N59" i="1" s="1"/>
  <c r="V65" i="1"/>
  <c r="M65" i="1" s="1"/>
  <c r="AF65" i="1" s="1"/>
  <c r="Q24" i="1"/>
  <c r="P24" i="1"/>
  <c r="AF59" i="1"/>
  <c r="AE59" i="1"/>
  <c r="AF14" i="1"/>
  <c r="AG12" i="1" s="1"/>
  <c r="N14" i="1"/>
  <c r="E14" i="2" s="1"/>
  <c r="E15" i="2" s="1"/>
  <c r="AE14" i="1"/>
  <c r="Q60" i="1"/>
  <c r="P60" i="1"/>
  <c r="Q58" i="1"/>
  <c r="P58" i="1"/>
  <c r="P12" i="1"/>
  <c r="Q12" i="1"/>
  <c r="AF49" i="1"/>
  <c r="AE49" i="1"/>
  <c r="N49" i="1"/>
  <c r="N68" i="1"/>
  <c r="AE68" i="1"/>
  <c r="AF68" i="1"/>
  <c r="N6" i="1"/>
  <c r="AF6" i="1"/>
  <c r="AE6" i="1"/>
  <c r="V50" i="1"/>
  <c r="M50" i="1" s="1"/>
  <c r="U60" i="1"/>
  <c r="V20" i="1"/>
  <c r="M20" i="1" s="1"/>
  <c r="U21" i="1"/>
  <c r="Q32" i="1"/>
  <c r="P32" i="1"/>
  <c r="AF27" i="1"/>
  <c r="N27" i="1"/>
  <c r="AE27" i="1"/>
  <c r="N39" i="1"/>
  <c r="AE39" i="1"/>
  <c r="AF39" i="1"/>
  <c r="Q21" i="1"/>
  <c r="P21" i="1"/>
  <c r="Q16" i="1"/>
  <c r="P16" i="1"/>
  <c r="Q75" i="1"/>
  <c r="P75" i="1"/>
  <c r="Q13" i="1"/>
  <c r="P13" i="1"/>
  <c r="Q26" i="1"/>
  <c r="P26" i="1"/>
  <c r="V61" i="1"/>
  <c r="M61" i="1" s="1"/>
  <c r="U28" i="1"/>
  <c r="U69" i="1"/>
  <c r="V33" i="1"/>
  <c r="M33" i="1" s="1"/>
  <c r="V76" i="1"/>
  <c r="M76" i="1" s="1"/>
  <c r="U7" i="1"/>
  <c r="U40" i="1"/>
  <c r="V51" i="1"/>
  <c r="M51" i="1" s="1"/>
  <c r="N65" i="1" l="1"/>
  <c r="AE65" i="1"/>
  <c r="V28" i="1"/>
  <c r="M28" i="1" s="1"/>
  <c r="M29" i="1" s="1"/>
  <c r="N76" i="1"/>
  <c r="AF76" i="1"/>
  <c r="AE76" i="1"/>
  <c r="Q68" i="1"/>
  <c r="P68" i="1"/>
  <c r="Q14" i="1"/>
  <c r="R12" i="1" s="1"/>
  <c r="P14" i="1"/>
  <c r="AF28" i="1"/>
  <c r="P65" i="1"/>
  <c r="Q65" i="1"/>
  <c r="AE20" i="1"/>
  <c r="N20" i="1"/>
  <c r="AF20" i="1"/>
  <c r="M22" i="1"/>
  <c r="P49" i="1"/>
  <c r="Q49" i="1"/>
  <c r="Q27" i="1"/>
  <c r="P27" i="1"/>
  <c r="N61" i="1"/>
  <c r="AE61" i="1"/>
  <c r="AF61" i="1"/>
  <c r="AF50" i="1"/>
  <c r="AE50" i="1"/>
  <c r="N50" i="1"/>
  <c r="AF51" i="1"/>
  <c r="AE51" i="1"/>
  <c r="N51" i="1"/>
  <c r="P59" i="1"/>
  <c r="Q59" i="1"/>
  <c r="N33" i="1"/>
  <c r="AF33" i="1"/>
  <c r="AE33" i="1"/>
  <c r="Q39" i="1"/>
  <c r="P39" i="1"/>
  <c r="P6" i="1"/>
  <c r="Q6" i="1"/>
  <c r="U62" i="1"/>
  <c r="V69" i="1"/>
  <c r="M69" i="1" s="1"/>
  <c r="V40" i="1"/>
  <c r="M40" i="1" s="1"/>
  <c r="U34" i="1"/>
  <c r="U77" i="1"/>
  <c r="V7" i="1"/>
  <c r="M7" i="1" s="1"/>
  <c r="N28" i="1" l="1"/>
  <c r="AE28" i="1"/>
  <c r="P33" i="1"/>
  <c r="Q33" i="1"/>
  <c r="AE40" i="1"/>
  <c r="AF40" i="1"/>
  <c r="N40" i="1"/>
  <c r="P61" i="1"/>
  <c r="Q61" i="1"/>
  <c r="V10" i="1"/>
  <c r="M10" i="1" s="1"/>
  <c r="Q51" i="1"/>
  <c r="P51" i="1"/>
  <c r="AE69" i="1"/>
  <c r="AF69" i="1"/>
  <c r="N69" i="1"/>
  <c r="AF29" i="1"/>
  <c r="AG23" i="1" s="1"/>
  <c r="N29" i="1"/>
  <c r="G14" i="2" s="1"/>
  <c r="G15" i="2" s="1"/>
  <c r="AE29" i="1"/>
  <c r="AF22" i="1"/>
  <c r="AG15" i="1" s="1"/>
  <c r="AE22" i="1"/>
  <c r="N22" i="1"/>
  <c r="F14" i="2" s="1"/>
  <c r="F15" i="2" s="1"/>
  <c r="P28" i="1"/>
  <c r="Q28" i="1"/>
  <c r="Q50" i="1"/>
  <c r="P50" i="1"/>
  <c r="Q20" i="1"/>
  <c r="P20" i="1"/>
  <c r="AF7" i="1"/>
  <c r="AE7" i="1"/>
  <c r="N7" i="1"/>
  <c r="P76" i="1"/>
  <c r="Q76" i="1"/>
  <c r="V62" i="1"/>
  <c r="M62" i="1" s="1"/>
  <c r="U70" i="1"/>
  <c r="U41" i="1"/>
  <c r="V77" i="1"/>
  <c r="M77" i="1" s="1"/>
  <c r="U8" i="1"/>
  <c r="Q22" i="1" l="1"/>
  <c r="R15" i="1" s="1"/>
  <c r="P22" i="1"/>
  <c r="AF10" i="1"/>
  <c r="AE10" i="1"/>
  <c r="N10" i="1"/>
  <c r="Q7" i="1"/>
  <c r="P7" i="1"/>
  <c r="N77" i="1"/>
  <c r="AE77" i="1"/>
  <c r="AF77" i="1"/>
  <c r="Q29" i="1"/>
  <c r="R23" i="1" s="1"/>
  <c r="P29" i="1"/>
  <c r="Q40" i="1"/>
  <c r="P40" i="1"/>
  <c r="AE62" i="1"/>
  <c r="N62" i="1"/>
  <c r="AF62" i="1"/>
  <c r="P69" i="1"/>
  <c r="Q69" i="1"/>
  <c r="W34" i="1"/>
  <c r="V34" i="1"/>
  <c r="M34" i="1" s="1"/>
  <c r="V70" i="1"/>
  <c r="M70" i="1" s="1"/>
  <c r="U63" i="1"/>
  <c r="U52" i="1"/>
  <c r="V41" i="1"/>
  <c r="M41" i="1" s="1"/>
  <c r="U78" i="1"/>
  <c r="V8" i="1"/>
  <c r="M8" i="1" s="1"/>
  <c r="AE34" i="1" l="1"/>
  <c r="AF34" i="1"/>
  <c r="N34" i="1"/>
  <c r="P77" i="1"/>
  <c r="Q77" i="1"/>
  <c r="AE70" i="1"/>
  <c r="N70" i="1"/>
  <c r="AF70" i="1"/>
  <c r="AF41" i="1"/>
  <c r="AE41" i="1"/>
  <c r="N41" i="1"/>
  <c r="Q62" i="1"/>
  <c r="P62" i="1"/>
  <c r="P10" i="1"/>
  <c r="Q10" i="1"/>
  <c r="N8" i="1"/>
  <c r="AE8" i="1"/>
  <c r="AF8" i="1"/>
  <c r="U71" i="1"/>
  <c r="V63" i="1"/>
  <c r="M63" i="1" s="1"/>
  <c r="U9" i="1"/>
  <c r="U42" i="1"/>
  <c r="V78" i="1"/>
  <c r="M78" i="1" s="1"/>
  <c r="Q70" i="1" l="1"/>
  <c r="P70" i="1"/>
  <c r="Q8" i="1"/>
  <c r="P8" i="1"/>
  <c r="V9" i="1"/>
  <c r="M9" i="1" s="1"/>
  <c r="U10" i="1"/>
  <c r="Q34" i="1"/>
  <c r="P34" i="1"/>
  <c r="V52" i="1"/>
  <c r="M52" i="1" s="1"/>
  <c r="AE63" i="1"/>
  <c r="N63" i="1"/>
  <c r="AF63" i="1"/>
  <c r="N78" i="1"/>
  <c r="AF78" i="1"/>
  <c r="AE78" i="1"/>
  <c r="P41" i="1"/>
  <c r="Q41" i="1"/>
  <c r="V71" i="1"/>
  <c r="M71" i="1" s="1"/>
  <c r="U64" i="1"/>
  <c r="V42" i="1"/>
  <c r="M42" i="1" s="1"/>
  <c r="U79" i="1"/>
  <c r="P63" i="1" l="1"/>
  <c r="Q63" i="1"/>
  <c r="AE52" i="1"/>
  <c r="N52" i="1"/>
  <c r="AF52" i="1"/>
  <c r="V64" i="1"/>
  <c r="M64" i="1" s="1"/>
  <c r="U65" i="1"/>
  <c r="U53" i="1"/>
  <c r="AF9" i="1"/>
  <c r="AE9" i="1"/>
  <c r="N9" i="1"/>
  <c r="M11" i="1"/>
  <c r="N42" i="1"/>
  <c r="AF42" i="1"/>
  <c r="AE42" i="1"/>
  <c r="AE71" i="1"/>
  <c r="N71" i="1"/>
  <c r="AF71" i="1"/>
  <c r="Q78" i="1"/>
  <c r="P78" i="1"/>
  <c r="X34" i="1"/>
  <c r="U35" i="1"/>
  <c r="U72" i="1"/>
  <c r="V79" i="1"/>
  <c r="M79" i="1" s="1"/>
  <c r="V53" i="1"/>
  <c r="M53" i="1" s="1"/>
  <c r="V35" i="1"/>
  <c r="M35" i="1" s="1"/>
  <c r="AE53" i="1" l="1"/>
  <c r="N53" i="1"/>
  <c r="AF53" i="1"/>
  <c r="P71" i="1"/>
  <c r="Q71" i="1"/>
  <c r="AF64" i="1"/>
  <c r="AE64" i="1"/>
  <c r="N64" i="1"/>
  <c r="M66" i="1"/>
  <c r="N79" i="1"/>
  <c r="AF79" i="1"/>
  <c r="AE79" i="1"/>
  <c r="Q52" i="1"/>
  <c r="P52" i="1"/>
  <c r="Q42" i="1"/>
  <c r="P42" i="1"/>
  <c r="AE11" i="1"/>
  <c r="AF11" i="1"/>
  <c r="AG5" i="1" s="1"/>
  <c r="N11" i="1"/>
  <c r="D14" i="2" s="1"/>
  <c r="N35" i="1"/>
  <c r="AF35" i="1"/>
  <c r="AE35" i="1"/>
  <c r="Q9" i="1"/>
  <c r="P9" i="1"/>
  <c r="U54" i="1"/>
  <c r="U36" i="1"/>
  <c r="D15" i="2" l="1"/>
  <c r="Q79" i="1"/>
  <c r="P79" i="1"/>
  <c r="AE66" i="1"/>
  <c r="N66" i="1"/>
  <c r="I14" i="2" s="1"/>
  <c r="I15" i="2" s="1"/>
  <c r="AF66" i="1"/>
  <c r="AG56" i="1" s="1"/>
  <c r="P35" i="1"/>
  <c r="Q35" i="1"/>
  <c r="Q64" i="1"/>
  <c r="P64" i="1"/>
  <c r="Q11" i="1"/>
  <c r="R5" i="1" s="1"/>
  <c r="P11" i="1"/>
  <c r="V72" i="1"/>
  <c r="M72" i="1" s="1"/>
  <c r="P53" i="1"/>
  <c r="Q53" i="1"/>
  <c r="U43" i="1"/>
  <c r="V54" i="1" l="1"/>
  <c r="M54" i="1" s="1"/>
  <c r="P66" i="1"/>
  <c r="Q66" i="1"/>
  <c r="R56" i="1" s="1"/>
  <c r="V36" i="1"/>
  <c r="M36" i="1" s="1"/>
  <c r="N72" i="1"/>
  <c r="AE72" i="1"/>
  <c r="AF72" i="1"/>
  <c r="M73" i="1"/>
  <c r="U80" i="1"/>
  <c r="Q72" i="1" l="1"/>
  <c r="P72" i="1"/>
  <c r="N36" i="1"/>
  <c r="AF36" i="1"/>
  <c r="AE36" i="1"/>
  <c r="M37" i="1"/>
  <c r="AE73" i="1"/>
  <c r="N73" i="1"/>
  <c r="J14" i="2" s="1"/>
  <c r="J15" i="2" s="1"/>
  <c r="AF73" i="1"/>
  <c r="AG67" i="1" s="1"/>
  <c r="V43" i="1"/>
  <c r="M43" i="1" s="1"/>
  <c r="AE54" i="1"/>
  <c r="N54" i="1"/>
  <c r="AF54" i="1"/>
  <c r="M55" i="1"/>
  <c r="AF43" i="1" l="1"/>
  <c r="AE43" i="1"/>
  <c r="N43" i="1"/>
  <c r="U44" i="1"/>
  <c r="Q73" i="1"/>
  <c r="R67" i="1" s="1"/>
  <c r="P73" i="1"/>
  <c r="V80" i="1"/>
  <c r="M80" i="1" s="1"/>
  <c r="H2" i="1"/>
  <c r="AF37" i="1"/>
  <c r="AG30" i="1" s="1"/>
  <c r="AE37" i="1"/>
  <c r="N37" i="1"/>
  <c r="K14" i="2" s="1"/>
  <c r="AF55" i="1"/>
  <c r="AG46" i="1" s="1"/>
  <c r="N55" i="1"/>
  <c r="H14" i="2" s="1"/>
  <c r="AE55" i="1"/>
  <c r="Q36" i="1"/>
  <c r="P36" i="1"/>
  <c r="P54" i="1"/>
  <c r="Q54" i="1"/>
  <c r="H15" i="2" l="1"/>
  <c r="F7" i="2"/>
  <c r="G7" i="2"/>
  <c r="K15" i="2"/>
  <c r="N80" i="1"/>
  <c r="AF80" i="1"/>
  <c r="AE80" i="1"/>
  <c r="V44" i="1"/>
  <c r="M44" i="1" s="1"/>
  <c r="U81" i="1"/>
  <c r="P55" i="1"/>
  <c r="Q55" i="1"/>
  <c r="R46" i="1" s="1"/>
  <c r="P43" i="1"/>
  <c r="Q43" i="1"/>
  <c r="V81" i="1"/>
  <c r="M81" i="1" s="1"/>
  <c r="Q37" i="1"/>
  <c r="R30" i="1" s="1"/>
  <c r="P37" i="1"/>
  <c r="F8" i="2" l="1"/>
  <c r="G8" i="2"/>
  <c r="N81" i="1"/>
  <c r="AF81" i="1"/>
  <c r="AE81" i="1"/>
  <c r="M82" i="1"/>
  <c r="AF44" i="1"/>
  <c r="AE44" i="1"/>
  <c r="N44" i="1"/>
  <c r="M45" i="1"/>
  <c r="Q80" i="1"/>
  <c r="P80" i="1"/>
  <c r="AF82" i="1" l="1"/>
  <c r="AG74" i="1" s="1"/>
  <c r="AE82" i="1"/>
  <c r="N82" i="1"/>
  <c r="M14" i="2" s="1"/>
  <c r="M15" i="2" s="1"/>
  <c r="Q44" i="1"/>
  <c r="P44" i="1"/>
  <c r="N45" i="1"/>
  <c r="AE45" i="1"/>
  <c r="AF45" i="1"/>
  <c r="AG38" i="1" s="1"/>
  <c r="Q81" i="1"/>
  <c r="P81" i="1"/>
  <c r="D2" i="1" l="1"/>
  <c r="L14" i="2"/>
  <c r="P45" i="1"/>
  <c r="Q45" i="1"/>
  <c r="R38" i="1" s="1"/>
  <c r="Q82" i="1"/>
  <c r="R74" i="1" s="1"/>
  <c r="P82" i="1"/>
  <c r="L15" i="2" l="1"/>
  <c r="E7" i="2"/>
  <c r="I7" i="2"/>
  <c r="I8" i="2" l="1"/>
  <c r="E8" i="2"/>
</calcChain>
</file>

<file path=xl/sharedStrings.xml><?xml version="1.0" encoding="utf-8"?>
<sst xmlns="http://schemas.openxmlformats.org/spreadsheetml/2006/main" count="10694" uniqueCount="2589">
  <si>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</si>
  <si>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</si>
  <si>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</si>
  <si>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</si>
  <si>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</si>
  <si>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</si>
  <si>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</si>
  <si>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</si>
  <si>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</si>
  <si>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</si>
  <si>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</si>
  <si>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</si>
  <si>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</si>
  <si>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</si>
  <si>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平均廠價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</si>
  <si>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</si>
  <si>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</si>
  <si>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</si>
  <si>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</si>
  <si>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</si>
  <si>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</si>
  <si>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</si>
  <si>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</si>
  <si>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</si>
  <si>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</si>
  <si>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</si>
  <si>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</si>
  <si>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</si>
  <si>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</si>
  <si>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</si>
  <si>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</si>
  <si>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</si>
  <si>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</si>
  <si>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</si>
  <si>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</si>
  <si>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</si>
  <si>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</si>
  <si>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</si>
  <si>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</si>
  <si>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</si>
  <si>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</si>
  <si>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</si>
  <si>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</si>
  <si>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</si>
  <si>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</si>
  <si>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</si>
  <si>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</si>
  <si>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</si>
  <si>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</si>
  <si>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</si>
  <si>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</si>
  <si>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</si>
  <si>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</si>
  <si>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</si>
  <si>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</si>
  <si>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</si>
  <si>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</si>
  <si>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</si>
  <si>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</si>
  <si>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</si>
  <si>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</si>
  <si>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</si>
  <si>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</si>
  <si>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</si>
  <si>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</si>
  <si>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</si>
  <si>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</si>
  <si>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</si>
  <si>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</si>
  <si>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</si>
  <si>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</si>
  <si>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</si>
  <si>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</si>
  <si>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</si>
  <si>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</si>
  <si>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</si>
  <si>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</si>
  <si>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星期日</t>
  </si>
  <si>
    <t>微波主食</t>
  </si>
  <si>
    <t>二配港式香滑嫩蛋牛肉燴飯</t>
  </si>
  <si>
    <t>二配美味蟹煲</t>
  </si>
  <si>
    <t>二配麻油雞燴飯</t>
  </si>
  <si>
    <t>二配紅燒牛肉燴飯</t>
  </si>
  <si>
    <t>二配濃蕃茄火腿蛋包飯</t>
  </si>
  <si>
    <t>沙拉</t>
  </si>
  <si>
    <t>青醬優格雞肉握沙拉(113年)</t>
  </si>
  <si>
    <t>青檸烤雞握沙拉(113年)</t>
  </si>
  <si>
    <t>小吃</t>
  </si>
  <si>
    <t>剝皮辣椒雞湯</t>
  </si>
  <si>
    <t>季節調理麵</t>
  </si>
  <si>
    <t>柚子雞白湯拉麵</t>
  </si>
  <si>
    <t>二配金咖哩濃厚辛口咖哩飯</t>
  </si>
  <si>
    <t>二配金咖哩果香甘口咖哩飯</t>
  </si>
  <si>
    <t>二配泰式綠咖哩雞</t>
  </si>
  <si>
    <t>二配厚香料咖哩雞排飯</t>
  </si>
  <si>
    <t>鐵板滑蛋炸豬排丼</t>
  </si>
  <si>
    <t>極上炙烤親子丼</t>
  </si>
  <si>
    <t>二配川味麻婆燒豆腐燴飯</t>
  </si>
  <si>
    <t>二配香炒沙茶豬肉飯</t>
  </si>
  <si>
    <t>二配起司控培根白醬焗烤飯</t>
  </si>
  <si>
    <t>三明治</t>
  </si>
  <si>
    <t>紐奧良風味烤雞鮮蔬三明治</t>
  </si>
  <si>
    <t>經典總匯三明治</t>
  </si>
  <si>
    <t>雞蛋沙拉三明治(114年)</t>
  </si>
  <si>
    <t>肉鬆火腿三明治</t>
  </si>
  <si>
    <t>好多菜三明治(114年)</t>
  </si>
  <si>
    <t>鮪魚起司溏心蛋三明治</t>
  </si>
  <si>
    <t>陽光地瓜總匯三明治</t>
  </si>
  <si>
    <t>醬燒烤雞三明治</t>
  </si>
  <si>
    <t>瘋狂起司三明治(113年)</t>
  </si>
  <si>
    <t>草莓優格三明治</t>
  </si>
  <si>
    <t>調理麵包</t>
  </si>
  <si>
    <t>豬肉起司堡</t>
  </si>
  <si>
    <t>豬肉起司蛋堡</t>
  </si>
  <si>
    <t>經典雙牛起司堡(113年)</t>
  </si>
  <si>
    <t>香雞蛋堡(112年)</t>
  </si>
  <si>
    <t>美式雞腿堡</t>
  </si>
  <si>
    <t>黃金雙層鱈魚招財堡</t>
  </si>
  <si>
    <t>蔥鹽雞肉麵沙拉(114年)</t>
  </si>
  <si>
    <t>莎莎烤雞麵沙拉</t>
  </si>
  <si>
    <t>壹號醬雞豚雙拼</t>
  </si>
  <si>
    <t>好多蒜燒豚飯</t>
  </si>
  <si>
    <t>美乃炙烤雞肉飯</t>
  </si>
  <si>
    <t>二配香辣醬蒜味香腸蛋炒飯</t>
  </si>
  <si>
    <t>二配香拌海鮮醬肉絲蛋炒飯</t>
  </si>
  <si>
    <t>二配鮭魚蛋炒飯</t>
  </si>
  <si>
    <t>二配粗飽系雞排炒飯(114年)</t>
  </si>
  <si>
    <t>溏心蛋洋芋沙拉</t>
  </si>
  <si>
    <t>焗烤洋芋沙拉</t>
  </si>
  <si>
    <t>排骨雞起司炒麵麵包</t>
  </si>
  <si>
    <t>墨西哥辣醬熱狗堡</t>
  </si>
  <si>
    <t>厚豆腐蛋白蕈菇豬肉堡</t>
  </si>
  <si>
    <t>花生培根歐姆蛋堡</t>
  </si>
  <si>
    <t>香鬆起司蛋三明治(114年)</t>
  </si>
  <si>
    <t>輕乳酪巧克力三明治</t>
  </si>
  <si>
    <t>火腿起司蛋三明治</t>
  </si>
  <si>
    <t>經典火腿玉米蛋三明治</t>
  </si>
  <si>
    <t>藍莓優格三明治</t>
  </si>
  <si>
    <t>覆盆莓榛果可可三明治</t>
  </si>
  <si>
    <t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</si>
  <si>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</si>
  <si>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</si>
  <si>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</si>
  <si>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</si>
  <si>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</si>
  <si>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</si>
  <si>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</si>
  <si>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</si>
  <si>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</si>
  <si>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</si>
  <si>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</si>
  <si>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</si>
  <si>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</si>
  <si>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</si>
  <si>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</si>
  <si>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</si>
  <si>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</si>
  <si>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</si>
  <si>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排關平均</t>
  </si>
  <si>
    <t>實績平均</t>
  </si>
  <si>
    <t>達成率平均</t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</si>
  <si>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</si>
  <si>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</si>
  <si>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</si>
  <si>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</si>
  <si>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</si>
  <si>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</si>
  <si>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</si>
  <si>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</si>
  <si>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</si>
  <si>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</si>
  <si>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</si>
  <si>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</si>
  <si>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</si>
  <si>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</si>
  <si>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</si>
  <si>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</si>
  <si>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</si>
  <si>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</si>
  <si>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</si>
  <si>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</si>
  <si>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</si>
  <si>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</si>
  <si>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</si>
  <si>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</si>
  <si>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</si>
  <si>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</si>
  <si>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</si>
  <si>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</si>
  <si>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</si>
  <si>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</si>
  <si>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ET-55</t>
  </si>
  <si>
    <t>熱縮爐</t>
  </si>
  <si>
    <t>L型包裝機</t>
    <phoneticPr fontId="4" type="noConversion"/>
  </si>
  <si>
    <t>伺服包裝機</t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</si>
  <si>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</si>
  <si>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</si>
  <si>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</si>
  <si>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</si>
  <si>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</si>
  <si>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</si>
  <si>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</si>
  <si>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</si>
  <si>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</si>
  <si>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</si>
  <si>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</si>
  <si>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</si>
  <si>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</si>
  <si>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</si>
  <si>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</si>
  <si>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</si>
  <si>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</si>
  <si>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</si>
  <si>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</si>
  <si>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</si>
  <si>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</si>
  <si>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</si>
  <si>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</si>
  <si>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</si>
  <si>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</si>
  <si>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</si>
  <si>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</si>
  <si>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</si>
  <si>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</si>
  <si>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</si>
  <si>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</si>
  <si>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</si>
  <si>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</si>
  <si>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</si>
  <si>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</si>
  <si>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</si>
  <si>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</si>
  <si>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</si>
  <si>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</si>
  <si>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</si>
  <si>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</si>
  <si>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</si>
  <si>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</si>
  <si>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</si>
  <si>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</si>
  <si>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</si>
  <si>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</si>
  <si>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</si>
  <si>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</si>
  <si>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</si>
  <si>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</si>
  <si>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</si>
  <si>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</si>
  <si>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</si>
  <si>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</si>
  <si>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</si>
  <si>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</si>
  <si>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</si>
  <si>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產能差異分析</t>
    <phoneticPr fontId="4" type="noConversion"/>
  </si>
  <si>
    <t>星期一</t>
  </si>
  <si>
    <t>人時性</t>
    <phoneticPr fontId="4" type="noConversion"/>
  </si>
  <si>
    <t>多次生產數</t>
    <phoneticPr fontId="4" type="noConversion"/>
  </si>
  <si>
    <t>品類</t>
    <phoneticPr fontId="4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</si>
  <si>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</si>
  <si>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</si>
  <si>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</si>
  <si>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</si>
  <si>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</si>
  <si>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</si>
  <si>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</si>
  <si>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</si>
  <si>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</si>
  <si>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</si>
  <si>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</si>
  <si>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</si>
  <si>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結束</t>
    <phoneticPr fontId="4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</si>
  <si>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</si>
  <si>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</si>
  <si>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</si>
  <si>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</si>
  <si>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</si>
  <si>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</si>
  <si>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</si>
  <si>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</si>
  <si>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</si>
  <si>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</si>
  <si>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</si>
  <si>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</si>
  <si>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</si>
  <si>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</si>
  <si>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</si>
  <si>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</si>
  <si>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</si>
  <si>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</si>
  <si>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</si>
  <si>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</si>
  <si>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</si>
  <si>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</si>
  <si>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</si>
  <si>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</si>
  <si>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</si>
  <si>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0201 4度C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</si>
  <si>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</si>
  <si>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</si>
  <si>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</si>
  <si>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</si>
  <si>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</si>
  <si>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</si>
  <si>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</si>
  <si>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</si>
  <si>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</si>
  <si>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</si>
  <si>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</si>
  <si>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</si>
  <si>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</si>
  <si>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</si>
  <si>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</si>
  <si>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</si>
  <si>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</si>
  <si>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</si>
  <si>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</si>
  <si>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</si>
  <si>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</si>
  <si>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</si>
  <si>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</si>
  <si>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</si>
  <si>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</si>
  <si>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</si>
  <si>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</si>
  <si>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</si>
  <si>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</si>
  <si>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</si>
  <si>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</si>
  <si>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</si>
  <si>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</si>
  <si>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</si>
  <si>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</si>
  <si>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</si>
  <si>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</si>
  <si>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</si>
  <si>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</si>
  <si>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</si>
  <si>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</si>
  <si>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</si>
  <si>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</si>
  <si>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</si>
  <si>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</si>
  <si>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</si>
  <si>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</si>
  <si>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</si>
  <si>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</si>
  <si>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</si>
  <si>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</si>
  <si>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</si>
  <si>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</si>
  <si>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</si>
  <si>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</si>
  <si>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</si>
  <si>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</si>
  <si>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</si>
  <si>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</si>
  <si>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</si>
  <si>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</si>
  <si>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</si>
  <si>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星期二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</si>
  <si>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</si>
  <si>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</si>
  <si>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</si>
  <si>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</si>
  <si>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</si>
  <si>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</si>
  <si>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</si>
  <si>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</si>
  <si>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</si>
  <si>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</si>
  <si>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</si>
  <si>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</si>
  <si>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</si>
  <si>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</si>
  <si>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</si>
  <si>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</si>
  <si>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</si>
  <si>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</si>
  <si>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</si>
  <si>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</si>
  <si>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</si>
  <si>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</si>
  <si>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</si>
  <si>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</si>
  <si>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</si>
  <si>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</si>
  <si>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</si>
  <si>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</si>
  <si>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</si>
  <si>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</si>
  <si>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</si>
  <si>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</si>
  <si>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</si>
  <si>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</si>
  <si>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</si>
  <si>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</si>
  <si>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</si>
  <si>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</si>
  <si>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</si>
  <si>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</si>
  <si>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</si>
  <si>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</si>
  <si>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</si>
  <si>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茄汁薯餅蛋堡</t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</si>
  <si>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</si>
  <si>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</si>
  <si>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</si>
  <si>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</si>
  <si>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</si>
  <si>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</si>
  <si>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</si>
  <si>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</si>
  <si>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</si>
  <si>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</si>
  <si>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</si>
  <si>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</si>
  <si>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</si>
  <si>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</si>
  <si>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</si>
  <si>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</si>
  <si>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</si>
  <si>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</si>
  <si>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</si>
  <si>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</si>
  <si>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</si>
  <si>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</si>
  <si>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</si>
  <si>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</si>
  <si>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</si>
  <si>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</si>
  <si>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</si>
  <si>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</si>
  <si>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</si>
  <si>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</si>
  <si>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</si>
  <si>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</si>
  <si>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</si>
  <si>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</si>
  <si>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</si>
  <si>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</si>
  <si>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</si>
  <si>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</si>
  <si>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</si>
  <si>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</si>
  <si>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</si>
  <si>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</si>
  <si>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</si>
  <si>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</si>
  <si>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</si>
  <si>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</si>
  <si>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</si>
  <si>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</si>
  <si>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</si>
  <si>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</si>
  <si>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</si>
  <si>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</si>
  <si>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</si>
  <si>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星期三</t>
  </si>
  <si>
    <t>人時性</t>
    <phoneticPr fontId="4" type="noConversion"/>
  </si>
  <si>
    <t>品類</t>
    <phoneticPr fontId="4" type="noConversion"/>
  </si>
  <si>
    <t>廠價</t>
    <phoneticPr fontId="7" type="noConversion"/>
  </si>
  <si>
    <t>生產量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</si>
  <si>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</si>
  <si>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</si>
  <si>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</si>
  <si>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</si>
  <si>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</si>
  <si>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</si>
  <si>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</si>
  <si>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</si>
  <si>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</si>
  <si>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</si>
  <si>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</si>
  <si>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</si>
  <si>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</si>
  <si>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</si>
  <si>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</si>
  <si>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</si>
  <si>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</si>
  <si>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</si>
  <si>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</si>
  <si>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</si>
  <si>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</si>
  <si>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</si>
  <si>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</si>
  <si>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</si>
  <si>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</si>
  <si>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</si>
  <si>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</si>
  <si>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</si>
  <si>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</si>
  <si>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</si>
  <si>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</si>
  <si>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</si>
  <si>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</si>
  <si>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</si>
  <si>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</si>
  <si>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</si>
  <si>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</si>
  <si>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</si>
  <si>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</si>
  <si>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</si>
  <si>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</si>
  <si>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</si>
  <si>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</si>
  <si>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</si>
  <si>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</si>
  <si>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</si>
  <si>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</si>
  <si>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</si>
  <si>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</si>
  <si>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</si>
  <si>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</si>
  <si>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</si>
  <si>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</si>
  <si>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</si>
  <si>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</si>
  <si>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</si>
  <si>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</si>
  <si>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</si>
  <si>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</si>
  <si>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</si>
  <si>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</si>
  <si>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</si>
  <si>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</si>
  <si>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</si>
  <si>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</si>
  <si>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</si>
  <si>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</si>
  <si>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</si>
  <si>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</si>
  <si>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</si>
  <si>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</si>
  <si>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</si>
  <si>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</si>
  <si>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</si>
  <si>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</si>
  <si>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</si>
  <si>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產能差異分析</t>
    <phoneticPr fontId="4" type="noConversion"/>
  </si>
  <si>
    <t>星期四</t>
  </si>
  <si>
    <t>多次生產數</t>
    <phoneticPr fontId="4" type="noConversion"/>
  </si>
  <si>
    <t>品類</t>
    <phoneticPr fontId="4" type="noConversion"/>
  </si>
  <si>
    <t>生產量</t>
    <phoneticPr fontId="4" type="noConversion"/>
  </si>
  <si>
    <t>營收</t>
    <phoneticPr fontId="7" type="noConversion"/>
  </si>
  <si>
    <t>人數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</si>
  <si>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</si>
  <si>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</si>
  <si>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</si>
  <si>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</si>
  <si>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</si>
  <si>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</si>
  <si>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</si>
  <si>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</si>
  <si>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</si>
  <si>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</si>
  <si>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</si>
  <si>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</si>
  <si>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</si>
  <si>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</si>
  <si>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</si>
  <si>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</si>
  <si>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</si>
  <si>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</si>
  <si>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</si>
  <si>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</si>
  <si>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</si>
  <si>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</si>
  <si>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</si>
  <si>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</si>
  <si>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新豐3線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</si>
  <si>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</si>
  <si>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</si>
  <si>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</si>
  <si>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</si>
  <si>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</si>
  <si>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</si>
  <si>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</si>
  <si>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</si>
  <si>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</si>
  <si>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</si>
  <si>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</si>
  <si>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</si>
  <si>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</si>
  <si>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</si>
  <si>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</si>
  <si>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</si>
  <si>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</si>
  <si>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</si>
  <si>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</si>
  <si>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</si>
  <si>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</si>
  <si>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</si>
  <si>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</si>
  <si>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</si>
  <si>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</si>
  <si>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</si>
  <si>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</si>
  <si>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</si>
  <si>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</si>
  <si>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</si>
  <si>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</si>
  <si>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</si>
  <si>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</si>
  <si>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</si>
  <si>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</si>
  <si>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</si>
  <si>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</si>
  <si>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</si>
  <si>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</si>
  <si>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</si>
  <si>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</si>
  <si>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</si>
  <si>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</si>
  <si>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</si>
  <si>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</si>
  <si>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人時性差異分析</t>
    <phoneticPr fontId="4" type="noConversion"/>
  </si>
  <si>
    <t>日報登錄</t>
    <phoneticPr fontId="4" type="noConversion"/>
  </si>
  <si>
    <t>產線異常
分析說明(5分鐘以上)</t>
    <phoneticPr fontId="4" type="noConversion"/>
  </si>
  <si>
    <t>合計
次數</t>
    <phoneticPr fontId="4" type="noConversion"/>
  </si>
  <si>
    <t>星期五</t>
  </si>
  <si>
    <t>品類</t>
    <phoneticPr fontId="4" type="noConversion"/>
  </si>
  <si>
    <t>營收</t>
    <phoneticPr fontId="7" type="noConversion"/>
  </si>
  <si>
    <t>人數</t>
    <phoneticPr fontId="4" type="noConversion"/>
  </si>
  <si>
    <t>產能/時</t>
    <phoneticPr fontId="4" type="noConversion"/>
  </si>
  <si>
    <t>休息時間</t>
    <phoneticPr fontId="4" type="noConversion"/>
  </si>
  <si>
    <t>(新豐回填)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</si>
  <si>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</si>
  <si>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</si>
  <si>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</si>
  <si>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</si>
  <si>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</si>
  <si>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</si>
  <si>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</si>
  <si>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</si>
  <si>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</si>
  <si>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</si>
  <si>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</si>
  <si>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</si>
  <si>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</si>
  <si>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</si>
  <si>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</si>
  <si>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</si>
  <si>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</si>
  <si>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</si>
  <si>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</si>
  <si>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</si>
  <si>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</si>
  <si>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</si>
  <si>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</si>
  <si>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</si>
  <si>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</si>
  <si>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</si>
  <si>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</si>
  <si>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</si>
  <si>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</si>
  <si>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</si>
  <si>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</si>
  <si>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</si>
  <si>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</si>
  <si>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</si>
  <si>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</si>
  <si>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</si>
  <si>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</si>
  <si>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</si>
  <si>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</si>
  <si>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</si>
  <si>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</si>
  <si>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</si>
  <si>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</si>
  <si>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</si>
  <si>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</si>
  <si>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</si>
  <si>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</si>
  <si>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</si>
  <si>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</si>
  <si>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</si>
  <si>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</si>
  <si>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</si>
  <si>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</si>
  <si>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</si>
  <si>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</si>
  <si>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</si>
  <si>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</si>
  <si>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</si>
  <si>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</si>
  <si>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</si>
  <si>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</si>
  <si>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星期六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</si>
  <si>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</si>
  <si>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</si>
  <si>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</si>
  <si>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</si>
  <si>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</si>
  <si>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</si>
  <si>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</si>
  <si>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</si>
  <si>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</si>
  <si>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</si>
  <si>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</si>
  <si>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</si>
  <si>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</si>
  <si>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</si>
  <si>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</si>
  <si>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</si>
  <si>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</si>
  <si>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</si>
  <si>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</si>
  <si>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</si>
  <si>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</si>
  <si>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</si>
  <si>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</si>
  <si>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</si>
  <si>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</si>
  <si>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</si>
  <si>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</si>
  <si>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</si>
  <si>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</si>
  <si>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</si>
  <si>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</si>
  <si>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</si>
  <si>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</si>
  <si>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</si>
  <si>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</si>
  <si>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</si>
  <si>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</si>
  <si>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</si>
  <si>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</si>
  <si>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</si>
  <si>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</si>
  <si>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人時性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</si>
  <si>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</si>
  <si>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</si>
  <si>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</si>
  <si>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</si>
  <si>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</si>
  <si>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</si>
  <si>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</si>
  <si>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</si>
  <si>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</si>
  <si>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</si>
  <si>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</si>
  <si>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</si>
  <si>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</si>
  <si>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</si>
  <si>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</si>
  <si>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</si>
  <si>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</si>
  <si>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</si>
  <si>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</si>
  <si>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</si>
  <si>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</si>
  <si>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</si>
  <si>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</si>
  <si>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</si>
  <si>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</si>
  <si>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</si>
  <si>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</si>
  <si>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</si>
  <si>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</si>
  <si>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</si>
  <si>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</si>
  <si>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</si>
  <si>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</si>
  <si>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</si>
  <si>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</si>
  <si>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</si>
  <si>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</si>
  <si>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</si>
  <si>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</si>
  <si>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</si>
  <si>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</si>
  <si>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</si>
  <si>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</si>
  <si>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</si>
  <si>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</si>
  <si>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</si>
  <si>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</si>
  <si>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</si>
  <si>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</si>
  <si>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</si>
  <si>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</si>
  <si>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</si>
  <si>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</si>
  <si>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</si>
  <si>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</si>
  <si>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</si>
  <si>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</si>
  <si>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</si>
  <si>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</si>
  <si>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</si>
  <si>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</si>
  <si>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</si>
  <si>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</si>
  <si>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</si>
  <si>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</si>
  <si>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</si>
  <si>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</si>
  <si>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</si>
  <si>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</si>
  <si>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</si>
  <si>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</si>
  <si>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</si>
  <si>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</si>
  <si>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</si>
  <si>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</si>
  <si>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</si>
  <si>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</si>
  <si>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</si>
  <si>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</si>
  <si>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</si>
  <si>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</si>
  <si>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</si>
  <si>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</si>
  <si>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</si>
  <si>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</si>
  <si>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</si>
  <si>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</si>
  <si>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</si>
  <si>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</si>
  <si>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</si>
  <si>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</si>
  <si>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</si>
  <si>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</si>
  <si>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</si>
  <si>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</si>
  <si>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</si>
  <si>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</si>
  <si>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</si>
  <si>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</si>
  <si>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</si>
  <si>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</si>
  <si>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</si>
  <si>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</si>
  <si>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</si>
  <si>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</si>
  <si>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</si>
  <si>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</si>
  <si>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</si>
  <si>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</si>
  <si>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</si>
  <si>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</si>
  <si>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</si>
  <si>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</si>
  <si>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</si>
  <si>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</si>
  <si>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</si>
  <si>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</si>
  <si>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</si>
  <si>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</si>
  <si>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</si>
  <si>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</si>
  <si>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</si>
  <si>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</si>
  <si>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</si>
  <si>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</si>
  <si>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</si>
  <si>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</si>
  <si>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</si>
  <si>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</si>
  <si>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</si>
  <si>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</si>
  <si>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</si>
  <si>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</si>
  <si>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</si>
  <si>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</si>
  <si>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</si>
  <si>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</si>
  <si>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</si>
  <si>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</si>
  <si>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</si>
  <si>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</si>
  <si>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</si>
  <si>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</si>
  <si>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</si>
  <si>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</si>
  <si>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</si>
  <si>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</si>
  <si>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</si>
  <si>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</si>
  <si>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</si>
  <si>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</si>
  <si>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</si>
  <si>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</si>
  <si>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</si>
  <si>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</si>
  <si>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</si>
  <si>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</si>
  <si>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</si>
  <si>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</si>
  <si>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</si>
  <si>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</si>
  <si>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</si>
  <si>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</si>
  <si>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</si>
  <si>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</si>
  <si>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</si>
  <si>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</si>
  <si>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</si>
  <si>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</si>
  <si>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</si>
  <si>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</si>
  <si>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</si>
  <si>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</si>
  <si>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</si>
  <si>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</si>
  <si>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</si>
  <si>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</si>
  <si>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</si>
  <si>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</si>
  <si>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</si>
  <si>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</si>
  <si>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</si>
  <si>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</si>
  <si>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</si>
  <si>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</si>
  <si>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</si>
  <si>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</si>
  <si>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</si>
  <si>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</si>
  <si>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</si>
  <si>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</si>
  <si>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</si>
  <si>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溫層</t>
    <phoneticPr fontId="3" type="noConversion"/>
  </si>
  <si>
    <t>實績</t>
    <phoneticPr fontId="3" type="noConversion"/>
  </si>
  <si>
    <t>時間/分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</si>
  <si>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</si>
  <si>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</si>
  <si>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</si>
  <si>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</si>
  <si>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</si>
  <si>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</si>
  <si>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</si>
  <si>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</si>
  <si>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</si>
  <si>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</si>
  <si>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</si>
  <si>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</si>
  <si>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</si>
  <si>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</si>
  <si>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</si>
  <si>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</si>
  <si>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</si>
  <si>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</si>
  <si>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</si>
  <si>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</si>
  <si>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</si>
  <si>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</si>
  <si>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</si>
  <si>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</si>
  <si>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</si>
  <si>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</si>
  <si>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</si>
  <si>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</si>
  <si>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</si>
  <si>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</si>
  <si>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</si>
  <si>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</si>
  <si>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</si>
  <si>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</si>
  <si>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</si>
  <si>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</si>
  <si>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</si>
  <si>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</si>
  <si>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</si>
  <si>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</si>
  <si>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</si>
  <si>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</si>
  <si>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</si>
  <si>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</si>
  <si>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</si>
  <si>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</si>
  <si>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</si>
  <si>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</si>
  <si>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</si>
  <si>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</si>
  <si>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</si>
  <si>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</si>
  <si>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</si>
  <si>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</si>
  <si>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</si>
  <si>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</si>
  <si>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</si>
  <si>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</si>
  <si>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</si>
  <si>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</si>
  <si>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</si>
  <si>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</si>
  <si>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</si>
  <si>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</si>
  <si>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</si>
  <si>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</si>
  <si>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</si>
  <si>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</si>
  <si>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</si>
  <si>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</si>
  <si>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</si>
  <si>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</si>
  <si>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</si>
  <si>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</si>
  <si>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</si>
  <si>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</si>
  <si>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</si>
  <si>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</si>
  <si>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</si>
  <si>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</si>
  <si>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</si>
  <si>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</si>
  <si>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</si>
  <si>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</si>
  <si>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</si>
  <si>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</si>
  <si>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</si>
  <si>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</si>
  <si>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</si>
  <si>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</si>
  <si>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</si>
  <si>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</si>
  <si>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</si>
  <si>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</si>
  <si>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</si>
  <si>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</si>
  <si>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</si>
  <si>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</si>
  <si>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</si>
  <si>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</si>
  <si>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</si>
  <si>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</si>
  <si>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</si>
  <si>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</si>
  <si>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</si>
  <si>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</si>
  <si>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</si>
  <si>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</si>
  <si>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</si>
  <si>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</si>
  <si>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</si>
  <si>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</si>
  <si>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</si>
  <si>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</si>
  <si>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</si>
  <si>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</si>
  <si>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</si>
  <si>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</si>
  <si>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</si>
  <si>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</si>
  <si>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</si>
  <si>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</si>
  <si>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</si>
  <si>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</si>
  <si>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</si>
  <si>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</si>
  <si>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</si>
  <si>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</si>
  <si>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</si>
  <si>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</si>
  <si>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</si>
  <si>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</si>
  <si>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新豐3線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</si>
  <si>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</si>
  <si>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</si>
  <si>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</si>
  <si>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</si>
  <si>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</si>
  <si>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</si>
  <si>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</si>
  <si>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</si>
  <si>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</si>
  <si>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</si>
  <si>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</si>
  <si>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</si>
  <si>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</si>
  <si>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</si>
  <si>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</si>
  <si>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</si>
  <si>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</si>
  <si>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</si>
  <si>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</si>
  <si>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</si>
  <si>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</si>
  <si>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</si>
  <si>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</si>
  <si>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</si>
  <si>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</si>
  <si>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</si>
  <si>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</si>
  <si>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</si>
  <si>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</si>
  <si>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</si>
  <si>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</si>
  <si>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</si>
  <si>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</si>
  <si>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</si>
  <si>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</si>
  <si>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</si>
  <si>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</si>
  <si>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</si>
  <si>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</si>
  <si>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</si>
  <si>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</si>
  <si>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</si>
  <si>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</si>
  <si>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</si>
  <si>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</si>
  <si>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</si>
  <si>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</si>
  <si>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</si>
  <si>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</si>
  <si>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</si>
  <si>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</si>
  <si>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</si>
  <si>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</si>
  <si>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</si>
  <si>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</si>
  <si>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</si>
  <si>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</si>
  <si>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</si>
  <si>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</si>
  <si>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線別</t>
    <phoneticPr fontId="3" type="noConversion"/>
  </si>
  <si>
    <t>品類</t>
    <phoneticPr fontId="4" type="noConversion"/>
  </si>
  <si>
    <t>生產量</t>
    <phoneticPr fontId="4" type="noConversion"/>
  </si>
  <si>
    <t>產能/時</t>
    <phoneticPr fontId="4" type="noConversion"/>
  </si>
  <si>
    <t>人時性</t>
    <phoneticPr fontId="4" type="noConversion"/>
  </si>
  <si>
    <t>休息時間</t>
    <phoneticPr fontId="4" type="noConversion"/>
  </si>
  <si>
    <t>達成率平均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</si>
  <si>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</si>
  <si>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</si>
  <si>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</si>
  <si>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</si>
  <si>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</si>
  <si>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</si>
  <si>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</si>
  <si>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</si>
  <si>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</si>
  <si>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</si>
  <si>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</si>
  <si>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</si>
  <si>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</si>
  <si>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</si>
  <si>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</si>
  <si>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</si>
  <si>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</si>
  <si>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</si>
  <si>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</si>
  <si>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</si>
  <si>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</si>
  <si>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</si>
  <si>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訂單量</t>
    <phoneticPr fontId="3" type="noConversion"/>
  </si>
  <si>
    <t>人時性</t>
    <phoneticPr fontId="3" type="noConversion"/>
  </si>
  <si>
    <t>➀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</si>
  <si>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</si>
  <si>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</si>
  <si>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</si>
  <si>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</si>
  <si>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</si>
  <si>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</si>
  <si>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</si>
  <si>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※現行日本鮮食廠以達成率80%為基本(即為現行KPI)</t>
    <phoneticPr fontId="4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</si>
  <si>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</si>
  <si>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</si>
  <si>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</si>
  <si>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</si>
  <si>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</si>
  <si>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</si>
  <si>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</si>
  <si>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</si>
  <si>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</si>
  <si>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</si>
  <si>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</si>
  <si>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</si>
  <si>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</si>
  <si>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</si>
  <si>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</si>
  <si>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</si>
  <si>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</si>
  <si>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</si>
  <si>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</si>
  <si>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</si>
  <si>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</si>
  <si>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</si>
  <si>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</si>
  <si>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</si>
  <si>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</si>
  <si>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</si>
  <si>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</si>
  <si>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</si>
  <si>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</si>
  <si>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</si>
  <si>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</si>
  <si>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</si>
  <si>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</si>
  <si>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</si>
  <si>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</si>
  <si>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</si>
  <si>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</si>
  <si>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</si>
  <si>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</si>
  <si>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</si>
  <si>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</si>
  <si>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</si>
  <si>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</si>
  <si>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</si>
  <si>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</si>
  <si>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</si>
  <si>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</si>
  <si>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</si>
  <si>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</si>
  <si>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</si>
  <si>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</si>
  <si>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</si>
  <si>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</si>
  <si>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</si>
  <si>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</si>
  <si>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</si>
  <si>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</si>
  <si>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</si>
  <si>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</si>
  <si>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</si>
  <si>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</si>
  <si>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</si>
  <si>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</si>
  <si>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</si>
  <si>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</si>
  <si>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</si>
  <si>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</si>
  <si>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</si>
  <si>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</si>
  <si>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</si>
  <si>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</si>
  <si>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</si>
  <si>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</si>
  <si>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</si>
  <si>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</si>
  <si>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</si>
  <si>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</si>
  <si>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</si>
  <si>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</si>
  <si>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</si>
  <si>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</si>
  <si>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</si>
  <si>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</si>
  <si>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</si>
  <si>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</si>
  <si>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</si>
  <si>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</si>
  <si>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</si>
  <si>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</si>
  <si>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</si>
  <si>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</si>
  <si>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</si>
  <si>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</si>
  <si>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</si>
  <si>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</si>
  <si>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</si>
  <si>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</si>
  <si>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</si>
  <si>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</si>
  <si>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</si>
  <si>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</si>
  <si>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</si>
  <si>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</si>
  <si>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</si>
  <si>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</si>
  <si>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</si>
  <si>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</si>
  <si>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</si>
  <si>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</si>
  <si>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</si>
  <si>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</si>
  <si>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</si>
  <si>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</si>
  <si>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</si>
  <si>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</si>
  <si>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</si>
  <si>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</si>
  <si>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</si>
  <si>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</si>
  <si>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</si>
  <si>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</si>
  <si>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</si>
  <si>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</si>
  <si>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</si>
  <si>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</si>
  <si>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</si>
  <si>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</si>
  <si>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</si>
  <si>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</si>
  <si>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</si>
  <si>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</si>
  <si>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</si>
  <si>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</si>
  <si>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</si>
  <si>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</si>
  <si>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生產實績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</si>
  <si>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</si>
  <si>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</si>
  <si>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</si>
  <si>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產能差異分析</t>
    <phoneticPr fontId="4" type="noConversion"/>
  </si>
  <si>
    <t>品類</t>
    <phoneticPr fontId="4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</si>
  <si>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</si>
  <si>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</si>
  <si>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</si>
  <si>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</si>
  <si>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</si>
  <si>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</si>
  <si>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休息時間</t>
    <phoneticPr fontId="4" type="noConversion"/>
  </si>
  <si>
    <t>開始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</si>
  <si>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</si>
  <si>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</si>
  <si>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</si>
  <si>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</si>
  <si>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</si>
  <si>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</si>
  <si>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</si>
  <si>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</si>
  <si>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</si>
  <si>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</si>
  <si>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</si>
  <si>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</si>
  <si>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</si>
  <si>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</si>
  <si>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</si>
  <si>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</si>
  <si>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</si>
  <si>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</si>
  <si>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</si>
  <si>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</si>
  <si>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</si>
  <si>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</si>
  <si>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</si>
  <si>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</si>
  <si>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</si>
  <si>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</si>
  <si>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</si>
  <si>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</si>
  <si>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➁4度C-各編組展開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</si>
  <si>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</si>
  <si>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</si>
  <si>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</si>
  <si>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</si>
  <si>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</si>
  <si>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</si>
  <si>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</si>
  <si>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</si>
  <si>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</si>
  <si>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</si>
  <si>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</si>
  <si>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</si>
  <si>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</si>
  <si>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</si>
  <si>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</si>
  <si>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</si>
  <si>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</si>
  <si>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</si>
  <si>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</si>
  <si>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</si>
  <si>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</si>
  <si>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</si>
  <si>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</si>
  <si>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</si>
  <si>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</si>
  <si>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</si>
  <si>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</si>
  <si>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</si>
  <si>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</si>
  <si>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</si>
  <si>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</si>
  <si>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</si>
  <si>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</si>
  <si>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</si>
  <si>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</si>
  <si>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</si>
  <si>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</si>
  <si>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</si>
  <si>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</si>
  <si>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</si>
  <si>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</si>
  <si>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</si>
  <si>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</si>
  <si>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</si>
  <si>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</si>
  <si>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</si>
  <si>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</si>
  <si>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</si>
  <si>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</si>
  <si>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</si>
  <si>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</si>
  <si>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</si>
  <si>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</si>
  <si>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</si>
  <si>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</si>
  <si>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</si>
  <si>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</si>
  <si>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</si>
  <si>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</si>
  <si>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</si>
  <si>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</si>
  <si>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</si>
  <si>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</si>
  <si>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</si>
  <si>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</si>
  <si>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</si>
  <si>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</si>
  <si>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</si>
  <si>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</si>
  <si>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</si>
  <si>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</si>
  <si>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</si>
  <si>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</si>
  <si>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</si>
  <si>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</si>
  <si>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</si>
  <si>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</si>
  <si>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</si>
  <si>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</si>
  <si>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</si>
  <si>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</si>
  <si>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</si>
  <si>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</si>
  <si>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</si>
  <si>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</si>
  <si>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</si>
  <si>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</si>
  <si>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</si>
  <si>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</si>
  <si>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</si>
  <si>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</si>
  <si>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</si>
  <si>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</si>
  <si>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</si>
  <si>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</si>
  <si>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</si>
  <si>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</si>
  <si>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</si>
  <si>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</si>
  <si>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</si>
  <si>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</si>
  <si>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</si>
  <si>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</si>
  <si>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合計
次數</t>
    <phoneticPr fontId="4" type="noConversion"/>
  </si>
  <si>
    <t>合計
時間/分</t>
    <phoneticPr fontId="3" type="noConversion"/>
  </si>
  <si>
    <t>產能差異分析</t>
    <phoneticPr fontId="4" type="noConversion"/>
  </si>
  <si>
    <t>線別</t>
    <phoneticPr fontId="3" type="noConversion"/>
  </si>
  <si>
    <t>品類</t>
    <phoneticPr fontId="4" type="noConversion"/>
  </si>
  <si>
    <t>廠價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</si>
  <si>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</si>
  <si>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</si>
  <si>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</si>
  <si>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</si>
  <si>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達成率平均</t>
    <phoneticPr fontId="4" type="noConversion"/>
  </si>
  <si>
    <t>稼動時間/分</t>
    <phoneticPr fontId="4" type="noConversion"/>
  </si>
  <si>
    <t>產線異常統計
(5分鐘以上)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</si>
  <si>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</si>
  <si>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</si>
  <si>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</si>
  <si>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</si>
  <si>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</si>
  <si>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</si>
  <si>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</si>
  <si>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</si>
  <si>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</si>
  <si>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</si>
  <si>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</si>
  <si>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</si>
  <si>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</si>
  <si>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</si>
  <si>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</si>
  <si>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</si>
  <si>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</si>
  <si>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</si>
  <si>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</si>
  <si>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</si>
  <si>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</si>
  <si>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</si>
  <si>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</si>
  <si>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</si>
  <si>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</si>
  <si>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</si>
  <si>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</si>
  <si>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</si>
  <si>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</si>
  <si>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</si>
  <si>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</si>
  <si>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</si>
  <si>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</si>
  <si>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</si>
  <si>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</si>
  <si>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</si>
  <si>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</si>
  <si>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</si>
  <si>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</si>
  <si>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</si>
  <si>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</si>
  <si>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</si>
  <si>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</si>
  <si>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</si>
  <si>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</si>
  <si>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</si>
  <si>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</si>
  <si>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</si>
  <si>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</si>
  <si>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</si>
  <si>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</si>
  <si>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</si>
  <si>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</si>
  <si>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</si>
  <si>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</si>
  <si>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</si>
  <si>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</si>
  <si>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</si>
  <si>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</si>
  <si>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</si>
  <si>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</si>
  <si>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</si>
  <si>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</si>
  <si>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</si>
  <si>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</si>
  <si>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</si>
  <si>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</si>
  <si>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</si>
  <si>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</si>
  <si>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</si>
  <si>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</si>
  <si>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</si>
  <si>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</si>
  <si>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</si>
  <si>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</si>
  <si>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</si>
  <si>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</si>
  <si>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</si>
  <si>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</si>
  <si>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</si>
  <si>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</si>
  <si>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</si>
  <si>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</si>
  <si>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</si>
  <si>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</si>
  <si>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</si>
  <si>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</si>
  <si>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</si>
  <si>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</si>
  <si>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</si>
  <si>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</si>
  <si>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</si>
  <si>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</si>
  <si>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</si>
  <si>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</si>
  <si>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</si>
  <si>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</si>
  <si>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</si>
  <si>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</si>
  <si>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</si>
  <si>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</si>
  <si>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</si>
  <si>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</si>
  <si>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</si>
  <si>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</si>
  <si>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</si>
  <si>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</si>
  <si>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</si>
  <si>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</si>
  <si>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</si>
  <si>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</si>
  <si>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</si>
  <si>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</si>
  <si>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</si>
  <si>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</si>
  <si>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</si>
  <si>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</si>
  <si>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</si>
  <si>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</si>
  <si>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</si>
  <si>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</si>
  <si>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</si>
  <si>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</si>
  <si>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</si>
  <si>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</si>
  <si>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</si>
  <si>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</si>
  <si>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</si>
  <si>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</si>
  <si>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</si>
  <si>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</si>
  <si>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</si>
  <si>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</si>
  <si>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</si>
  <si>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</si>
  <si>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</si>
  <si>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</si>
  <si>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</si>
  <si>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</si>
  <si>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</si>
  <si>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</si>
  <si>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</si>
  <si>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</si>
  <si>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</si>
  <si>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</si>
  <si>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</si>
  <si>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</si>
  <si>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</si>
  <si>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</si>
  <si>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</si>
  <si>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</si>
  <si>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</si>
  <si>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</si>
  <si>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</si>
  <si>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</si>
  <si>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</si>
  <si>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</si>
  <si>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</si>
  <si>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</si>
  <si>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</si>
  <si>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</si>
  <si>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</si>
  <si>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</si>
  <si>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</si>
  <si>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</si>
  <si>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</si>
  <si>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</si>
  <si>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</si>
  <si>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</si>
  <si>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</si>
  <si>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</si>
  <si>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</si>
  <si>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</si>
  <si>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</si>
  <si>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</si>
  <si>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</si>
  <si>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</si>
  <si>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</si>
  <si>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</si>
  <si>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</si>
  <si>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</si>
  <si>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</si>
  <si>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</si>
  <si>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</si>
  <si>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</si>
  <si>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</si>
  <si>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</si>
  <si>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</si>
  <si>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</si>
  <si>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</si>
  <si>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</si>
  <si>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</si>
  <si>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</si>
  <si>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</si>
  <si>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</si>
  <si>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</si>
  <si>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</si>
  <si>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</si>
  <si>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</si>
  <si>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</si>
  <si>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</si>
  <si>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</si>
  <si>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</si>
  <si>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</si>
  <si>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</si>
  <si>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</si>
  <si>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</si>
  <si>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</si>
  <si>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</si>
  <si>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</si>
  <si>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</si>
  <si>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</si>
  <si>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</si>
  <si>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</si>
  <si>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</si>
  <si>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</si>
  <si>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</si>
  <si>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</si>
  <si>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</si>
  <si>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</si>
  <si>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</si>
  <si>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</si>
  <si>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</si>
  <si>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</si>
  <si>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</si>
  <si>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</si>
  <si>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</si>
  <si>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</si>
  <si>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</si>
  <si>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</si>
  <si>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</si>
  <si>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</si>
  <si>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</si>
  <si>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</si>
  <si>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</si>
  <si>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</si>
  <si>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</si>
  <si>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</si>
  <si>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</si>
  <si>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</si>
  <si>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</si>
  <si>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</si>
  <si>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</si>
  <si>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</si>
  <si>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</si>
  <si>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</si>
  <si>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</si>
  <si>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</si>
  <si>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</si>
  <si>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</si>
  <si>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</si>
  <si>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</si>
  <si>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</si>
  <si>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</si>
  <si>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</si>
  <si>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</si>
  <si>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</si>
  <si>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</si>
  <si>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</si>
  <si>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</si>
  <si>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</si>
  <si>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</si>
  <si>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</si>
  <si>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</si>
  <si>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</si>
  <si>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</si>
  <si>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</si>
  <si>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</si>
  <si>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</si>
  <si>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</si>
  <si>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</si>
  <si>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</si>
  <si>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</si>
  <si>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</si>
  <si>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</si>
  <si>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</si>
  <si>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</si>
  <si>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</si>
  <si>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</si>
  <si>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</si>
  <si>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</si>
  <si>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</si>
  <si>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</si>
  <si>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</si>
  <si>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</si>
  <si>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</si>
  <si>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</si>
  <si>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</si>
  <si>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</si>
  <si>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</si>
  <si>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</si>
  <si>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</si>
  <si>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</si>
  <si>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</si>
  <si>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</si>
  <si>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</si>
  <si>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</si>
  <si>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</si>
  <si>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</si>
  <si>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</si>
  <si>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</si>
  <si>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</si>
  <si>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</si>
  <si>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</si>
  <si>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</si>
  <si>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</si>
  <si>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</si>
  <si>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</si>
  <si>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</si>
  <si>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</si>
  <si>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</si>
  <si>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</si>
  <si>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</si>
  <si>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</si>
  <si>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</si>
  <si>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</si>
  <si>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</si>
  <si>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</si>
  <si>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</si>
  <si>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</si>
  <si>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</si>
  <si>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</si>
  <si>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</si>
  <si>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</si>
  <si>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</si>
  <si>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</si>
  <si>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</si>
  <si>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</si>
  <si>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</si>
  <si>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</si>
  <si>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</si>
  <si>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</si>
  <si>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</si>
  <si>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</si>
  <si>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</si>
  <si>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</si>
  <si>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</si>
  <si>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</si>
  <si>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</si>
  <si>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</si>
  <si>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</si>
  <si>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</si>
  <si>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</si>
  <si>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</si>
  <si>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</si>
  <si>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</si>
  <si>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</si>
  <si>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</si>
  <si>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</si>
  <si>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</si>
  <si>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</si>
  <si>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</si>
  <si>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</si>
  <si>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</si>
  <si>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</si>
  <si>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</si>
  <si>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</si>
  <si>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</si>
  <si>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</si>
  <si>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</si>
  <si>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</si>
  <si>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</si>
  <si>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</si>
  <si>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</si>
  <si>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</si>
  <si>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</si>
  <si>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</si>
  <si>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</si>
  <si>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</si>
  <si>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</si>
  <si>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</si>
  <si>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</si>
  <si>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</si>
  <si>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</si>
  <si>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</si>
  <si>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</si>
  <si>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</si>
  <si>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</si>
  <si>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</si>
  <si>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</si>
  <si>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</si>
  <si>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</si>
  <si>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</si>
  <si>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</si>
  <si>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</si>
  <si>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</si>
  <si>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</si>
  <si>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</si>
  <si>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</si>
  <si>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</si>
  <si>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</si>
  <si>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</si>
  <si>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</si>
  <si>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</si>
  <si>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</si>
  <si>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</si>
  <si>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</si>
  <si>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</si>
  <si>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</si>
  <si>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</si>
  <si>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</si>
  <si>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</si>
  <si>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</si>
  <si>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</si>
  <si>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</si>
  <si>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</si>
  <si>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</si>
  <si>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</si>
  <si>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</si>
  <si>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</si>
  <si>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</si>
  <si>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</si>
  <si>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</si>
  <si>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</si>
  <si>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</si>
  <si>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</si>
  <si>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</si>
  <si>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</si>
  <si>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</si>
  <si>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</si>
  <si>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</si>
  <si>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</si>
  <si>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</si>
  <si>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</si>
  <si>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</si>
  <si>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</si>
  <si>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</si>
  <si>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</si>
  <si>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</si>
  <si>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</si>
  <si>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</si>
  <si>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</si>
  <si>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</si>
  <si>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</si>
  <si>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</si>
  <si>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</si>
  <si>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</si>
  <si>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</si>
  <si>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</si>
  <si>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</si>
  <si>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</si>
  <si>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</si>
  <si>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新豐7線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</si>
  <si>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</si>
  <si>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</si>
  <si>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</si>
  <si>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</si>
  <si>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</si>
  <si>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</si>
  <si>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</si>
  <si>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</si>
  <si>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</si>
  <si>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</si>
  <si>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</si>
  <si>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</si>
  <si>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</si>
  <si>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</si>
  <si>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</si>
  <si>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</si>
  <si>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</si>
  <si>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</si>
  <si>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</si>
  <si>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</si>
  <si>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</si>
  <si>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</si>
  <si>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</si>
  <si>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</si>
  <si>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</si>
  <si>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</si>
  <si>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時間/分</t>
    <phoneticPr fontId="13" type="noConversion"/>
  </si>
  <si>
    <t>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</si>
  <si>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</si>
  <si>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</si>
  <si>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</si>
  <si>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</si>
  <si>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</si>
  <si>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</si>
  <si>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</si>
  <si>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</si>
  <si>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</si>
  <si>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</si>
  <si>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</si>
  <si>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</si>
  <si>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</si>
  <si>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</si>
  <si>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</si>
  <si>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</si>
  <si>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</si>
  <si>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</si>
  <si>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</si>
  <si>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</si>
  <si>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</si>
  <si>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</si>
  <si>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</si>
  <si>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</si>
  <si>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</si>
  <si>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</si>
  <si>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</si>
  <si>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</si>
  <si>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</si>
  <si>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</si>
  <si>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</si>
  <si>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</si>
  <si>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</si>
  <si>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</si>
  <si>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</si>
  <si>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</si>
  <si>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</si>
  <si>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</si>
  <si>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</si>
  <si>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</si>
  <si>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</si>
  <si>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</si>
  <si>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</si>
  <si>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</si>
  <si>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</si>
  <si>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</si>
  <si>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</si>
  <si>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</si>
  <si>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</si>
  <si>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</si>
  <si>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</si>
  <si>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</si>
  <si>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</si>
  <si>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</si>
  <si>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</si>
  <si>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</si>
  <si>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</si>
  <si>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</si>
  <si>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</si>
  <si>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</si>
  <si>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</si>
  <si>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</si>
  <si>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</si>
  <si>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</si>
  <si>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</si>
  <si>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</si>
  <si>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</si>
  <si>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</si>
  <si>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</si>
  <si>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</si>
  <si>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</si>
  <si>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</si>
  <si>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</si>
  <si>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</si>
  <si>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</si>
  <si>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</si>
  <si>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</si>
  <si>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</si>
  <si>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</si>
  <si>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</si>
  <si>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</si>
  <si>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</si>
  <si>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</si>
  <si>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</si>
  <si>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</si>
  <si>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</si>
  <si>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</si>
  <si>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</si>
  <si>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</si>
  <si>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</si>
  <si>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</si>
  <si>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</si>
  <si>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</si>
  <si>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</si>
  <si>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</si>
  <si>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</si>
  <si>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</si>
  <si>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</si>
  <si>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</si>
  <si>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</si>
  <si>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</si>
  <si>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</si>
  <si>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</si>
  <si>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</si>
  <si>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</si>
  <si>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</si>
  <si>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</si>
  <si>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</si>
  <si>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</si>
  <si>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</si>
  <si>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</si>
  <si>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</si>
  <si>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</si>
  <si>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</si>
  <si>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平均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</si>
  <si>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</si>
  <si>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</si>
  <si>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</si>
  <si>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</si>
  <si>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</si>
  <si>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</si>
  <si>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</si>
  <si>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</si>
  <si>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</si>
  <si>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</si>
  <si>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設備次數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</si>
  <si>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</si>
  <si>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</si>
  <si>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</si>
  <si>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</si>
  <si>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</si>
  <si>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</si>
  <si>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</si>
  <si>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短暫停線
(5分鐘以下)</t>
    <phoneticPr fontId="13" type="noConversion"/>
  </si>
  <si>
    <t>配置人數</t>
    <phoneticPr fontId="3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</si>
  <si>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</si>
  <si>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</si>
  <si>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</si>
  <si>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</si>
  <si>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</si>
  <si>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</si>
  <si>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</si>
  <si>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</si>
  <si>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</si>
  <si>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</si>
  <si>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</si>
  <si>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</si>
  <si>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</si>
  <si>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</si>
  <si>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</si>
  <si>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</si>
  <si>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</si>
  <si>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</si>
  <si>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</si>
  <si>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</si>
  <si>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</si>
  <si>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</si>
  <si>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</si>
  <si>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</si>
  <si>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</si>
  <si>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</si>
  <si>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</si>
  <si>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</si>
  <si>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</si>
  <si>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</si>
  <si>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</si>
  <si>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</si>
  <si>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</si>
  <si>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</si>
  <si>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</si>
  <si>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</si>
  <si>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</si>
  <si>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</si>
  <si>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</si>
  <si>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</si>
  <si>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</si>
  <si>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</si>
  <si>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</si>
  <si>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</si>
  <si>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</si>
  <si>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</si>
  <si>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</si>
  <si>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</si>
  <si>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</si>
  <si>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</si>
  <si>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</si>
  <si>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</si>
  <si>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</si>
  <si>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</si>
  <si>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</si>
  <si>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</si>
  <si>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</si>
  <si>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</si>
  <si>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</si>
  <si>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</si>
  <si>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</si>
  <si>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</si>
  <si>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</si>
  <si>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</si>
  <si>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</si>
  <si>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</si>
  <si>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</si>
  <si>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</si>
  <si>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</si>
  <si>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</si>
  <si>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</si>
  <si>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</si>
  <si>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</si>
  <si>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</si>
  <si>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</si>
  <si>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</si>
  <si>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</si>
  <si>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</si>
  <si>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</si>
  <si>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</si>
  <si>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</si>
  <si>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</si>
  <si>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</si>
  <si>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</si>
  <si>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</si>
  <si>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</si>
  <si>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</si>
  <si>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</si>
  <si>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</si>
  <si>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</si>
  <si>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</si>
  <si>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</si>
  <si>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</si>
  <si>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</si>
  <si>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</si>
  <si>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</si>
  <si>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</si>
  <si>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</si>
  <si>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</si>
  <si>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</si>
  <si>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</si>
  <si>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</si>
  <si>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</si>
  <si>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</si>
  <si>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</si>
  <si>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</si>
  <si>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</si>
  <si>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</si>
  <si>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</si>
  <si>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</si>
  <si>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</si>
  <si>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</si>
  <si>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</si>
  <si>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</si>
  <si>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</si>
  <si>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</si>
  <si>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</si>
  <si>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</si>
  <si>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</si>
  <si>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</si>
  <si>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</si>
  <si>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</si>
  <si>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</si>
  <si>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</si>
  <si>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</si>
  <si>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</si>
  <si>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</si>
  <si>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</si>
  <si>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</si>
  <si>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</si>
  <si>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</si>
  <si>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</si>
  <si>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</si>
  <si>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</si>
  <si>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</si>
  <si>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</si>
  <si>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</si>
  <si>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</si>
  <si>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</si>
  <si>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</si>
  <si>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</si>
  <si>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</si>
  <si>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</si>
  <si>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</si>
  <si>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</si>
  <si>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</si>
  <si>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</si>
  <si>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</si>
  <si>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</si>
  <si>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</si>
  <si>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</si>
  <si>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</si>
  <si>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</si>
  <si>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</si>
  <si>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</si>
  <si>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</si>
  <si>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</si>
  <si>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</si>
  <si>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</si>
  <si>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</si>
  <si>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</si>
  <si>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</si>
  <si>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</si>
  <si>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</si>
  <si>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</si>
  <si>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</si>
  <si>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</si>
  <si>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</si>
  <si>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</si>
  <si>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</si>
  <si>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</si>
  <si>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</si>
  <si>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</si>
  <si>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</si>
  <si>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</si>
  <si>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</si>
  <si>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</si>
  <si>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</si>
  <si>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</si>
  <si>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</si>
  <si>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</si>
  <si>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</si>
  <si>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</si>
  <si>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</si>
  <si>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</si>
  <si>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</si>
  <si>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</si>
  <si>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</si>
  <si>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</si>
  <si>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</si>
  <si>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</si>
  <si>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</si>
  <si>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</si>
  <si>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</si>
  <si>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</si>
  <si>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</si>
  <si>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</si>
  <si>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</si>
  <si>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</si>
  <si>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</si>
  <si>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</si>
  <si>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</si>
  <si>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</si>
  <si>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</si>
  <si>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</si>
  <si>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</si>
  <si>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</si>
  <si>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</si>
  <si>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</si>
  <si>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</si>
  <si>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</si>
  <si>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</si>
  <si>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</si>
  <si>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</si>
  <si>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</si>
  <si>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</si>
  <si>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</si>
  <si>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</si>
  <si>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</si>
  <si>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</si>
  <si>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</si>
  <si>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</si>
  <si>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</si>
  <si>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</si>
  <si>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</si>
  <si>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</si>
  <si>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</si>
  <si>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</si>
  <si>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</si>
  <si>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</si>
  <si>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</si>
  <si>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</si>
  <si>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</si>
  <si>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</si>
  <si>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</si>
  <si>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</si>
  <si>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</si>
  <si>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</si>
  <si>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</si>
  <si>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</si>
  <si>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</si>
  <si>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</si>
  <si>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</si>
  <si>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</si>
  <si>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</si>
  <si>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</si>
  <si>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</si>
  <si>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</si>
  <si>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</si>
  <si>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</si>
  <si>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</si>
  <si>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</si>
  <si>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</si>
  <si>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</si>
  <si>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</si>
  <si>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</si>
  <si>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</si>
  <si>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</si>
  <si>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</si>
  <si>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</si>
  <si>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</si>
  <si>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</si>
  <si>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</si>
  <si>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</si>
  <si>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</si>
  <si>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</si>
  <si>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</si>
  <si>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</si>
  <si>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</si>
  <si>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</si>
  <si>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</si>
  <si>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</si>
  <si>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</si>
  <si>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</si>
  <si>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</si>
  <si>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</si>
  <si>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</si>
  <si>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</si>
  <si>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</si>
  <si>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</si>
  <si>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</si>
  <si>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</si>
  <si>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</si>
  <si>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</si>
  <si>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</si>
  <si>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</si>
  <si>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</si>
  <si>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</si>
  <si>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</si>
  <si>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</si>
  <si>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</si>
  <si>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</si>
  <si>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</si>
  <si>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</si>
  <si>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</si>
  <si>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</si>
  <si>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</si>
  <si>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</si>
  <si>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</si>
  <si>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</si>
  <si>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</si>
  <si>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</si>
  <si>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</si>
  <si>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</si>
  <si>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</si>
  <si>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</si>
  <si>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</si>
  <si>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</si>
  <si>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</si>
  <si>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</si>
  <si>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</si>
  <si>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</si>
  <si>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</si>
  <si>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</si>
  <si>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</si>
  <si>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</si>
  <si>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</si>
  <si>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</si>
  <si>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</si>
  <si>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</si>
  <si>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</si>
  <si>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</si>
  <si>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</si>
  <si>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</si>
  <si>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</si>
  <si>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</si>
  <si>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</si>
  <si>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</si>
  <si>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</si>
  <si>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</si>
  <si>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</si>
  <si>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</si>
  <si>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</si>
  <si>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</si>
  <si>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</si>
  <si>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</si>
  <si>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</si>
  <si>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</si>
  <si>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</si>
  <si>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</si>
  <si>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</si>
  <si>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</si>
  <si>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</si>
  <si>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</si>
  <si>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</si>
  <si>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</si>
  <si>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</si>
  <si>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</si>
  <si>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</si>
  <si>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</si>
  <si>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</si>
  <si>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</si>
  <si>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</si>
  <si>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</si>
  <si>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</si>
  <si>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</si>
  <si>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</si>
  <si>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</si>
  <si>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</si>
  <si>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</si>
  <si>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</si>
  <si>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</si>
  <si>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</si>
  <si>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</si>
  <si>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</si>
  <si>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</si>
  <si>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</si>
  <si>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</si>
  <si>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</si>
  <si>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</si>
  <si>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</si>
  <si>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</si>
  <si>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</si>
  <si>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</si>
  <si>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</si>
  <si>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</si>
  <si>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</si>
  <si>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</si>
  <si>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</si>
  <si>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</si>
  <si>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</si>
  <si>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</si>
  <si>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</si>
  <si>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>合計
設備次數</t>
    <phoneticPr fontId="3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</si>
  <si>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</si>
  <si>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</si>
  <si>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</si>
  <si>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</si>
  <si>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</si>
  <si>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</si>
  <si>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</si>
  <si>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</si>
  <si>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</si>
  <si>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</si>
  <si>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</si>
  <si>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</si>
  <si>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</si>
  <si>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</si>
  <si>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</si>
  <si>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</si>
  <si>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新豐7線</t>
    <phoneticPr fontId="4" type="noConversion"/>
  </si>
  <si>
    <t>新豐8線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</si>
  <si>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</si>
  <si>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</si>
  <si>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</si>
  <si>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</si>
  <si>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</si>
  <si>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</si>
  <si>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</si>
  <si>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</si>
  <si>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</si>
  <si>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</si>
  <si>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</si>
  <si>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</si>
  <si>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</si>
  <si>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</si>
  <si>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</si>
  <si>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</si>
  <si>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</si>
  <si>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</si>
  <si>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</si>
  <si>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</si>
  <si>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</si>
  <si>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</si>
  <si>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</si>
  <si>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</si>
  <si>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</si>
  <si>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</si>
  <si>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</si>
  <si>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</si>
  <si>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</si>
  <si>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</si>
  <si>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</si>
  <si>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</si>
  <si>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</si>
  <si>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</si>
  <si>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</si>
  <si>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</si>
  <si>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</si>
  <si>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</si>
  <si>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</si>
  <si>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</si>
  <si>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</si>
  <si>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</si>
  <si>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</si>
  <si>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</si>
  <si>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</si>
  <si>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</si>
  <si>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</si>
  <si>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</si>
  <si>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</si>
  <si>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</si>
  <si>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</si>
  <si>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</si>
  <si>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</si>
  <si>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</si>
  <si>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</si>
  <si>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</si>
  <si>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</si>
  <si>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</si>
  <si>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合計
次數</t>
    <phoneticPr fontId="4" type="noConversion"/>
  </si>
  <si>
    <t>合計
時間/分</t>
    <phoneticPr fontId="3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</si>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</sst>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19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178" fontId="12" fillId="0" borderId="7" xfId="2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Border="1" applyAlignment="1">
      <alignment horizontal="left" vertical="center"/>
    </xf>
    <xf numFmtId="176" fontId="2" fillId="0" borderId="6" xfId="1" applyNumberFormat="1" applyFont="1" applyBorder="1">
      <alignment vertical="center"/>
    </xf>
    <xf numFmtId="0" fontId="6" fillId="0" borderId="1" xfId="1" applyFont="1" applyBorder="1" applyAlignment="1">
      <alignment horizontal="center"/>
    </xf>
    <xf numFmtId="0" fontId="6" fillId="0" borderId="1" xfId="1" applyFont="1" applyBorder="1" applyAlignment="1"/>
    <xf numFmtId="0" fontId="6" fillId="0" borderId="5" xfId="1" applyFont="1" applyBorder="1" applyAlignment="1">
      <alignment horizontal="left"/>
    </xf>
    <xf numFmtId="0" fontId="6" fillId="0" borderId="6" xfId="1" applyFont="1" applyBorder="1" applyAlignment="1">
      <alignment horizontal="left"/>
    </xf>
    <xf numFmtId="0" fontId="6" fillId="0" borderId="6" xfId="1" applyFont="1" applyBorder="1" applyAlignment="1"/>
    <xf numFmtId="3" fontId="6" fillId="0" borderId="1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16" fillId="0" borderId="0" xfId="5" applyFont="1">
      <alignment vertical="center"/>
    </xf>
    <xf numFmtId="0" fontId="6" fillId="0" borderId="0" xfId="5" applyFo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>
      <alignment vertical="center"/>
    </xf>
    <xf numFmtId="0" fontId="24" fillId="0" borderId="0" xfId="6" applyFo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Border="1" applyAlignment="1">
      <alignment horizontal="center" vertical="center" wrapText="1"/>
    </xf>
    <xf numFmtId="177" fontId="6" fillId="0" borderId="32" xfId="5" applyNumberFormat="1" applyFont="1" applyBorder="1" applyAlignment="1">
      <alignment horizontal="center" vertical="center" wrapText="1"/>
    </xf>
    <xf numFmtId="177" fontId="6" fillId="0" borderId="27" xfId="5" applyNumberFormat="1" applyFont="1" applyBorder="1" applyAlignment="1">
      <alignment horizontal="center" vertical="center" wrapText="1"/>
    </xf>
    <xf numFmtId="177" fontId="6" fillId="0" borderId="28" xfId="5" applyNumberFormat="1" applyFont="1" applyBorder="1" applyAlignment="1">
      <alignment horizontal="center" vertical="center" wrapText="1"/>
    </xf>
    <xf numFmtId="177" fontId="6" fillId="0" borderId="33" xfId="5" applyNumberFormat="1" applyFont="1" applyBorder="1" applyAlignment="1">
      <alignment horizontal="center" vertical="center" wrapText="1"/>
    </xf>
    <xf numFmtId="177" fontId="6" fillId="0" borderId="34" xfId="5" applyNumberFormat="1" applyFont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Border="1" applyAlignment="1">
      <alignment horizontal="center" vertical="center"/>
    </xf>
    <xf numFmtId="177" fontId="26" fillId="0" borderId="27" xfId="5" applyNumberFormat="1" applyFont="1" applyBorder="1" applyAlignment="1">
      <alignment horizontal="center" vertical="center"/>
    </xf>
    <xf numFmtId="177" fontId="26" fillId="0" borderId="28" xfId="5" applyNumberFormat="1" applyFont="1" applyBorder="1" applyAlignment="1">
      <alignment horizontal="center" vertical="center"/>
    </xf>
    <xf numFmtId="177" fontId="26" fillId="0" borderId="33" xfId="5" applyNumberFormat="1" applyFont="1" applyBorder="1" applyAlignment="1">
      <alignment horizontal="center" vertical="center"/>
    </xf>
    <xf numFmtId="177" fontId="26" fillId="0" borderId="34" xfId="5" applyNumberFormat="1" applyFont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Border="1" applyAlignment="1">
      <alignment horizontal="center" vertical="center"/>
    </xf>
    <xf numFmtId="181" fontId="6" fillId="0" borderId="1" xfId="6" applyNumberFormat="1" applyFont="1" applyBorder="1" applyAlignment="1">
      <alignment horizontal="center" vertical="center"/>
    </xf>
    <xf numFmtId="181" fontId="6" fillId="0" borderId="30" xfId="6" applyNumberFormat="1" applyFont="1" applyBorder="1" applyAlignment="1">
      <alignment horizontal="center" vertical="center"/>
    </xf>
    <xf numFmtId="181" fontId="6" fillId="0" borderId="37" xfId="9" applyNumberFormat="1" applyFont="1" applyBorder="1" applyAlignment="1">
      <alignment horizontal="center" vertical="center"/>
    </xf>
    <xf numFmtId="181" fontId="6" fillId="0" borderId="1" xfId="9" applyNumberFormat="1" applyFont="1" applyBorder="1" applyAlignment="1">
      <alignment horizontal="center" vertical="center"/>
    </xf>
    <xf numFmtId="181" fontId="6" fillId="0" borderId="30" xfId="9" applyNumberFormat="1" applyFont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Border="1" applyAlignment="1">
      <alignment horizontal="center" vertical="center"/>
    </xf>
    <xf numFmtId="1" fontId="6" fillId="0" borderId="2" xfId="5" applyNumberFormat="1" applyFont="1" applyBorder="1" applyAlignment="1">
      <alignment horizontal="center" vertical="center"/>
    </xf>
    <xf numFmtId="1" fontId="6" fillId="0" borderId="41" xfId="5" applyNumberFormat="1" applyFont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5" xfId="1" applyFont="1" applyBorder="1" applyAlignment="1"/>
    <xf numFmtId="0" fontId="6" fillId="0" borderId="6" xfId="1" applyFont="1" applyBorder="1" applyAlignment="1"/>
    <xf numFmtId="0" fontId="6" fillId="2" borderId="1" xfId="1" applyFont="1" applyFill="1" applyBorder="1" applyAlignment="1">
      <alignment horizontal="center" vertical="center"/>
    </xf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/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left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0" borderId="5" xfId="3" applyFont="1" applyBorder="1" applyAlignment="1">
      <alignment horizontal="left"/>
    </xf>
    <xf numFmtId="0" fontId="6" fillId="0" borderId="6" xfId="3" applyFont="1" applyBorder="1" applyAlignment="1">
      <alignment horizontal="left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left"/>
    </xf>
    <xf numFmtId="0" fontId="6" fillId="0" borderId="6" xfId="1" applyFont="1" applyBorder="1" applyAlignment="1">
      <alignment horizontal="left"/>
    </xf>
  </cellXfs>
  <cellStyles count="10">
    <cellStyle name="一般" xfId="0" builtinId="0"/>
    <cellStyle name="一般 2 17 2" xfId="8" xr:uid="{00000000-0005-0000-0000-000001000000}"/>
    <cellStyle name="一般 2 2 2" xfId="6" xr:uid="{00000000-0005-0000-0000-000002000000}"/>
    <cellStyle name="一般 2 2 29" xfId="9" xr:uid="{00000000-0005-0000-0000-000003000000}"/>
    <cellStyle name="一般 2 2 7" xfId="1" xr:uid="{00000000-0005-0000-0000-000004000000}"/>
    <cellStyle name="一般 2 4" xfId="3" xr:uid="{00000000-0005-0000-0000-000005000000}"/>
    <cellStyle name="一般 2 8" xfId="2" xr:uid="{00000000-0005-0000-0000-000006000000}"/>
    <cellStyle name="一般 3" xfId="5" xr:uid="{00000000-0005-0000-0000-000007000000}"/>
    <cellStyle name="千分位 2" xfId="7" xr:uid="{00000000-0005-0000-0000-000008000000}"/>
    <cellStyle name="百分比 2" xfId="4" xr:uid="{00000000-0005-0000-0000-000009000000}"/>
  </cellStyles>
  <dxfs count="276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2"/>
  <sheetViews>
    <sheetView tabSelected="1" zoomScale="85" zoomScaleNormal="85" workbookViewId="0">
      <selection activeCell="I15" sqref="I15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2464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2465</v>
      </c>
      <c r="C3" s="153" t="str">
        <f>TEXT('0228 4度C'!A2,"yyyy.mm.ddaaaa")</f>
        <v>2026.02.28星期六</v>
      </c>
      <c r="D3" s="154"/>
      <c r="E3" s="47" t="s">
        <v>2466</v>
      </c>
      <c r="F3" s="155">
        <f>'0228 4度C'!D1</f>
        <v>131327</v>
      </c>
      <c r="G3" s="156"/>
      <c r="H3" s="47" t="s">
        <v>2467</v>
      </c>
      <c r="I3" s="157">
        <f>'0228 4度C'!F1</f>
        <v>4537803.7799999993</v>
      </c>
      <c r="J3" s="158"/>
      <c r="K3" s="48"/>
      <c r="L3" s="49"/>
      <c r="M3" s="49"/>
      <c r="N3" s="49"/>
    </row>
    <row r="4" spans="2:17" ht="28.5" customHeight="1">
      <c r="B4" s="159" t="s">
        <v>2468</v>
      </c>
      <c r="C4" s="145" t="s">
        <v>2469</v>
      </c>
      <c r="D4" s="146"/>
      <c r="E4" s="162" t="s">
        <v>2470</v>
      </c>
      <c r="F4" s="163"/>
      <c r="G4" s="162" t="s">
        <v>2471</v>
      </c>
      <c r="H4" s="163"/>
      <c r="I4" s="162" t="s">
        <v>2472</v>
      </c>
      <c r="J4" s="163"/>
      <c r="K4" s="143" t="s">
        <v>2473</v>
      </c>
      <c r="L4" s="144"/>
      <c r="M4" s="144" t="s">
        <v>2474</v>
      </c>
      <c r="N4" s="144"/>
    </row>
    <row r="5" spans="2:17" ht="28.5" customHeight="1">
      <c r="B5" s="160"/>
      <c r="C5" s="145" t="s">
        <v>2475</v>
      </c>
      <c r="D5" s="146"/>
      <c r="E5" s="145" t="s">
        <v>2476</v>
      </c>
      <c r="F5" s="146"/>
      <c r="G5" s="147" t="s">
        <v>2477</v>
      </c>
      <c r="H5" s="148"/>
      <c r="I5" s="149" t="s">
        <v>2478</v>
      </c>
      <c r="J5" s="150"/>
      <c r="K5" s="50" t="s">
        <v>2479</v>
      </c>
      <c r="L5" s="51" t="s">
        <v>2480</v>
      </c>
      <c r="M5" s="50" t="s">
        <v>2479</v>
      </c>
      <c r="N5" s="51" t="s">
        <v>2481</v>
      </c>
    </row>
    <row r="6" spans="2:17" ht="28.5" customHeight="1">
      <c r="B6" s="160"/>
      <c r="C6" s="145" t="s">
        <v>158</v>
      </c>
      <c r="D6" s="146"/>
      <c r="E6" s="137">
        <f>AVERAGE(D13:M13)</f>
        <v>145.62529831609851</v>
      </c>
      <c r="F6" s="138">
        <f>AVERAGE(D31:O31,D13:J13)</f>
        <v>149.26803584794871</v>
      </c>
      <c r="G6" s="139">
        <f>AVERAGE(D13:J13)</f>
        <v>149.26803584794871</v>
      </c>
      <c r="H6" s="140"/>
      <c r="I6" s="139">
        <f>AVERAGE(K13:M13)</f>
        <v>137.12557740844801</v>
      </c>
      <c r="J6" s="140"/>
      <c r="K6" s="141">
        <f>'0228 4度C'!Y2</f>
        <v>0</v>
      </c>
      <c r="L6" s="126">
        <f>'0228 4度C'!Z2</f>
        <v>0</v>
      </c>
      <c r="M6" s="142">
        <f>'0228 4度C'!AC2</f>
        <v>51</v>
      </c>
      <c r="N6" s="126">
        <f>'0228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139.53963176977473</v>
      </c>
      <c r="F7" s="130">
        <f>AVERAGE(D32:O32,D14:J14)</f>
        <v>142.92827391102227</v>
      </c>
      <c r="G7" s="131">
        <f>AVERAGE(D14:J14)</f>
        <v>142.92827391102227</v>
      </c>
      <c r="H7" s="132"/>
      <c r="I7" s="131">
        <f>AVERAGE(K14:M14)</f>
        <v>131.63280010686381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0.95779485642233086</v>
      </c>
      <c r="F8" s="134">
        <f>AVERAGE(D15:J15,D33:O33)</f>
        <v>0.95695137541162378</v>
      </c>
      <c r="G8" s="135">
        <f>AVERAGE(D15:J15)</f>
        <v>0.95695137541162378</v>
      </c>
      <c r="H8" s="136"/>
      <c r="I8" s="135">
        <f>AVERAGE(K15:M15)</f>
        <v>0.95976297878064754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2482</v>
      </c>
      <c r="N9" s="49"/>
      <c r="O9" s="49"/>
      <c r="P9" s="49"/>
      <c r="Q9" s="49"/>
    </row>
    <row r="10" spans="2:17" ht="30" customHeight="1">
      <c r="B10" s="109" t="s">
        <v>2483</v>
      </c>
      <c r="C10" s="110"/>
      <c r="D10" s="111" t="s">
        <v>2484</v>
      </c>
      <c r="E10" s="112"/>
      <c r="F10" s="112"/>
      <c r="G10" s="112"/>
      <c r="H10" s="112"/>
      <c r="I10" s="112"/>
      <c r="J10" s="113"/>
      <c r="K10" s="114" t="s">
        <v>2485</v>
      </c>
      <c r="L10" s="115"/>
      <c r="M10" s="116"/>
      <c r="P10" s="55"/>
      <c r="Q10" s="55"/>
    </row>
    <row r="11" spans="2:17" ht="17.25" customHeight="1">
      <c r="B11" s="117" t="s">
        <v>2486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2487</v>
      </c>
      <c r="C13" s="62" t="s">
        <v>2488</v>
      </c>
      <c r="D13" s="63">
        <f>SUMIFS('0228 4度C'!$K:$K,'0228 4度C'!$A:$A,"新豐6線",'0228 4度C'!$B:$B,"平均")</f>
        <v>112.35955056179775</v>
      </c>
      <c r="E13" s="64">
        <f>SUMIFS('0228 4度C'!$K:$K,'0228 4度C'!$A:$A,"新豐2線",'0228 4度C'!$B:$B,"平均")</f>
        <v>83.333333333333329</v>
      </c>
      <c r="F13" s="65">
        <f>SUMIFS('0228 4度C'!$K:$K,'0228 4度C'!$A:$A,"新豐5線",'0228 4度C'!$B:$B,"平均")</f>
        <v>104.16666666666667</v>
      </c>
      <c r="G13" s="65">
        <f>SUMIFS('0228 4度C'!$K:$K,'0228 4度C'!$A:$A,"新豐7線",'0228 4度C'!$B:$B,"平均")</f>
        <v>128.37837837837839</v>
      </c>
      <c r="H13" s="65">
        <f>SUMIFS('0228 4度C'!$K:$K,'0228 4度C'!$A:$A,"新豐3線",'0228 4度C'!$B:$B,"平均")</f>
        <v>306.12244897959181</v>
      </c>
      <c r="I13" s="65">
        <f>SUMIFS('0228 4度C'!$K:$K,'0228 4度C'!$A:$A,"新豐1線",'0228 4度C'!$B:$B,"平均")</f>
        <v>104.16666666666666</v>
      </c>
      <c r="J13" s="66">
        <f>SUMIFS('0228 4度C'!$K:$K,'0228 4度C'!$A:$A,"新豐10線",'0228 4度C'!$B:$B,"平均")</f>
        <v>206.34920634920633</v>
      </c>
      <c r="K13" s="67">
        <f>SUMIFS('0228 4度C'!$K:$K,'0228 4度C'!$A:$A,"新豐8線",'0228 4度C'!$B:$B,"平均")</f>
        <v>130.43478260869566</v>
      </c>
      <c r="L13" s="68">
        <f>SUMIFS('0228 4度C'!$K:$K,'0228 4度C'!$A:$A,"新豐9線",'0228 4度C'!$B:$B,"平均")</f>
        <v>136.36363636363635</v>
      </c>
      <c r="M13" s="66">
        <f>SUMIFS('0228 4度C'!$K:$K,'0228 4度C'!$A:$A,"新豐4線",'0228 4度C'!$B:$B,"平均")</f>
        <v>144.57831325301203</v>
      </c>
    </row>
    <row r="14" spans="2:17" ht="39.6" customHeight="1">
      <c r="B14" s="122"/>
      <c r="C14" s="69" t="s">
        <v>2489</v>
      </c>
      <c r="D14" s="70">
        <f>SUMIFS('0228 4度C'!$N:$N,'0228 4度C'!$A:$A,"新豐6線",'0228 4度C'!$B:$B,"平均")</f>
        <v>108.17270382656096</v>
      </c>
      <c r="E14" s="71">
        <f>SUMIFS('0228 4度C'!$N:$N,'0228 4度C'!$A:$A,"新豐2線",'0228 4度C'!$B:$B,"平均")</f>
        <v>79.871809225257479</v>
      </c>
      <c r="F14" s="71">
        <f>SUMIFS('0228 4度C'!$N:$N,'0228 4度C'!$A:$A,"新豐5線",'0228 4度C'!$B:$B,"平均")</f>
        <v>99.811155032123352</v>
      </c>
      <c r="G14" s="71">
        <f>SUMIFS('0228 4度C'!$N:$N,'0228 4度C'!$A:$A,"新豐7線",'0228 4度C'!$B:$B,"平均")</f>
        <v>123.45107127946113</v>
      </c>
      <c r="H14" s="71">
        <f>SUMIFS('0228 4度C'!$N:$N,'0228 4度C'!$A:$A,"新豐3線",'0228 4度C'!$B:$B,"平均")</f>
        <v>292.56728738756516</v>
      </c>
      <c r="I14" s="71">
        <f>SUMIFS('0228 4度C'!$N:$N,'0228 4度C'!$A:$A,"新豐1線",'0228 4度C'!$B:$B,"平均")</f>
        <v>97.69985499709675</v>
      </c>
      <c r="J14" s="72">
        <f>SUMIFS('0228 4度C'!$N:$N,'0228 4度C'!$A:$A,"新豐10線",'0228 4度C'!$B:$B,"平均")</f>
        <v>198.92403562909104</v>
      </c>
      <c r="K14" s="73">
        <f>SUMIFS('0228 4度C'!$N:$N,'0228 4度C'!$A:$A,"新豐8線",'0228 4度C'!$B:$B,"平均")</f>
        <v>124.64154078979931</v>
      </c>
      <c r="L14" s="74">
        <f>SUMIFS('0228 4度C'!$N:$N,'0228 4度C'!$A:$A,"新豐9線",'0228 4度C'!$B:$B,"平均")</f>
        <v>130.62522847720416</v>
      </c>
      <c r="M14" s="72">
        <f>SUMIFS('0228 4度C'!$N:$N,'0228 4度C'!$A:$A,"新豐4線",'0228 4度C'!$B:$B,"平均")</f>
        <v>139.63163105358797</v>
      </c>
    </row>
    <row r="15" spans="2:17" ht="40.15" customHeight="1">
      <c r="B15" s="123"/>
      <c r="C15" s="75" t="s">
        <v>2490</v>
      </c>
      <c r="D15" s="76">
        <f t="shared" ref="D15:M15" si="0">D14/D13</f>
        <v>0.96273706405639259</v>
      </c>
      <c r="E15" s="77">
        <f t="shared" si="0"/>
        <v>0.95846171070308983</v>
      </c>
      <c r="F15" s="77">
        <f t="shared" si="0"/>
        <v>0.95818708830838417</v>
      </c>
      <c r="G15" s="77">
        <f t="shared" si="0"/>
        <v>0.96161887101896037</v>
      </c>
      <c r="H15" s="77">
        <f t="shared" si="0"/>
        <v>0.95571980546604629</v>
      </c>
      <c r="I15" s="77">
        <f t="shared" si="0"/>
        <v>0.93791860797212889</v>
      </c>
      <c r="J15" s="78">
        <f t="shared" si="0"/>
        <v>0.96401648035636434</v>
      </c>
      <c r="K15" s="76">
        <f t="shared" si="0"/>
        <v>0.95558514605512801</v>
      </c>
      <c r="L15" s="77">
        <f t="shared" si="0"/>
        <v>0.95791834216616401</v>
      </c>
      <c r="M15" s="78">
        <f t="shared" si="0"/>
        <v>0.96578544812065026</v>
      </c>
    </row>
    <row r="16" spans="2:17" ht="17.25" customHeight="1">
      <c r="B16" s="124" t="s">
        <v>2491</v>
      </c>
      <c r="C16" s="79" t="s">
        <v>2492</v>
      </c>
      <c r="D16" s="80">
        <f>VLOOKUP("新豐6線",'0228 4度C'!$A:$T,19,0)</f>
        <v>0.70833333333333337</v>
      </c>
      <c r="E16" s="81">
        <f>VLOOKUP("新豐2線",'0228 4度C'!$A:$T,19,0)</f>
        <v>0.20833333333333334</v>
      </c>
      <c r="F16" s="81">
        <f>VLOOKUP("新豐5線",'0228 4度C'!$A:$T,19,0)</f>
        <v>0.20833333333333334</v>
      </c>
      <c r="G16" s="81">
        <f>VLOOKUP("新豐7線",'0228 4度C'!$A:$T,19,0)</f>
        <v>0.20833333333333334</v>
      </c>
      <c r="H16" s="81">
        <f>VLOOKUP("新豐3線",'0228 4度C'!$A:$T,19,0)</f>
        <v>0.20833333333333334</v>
      </c>
      <c r="I16" s="81">
        <f>VLOOKUP("新豐1線",'0228 4度C'!$A:$T,19,0)</f>
        <v>0.20833333333333334</v>
      </c>
      <c r="J16" s="82">
        <f>VLOOKUP("新豐10線",'0228 4度C'!$A:$T,19,0)</f>
        <v>0.20833333333333334</v>
      </c>
      <c r="K16" s="83">
        <f>VLOOKUP("新豐8線",'0228 4度C'!$A:$T,19,0)</f>
        <v>0.125</v>
      </c>
      <c r="L16" s="84">
        <f>VLOOKUP("新豐9線",'0228 4度C'!$A:$T,19,0)</f>
        <v>0.125</v>
      </c>
      <c r="M16" s="85">
        <f>VLOOKUP("新豐4線",'0228 4度C'!$A:$T,19,0)</f>
        <v>0.125</v>
      </c>
    </row>
    <row r="17" spans="2:13" ht="17.25" customHeight="1">
      <c r="B17" s="125"/>
      <c r="C17" s="79" t="s">
        <v>2493</v>
      </c>
      <c r="D17" s="83">
        <f>LOOKUP(2,1/(('0228 4度C'!$A:$A="新豐6線")*('0228 4度C'!$T:$T&lt;&gt;"")),'0228 4度C'!$T:$T)</f>
        <v>0.83194444444444438</v>
      </c>
      <c r="E17" s="81">
        <f>LOOKUP(2,1/(('0228 4度C'!$A:$A="新豐2線")*('0228 4度C'!$T:$T&lt;&gt;"")),'0228 4度C'!$T:$T)</f>
        <v>0.44583333333333336</v>
      </c>
      <c r="F17" s="81">
        <f>LOOKUP(2,1/(('0228 4度C'!$A:$A="新豐5線")*('0228 4度C'!$T:$T&lt;&gt;"")),'0228 4度C'!$T:$T)</f>
        <v>0.85902777777777783</v>
      </c>
      <c r="G17" s="81">
        <f>LOOKUP(2,1/(('0228 4度C'!$A:$A="新豐7線")*('0228 4度C'!$T:$T&lt;&gt;"")),'0228 4度C'!$T:$T)</f>
        <v>0.85763888888888884</v>
      </c>
      <c r="H17" s="81">
        <f>LOOKUP(2,1/(('0228 4度C'!$A:$A="新豐3線")*('0228 4度C'!$T:$T&lt;&gt;"")),'0228 4度C'!$T:$T)</f>
        <v>0.51041666666666663</v>
      </c>
      <c r="I17" s="81">
        <f>LOOKUP(2,1/(('0228 4度C'!$A:$A="新豐1線")*('0228 4度C'!$T:$T&lt;&gt;"")),'0228 4度C'!$T:$T)</f>
        <v>0.90347222222222212</v>
      </c>
      <c r="J17" s="82">
        <f>LOOKUP(2,1/(('0228 4度C'!$A:$A="新豐10線")*('0228 4度C'!$T:$T&lt;&gt;"")),'0228 4度C'!$T:$T)</f>
        <v>0.48888888888888887</v>
      </c>
      <c r="K17" s="80">
        <f>LOOKUP(2,1/(('0228 4度C'!$A:$A="新豐8線")*('0228 4度C'!$T:$T&lt;&gt;"")),'0228 4度C'!$T:$T)</f>
        <v>0.49999999999999994</v>
      </c>
      <c r="L17" s="81">
        <f>LOOKUP(2,1/(('0228 4度C'!$A:$A="新豐9線")*('0228 4度C'!$T:$T&lt;&gt;"")),'0228 4度C'!$T:$T)</f>
        <v>0.49027777777777765</v>
      </c>
      <c r="M17" s="82">
        <f>LOOKUP(2,1/(('0228 4度C'!$A:$A="新豐4線")*('0228 4度C'!$T:$T&lt;&gt;"")),'0228 4度C'!$T:$T)</f>
        <v>0.47847222222222219</v>
      </c>
    </row>
    <row r="18" spans="2:13" ht="17.25" customHeight="1">
      <c r="B18" s="103" t="s">
        <v>2494</v>
      </c>
      <c r="C18" s="86" t="s">
        <v>2495</v>
      </c>
      <c r="D18" s="87">
        <f>SUMIFS('0228 4度C'!$Y:$Y,'0228 4度C'!$A:$A,"新豐6線",'0228 4度C'!$B:$B,"平均")</f>
        <v>0</v>
      </c>
      <c r="E18" s="88">
        <f>SUMIFS('0228 4度C'!$Y:$Y,'0228 4度C'!$A:$A,"新豐2線",'0228 4度C'!$B:$B,"平均")</f>
        <v>0</v>
      </c>
      <c r="F18" s="88">
        <f>SUMIFS('0228 4度C'!$Y:$Y,'0228 4度C'!$A:$A,"新豐5線",'0228 4度C'!$B:$B,"平均")</f>
        <v>0</v>
      </c>
      <c r="G18" s="88">
        <f>SUMIFS('0228 4度C'!$Y:$Y,'0228 4度C'!$A:$A,"新豐7線",'0228 4度C'!$B:$B,"平均")</f>
        <v>0</v>
      </c>
      <c r="H18" s="88">
        <f>SUMIFS('0228 4度C'!$Y:$Y,'0228 4度C'!$A:$A,"新豐3線",'0228 4度C'!$B:$B,"平均")</f>
        <v>0</v>
      </c>
      <c r="I18" s="88">
        <f>SUMIFS('0228 4度C'!$Y:$Y,'0228 4度C'!$A:$A,"新豐1線",'0228 4度C'!$B:$B,"平均")</f>
        <v>0</v>
      </c>
      <c r="J18" s="89">
        <f>SUMIFS('0228 4度C'!$Y:$Y,'0228 4度C'!$A:$A,"新豐10線",'0228 4度C'!$B:$B,"平均")</f>
        <v>0</v>
      </c>
      <c r="K18" s="90">
        <f>SUMIFS('0228 4度C'!$Y:$Y,'0228 4度C'!$A:$A,"新豐8線",'0228 4度C'!$B:$B,"平均")</f>
        <v>0</v>
      </c>
      <c r="L18" s="88">
        <f>SUMIFS('0228 4度C'!$Y:$Y,'0228 4度C'!$A:$A,"新豐9線",'0228 4度C'!$B:$B,"平均")</f>
        <v>0</v>
      </c>
      <c r="M18" s="89">
        <f>SUMIFS('0228 4度C'!$Y:$Y,'0228 4度C'!$A:$A,"新豐4線",'0228 4度C'!$B:$B,"平均")</f>
        <v>0</v>
      </c>
    </row>
    <row r="19" spans="2:13" ht="17.25" customHeight="1">
      <c r="B19" s="104"/>
      <c r="C19" s="86" t="s">
        <v>2496</v>
      </c>
      <c r="D19" s="87">
        <f>SUMIFS('0228 4度C'!$Z:$Z,'0228 4度C'!$A:$A,"新豐6線",'0228 4度C'!$B:$B,"平均")</f>
        <v>0</v>
      </c>
      <c r="E19" s="88">
        <f>SUMIFS('0228 4度C'!$Z:$Z,'0228 4度C'!$A:$A,"新豐2線",'0228 4度C'!$B:$B,"平均")</f>
        <v>0</v>
      </c>
      <c r="F19" s="88">
        <f>SUMIFS('0228 4度C'!$Z:$Z,'0228 4度C'!$A:$A,"新豐5線",'0228 4度C'!$B:$B,"平均")</f>
        <v>0</v>
      </c>
      <c r="G19" s="88">
        <f>SUMIFS('0228 4度C'!$Z:$Z,'0228 4度C'!$A:$A,"新豐7線",'0228 4度C'!$B:$B,"平均")</f>
        <v>0</v>
      </c>
      <c r="H19" s="88">
        <f>SUMIFS('0228 4度C'!$Z:$Z,'0228 4度C'!$A:$A,"新豐3線",'0228 4度C'!$B:$B,"平均")</f>
        <v>0</v>
      </c>
      <c r="I19" s="88">
        <f>SUMIFS('0228 4度C'!$Z:$Z,'0228 4度C'!$A:$A,"新豐1線",'0228 4度C'!$B:$B,"平均")</f>
        <v>0</v>
      </c>
      <c r="J19" s="89">
        <f>SUMIFS('0228 4度C'!$Z:$Z,'0228 4度C'!$A:$A,"新豐10線",'0228 4度C'!$B:$B,"平均")</f>
        <v>0</v>
      </c>
      <c r="K19" s="90">
        <f>SUMIFS('0228 4度C'!$Z:$Z,'0228 4度C'!$A:$A,"新豐8線",'0228 4度C'!$B:$B,"平均")</f>
        <v>0</v>
      </c>
      <c r="L19" s="88">
        <f>SUMIFS('0228 4度C'!$Z:$Z,'0228 4度C'!$A:$A,"新豐9線",'0228 4度C'!$B:$B,"平均")</f>
        <v>0</v>
      </c>
      <c r="M19" s="89">
        <f>SUMIFS('0228 4度C'!$Z:$Z,'0228 4度C'!$A:$A,"新豐4線",'0228 4度C'!$B:$B,"平均")</f>
        <v>0</v>
      </c>
    </row>
    <row r="20" spans="2:13" ht="17.25" customHeight="1">
      <c r="B20" s="103" t="s">
        <v>2497</v>
      </c>
      <c r="C20" s="86" t="s">
        <v>2495</v>
      </c>
      <c r="D20" s="87">
        <f>SUMIFS('0228 4度C'!$AC:$AC,'0228 4度C'!$A:$A,"新豐6線",'0228 4度C'!$B:$B,"平均")</f>
        <v>5</v>
      </c>
      <c r="E20" s="88">
        <f>SUMIFS('0228 4度C'!$AC:$AC,'0228 4度C'!$A:$A,"新豐2線",'0228 4度C'!$B:$B,"平均")</f>
        <v>2</v>
      </c>
      <c r="F20" s="88">
        <f>SUMIFS('0228 4度C'!$AC:$AC,'0228 4度C'!$A:$A,"新豐5線",'0228 4度C'!$B:$B,"平均")</f>
        <v>4</v>
      </c>
      <c r="G20" s="88">
        <f>SUMIFS('0228 4度C'!$AC:$AC,'0228 4度C'!$A:$A,"新豐7線",'0228 4度C'!$B:$B,"平均")</f>
        <v>5</v>
      </c>
      <c r="H20" s="88">
        <f>SUMIFS('0228 4度C'!$AC:$AC,'0228 4度C'!$A:$A,"新豐3線",'0228 4度C'!$B:$B,"平均")</f>
        <v>5</v>
      </c>
      <c r="I20" s="88">
        <f>SUMIFS('0228 4度C'!$AC:$AC,'0228 4度C'!$A:$A,"新豐1線",'0228 4度C'!$B:$B,"平均")</f>
        <v>9</v>
      </c>
      <c r="J20" s="89">
        <f>SUMIFS('0228 4度C'!$AC:$AC,'0228 4度C'!$A:$A,"新豐10線",'0228 4度C'!$B:$B,"平均")</f>
        <v>6</v>
      </c>
      <c r="K20" s="90">
        <f>SUMIFS('0228 4度C'!$AC:$AC,'0228 4度C'!$A:$A,"新豐8線",'0228 4度C'!$B:$B,"平均")</f>
        <v>5</v>
      </c>
      <c r="L20" s="88">
        <f>SUMIFS('0228 4度C'!$AC:$AC,'0228 4度C'!$A:$A,"新豐9線",'0228 4度C'!$B:$B,"平均")</f>
        <v>5</v>
      </c>
      <c r="M20" s="89">
        <f>SUMIFS('0228 4度C'!$AC:$AC,'0228 4度C'!$A:$A,"新豐4線",'0228 4度C'!$B:$B,"平均")</f>
        <v>5</v>
      </c>
    </row>
    <row r="21" spans="2:13" ht="17.25" customHeight="1">
      <c r="B21" s="104"/>
      <c r="C21" s="86" t="s">
        <v>2498</v>
      </c>
      <c r="D21" s="87">
        <f>SUMIFS('0228 4度C'!$AD:$AD,'0228 4度C'!$A:$A,"新豐6線",'0228 4度C'!$B:$B,"平均")</f>
        <v>0</v>
      </c>
      <c r="E21" s="88">
        <f>SUMIFS('0228 4度C'!$AD:$AD,'0228 4度C'!$A:$A,"新豐2線",'0228 4度C'!$B:$B,"平均")</f>
        <v>0</v>
      </c>
      <c r="F21" s="88">
        <f>SUMIFS('0228 4度C'!$AD:$AD,'0228 4度C'!$A:$A,"新豐5線",'0228 4度C'!$B:$B,"平均")</f>
        <v>0</v>
      </c>
      <c r="G21" s="88">
        <f>SUMIFS('0228 4度C'!$AD:$AD,'0228 4度C'!$A:$A,"新豐7線",'0228 4度C'!$B:$B,"平均")</f>
        <v>0</v>
      </c>
      <c r="H21" s="88">
        <f>SUMIFS('0228 4度C'!$AD:$AD,'0228 4度C'!$A:$A,"新豐3線",'0228 4度C'!$B:$B,"平均")</f>
        <v>0</v>
      </c>
      <c r="I21" s="88">
        <f>SUMIFS('0228 4度C'!$AD:$AD,'0228 4度C'!$A:$A,"新豐1線",'0228 4度C'!$B:$B,"平均")</f>
        <v>0</v>
      </c>
      <c r="J21" s="89">
        <f>SUMIFS('0228 4度C'!$AD:$AD,'0228 4度C'!$A:$A,"新豐10線",'0228 4度C'!$B:$B,"平均")</f>
        <v>0</v>
      </c>
      <c r="K21" s="90">
        <f>SUMIFS('0228 4度C'!$AD:$AD,'0228 4度C'!$A:$A,"新豐8線",'0228 4度C'!$B:$B,"平均")</f>
        <v>0</v>
      </c>
      <c r="L21" s="88">
        <f>SUMIFS('0228 4度C'!$AD:$AD,'0228 4度C'!$A:$A,"新豐9線",'0228 4度C'!$B:$B,"平均")</f>
        <v>0</v>
      </c>
      <c r="M21" s="89">
        <f>SUMIFS('0228 4度C'!$AD:$AD,'0228 4度C'!$A:$A,"新豐4線",'0228 4度C'!$B:$B,"平均")</f>
        <v>0</v>
      </c>
    </row>
    <row r="22" spans="2:13" ht="17.25" customHeight="1">
      <c r="B22" s="105" t="s">
        <v>2499</v>
      </c>
      <c r="C22" s="106"/>
      <c r="D22" s="91">
        <f>SUMIFS('0228 4度C'!$I:$I,'0228 4度C'!$A:$A,"新豐6線",'0228 4度C'!$B:$B,"平均")</f>
        <v>17.8</v>
      </c>
      <c r="E22" s="92">
        <f>SUMIFS('0228 4度C'!$I:$I,'0228 4度C'!$A:$A,"新豐2線",'0228 4度C'!$B:$B,"平均")</f>
        <v>18</v>
      </c>
      <c r="F22" s="92">
        <f>SUMIFS('0228 4度C'!$I:$I,'0228 4度C'!$A:$A,"新豐5線",'0228 4度C'!$B:$B,"平均")</f>
        <v>18</v>
      </c>
      <c r="G22" s="92">
        <f>SUMIFS('0228 4度C'!$I:$I,'0228 4度C'!$A:$A,"新豐7線",'0228 4度C'!$B:$B,"平均")</f>
        <v>14.8</v>
      </c>
      <c r="H22" s="92">
        <f>SUMIFS('0228 4度C'!$I:$I,'0228 4度C'!$A:$A,"新豐3線",'0228 4度C'!$B:$B,"平均")</f>
        <v>9.8000000000000007</v>
      </c>
      <c r="I22" s="92">
        <f>SUMIFS('0228 4度C'!$I:$I,'0228 4度C'!$A:$A,"新豐1線",'0228 4度C'!$B:$B,"平均")</f>
        <v>18.666666666666668</v>
      </c>
      <c r="J22" s="93">
        <f>SUMIFS('0228 4度C'!$I:$I,'0228 4度C'!$A:$A,"新豐10線",'0228 4度C'!$B:$B,"平均")</f>
        <v>10.5</v>
      </c>
      <c r="K22" s="91">
        <f>SUMIFS('0228 4度C'!$I:$I,'0228 4度C'!$A:$A,"新豐8線",'0228 4度C'!$B:$B,"平均")</f>
        <v>18.399999999999999</v>
      </c>
      <c r="L22" s="92">
        <f>SUMIFS('0228 4度C'!$I:$I,'0228 4度C'!$A:$A,"新豐9線",'0228 4度C'!$B:$B,"平均")</f>
        <v>17.600000000000001</v>
      </c>
      <c r="M22" s="93">
        <f>SUMIFS('0228 4度C'!$I:$I,'0228 4度C'!$A:$A,"新豐4線",'0228 4度C'!$B:$B,"平均")</f>
        <v>16.600000000000001</v>
      </c>
    </row>
    <row r="23" spans="2:13" ht="17.25" customHeight="1">
      <c r="B23" s="105" t="s">
        <v>2500</v>
      </c>
      <c r="C23" s="106"/>
      <c r="D23" s="94" t="s">
        <v>191</v>
      </c>
      <c r="E23" s="95" t="s">
        <v>192</v>
      </c>
      <c r="F23" s="95" t="s">
        <v>2501</v>
      </c>
      <c r="G23" s="95" t="s">
        <v>2501</v>
      </c>
      <c r="H23" s="95" t="s">
        <v>194</v>
      </c>
      <c r="I23" s="95" t="s">
        <v>191</v>
      </c>
      <c r="J23" s="96" t="s">
        <v>194</v>
      </c>
      <c r="K23" s="94" t="s">
        <v>2502</v>
      </c>
      <c r="L23" s="95" t="s">
        <v>2502</v>
      </c>
      <c r="M23" s="96" t="s">
        <v>2502</v>
      </c>
    </row>
    <row r="24" spans="2:13" ht="17.25" customHeight="1">
      <c r="B24" s="105" t="s">
        <v>2503</v>
      </c>
      <c r="C24" s="106"/>
      <c r="D24" s="94"/>
      <c r="E24" s="95"/>
      <c r="F24" s="95" t="s">
        <v>2504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2505</v>
      </c>
      <c r="C25" s="108"/>
      <c r="D25" s="97"/>
      <c r="E25" s="98" t="s">
        <v>2506</v>
      </c>
      <c r="F25" s="101" t="s">
        <v>2507</v>
      </c>
      <c r="G25" s="102"/>
      <c r="H25" s="98" t="s">
        <v>2508</v>
      </c>
      <c r="I25" s="98" t="s">
        <v>2509</v>
      </c>
      <c r="J25" s="99" t="s">
        <v>2508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7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3">
    <pageSetUpPr fitToPage="1"/>
  </sheetPr>
  <dimension ref="A1:AG66"/>
  <sheetViews>
    <sheetView zoomScale="80" zoomScaleNormal="80" workbookViewId="0">
      <pane ySplit="4" topLeftCell="A5" activePane="bottomLeft" state="frozen"/>
      <selection activeCell="J13" sqref="J13"/>
      <selection pane="bottomLeft" activeCell="A2" sqref="A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2510</v>
      </c>
      <c r="B1" s="1"/>
      <c r="C1" s="2" t="s">
        <v>2511</v>
      </c>
      <c r="D1" s="3">
        <f>SUM(F5:F65)</f>
        <v>131327</v>
      </c>
      <c r="E1" s="4" t="s">
        <v>2512</v>
      </c>
      <c r="F1" s="1">
        <f>SUM(G5:G65)</f>
        <v>4537803.7799999993</v>
      </c>
      <c r="G1" s="1" t="s">
        <v>2513</v>
      </c>
      <c r="H1" s="5">
        <f>L10+L13+L42+L52+L18+L59+L30+L36+L24+L65</f>
        <v>160.16666666666666</v>
      </c>
      <c r="I1" s="214" t="s">
        <v>2514</v>
      </c>
      <c r="J1" s="214"/>
      <c r="K1" s="214"/>
      <c r="L1" s="214" t="s">
        <v>2515</v>
      </c>
      <c r="M1" s="214"/>
      <c r="N1" s="214"/>
      <c r="O1" s="214" t="s">
        <v>2516</v>
      </c>
      <c r="P1" s="214"/>
      <c r="Q1" s="214"/>
      <c r="R1" s="214"/>
      <c r="S1" s="214" t="s">
        <v>7</v>
      </c>
      <c r="T1" s="214"/>
      <c r="U1" s="214"/>
      <c r="V1" s="214"/>
      <c r="W1" s="214"/>
      <c r="X1" s="214"/>
      <c r="Y1" s="6" t="s">
        <v>2517</v>
      </c>
      <c r="Z1" s="7" t="s">
        <v>2518</v>
      </c>
      <c r="AA1" s="215" t="s">
        <v>10</v>
      </c>
      <c r="AB1" s="215"/>
      <c r="AC1" s="8" t="s">
        <v>2519</v>
      </c>
      <c r="AD1" s="7" t="s">
        <v>2520</v>
      </c>
      <c r="AE1" s="214" t="s">
        <v>2521</v>
      </c>
      <c r="AF1" s="216"/>
      <c r="AG1" s="216"/>
    </row>
    <row r="2" spans="1:33" ht="26.25" customHeight="1">
      <c r="A2" s="35">
        <v>46081</v>
      </c>
      <c r="B2" s="36" t="s">
        <v>687</v>
      </c>
      <c r="C2" s="2" t="s">
        <v>2522</v>
      </c>
      <c r="D2" s="10">
        <f>AVERAGE(N10,N13,N42,N52,N18,N59,N24,N30,N36,N65)</f>
        <v>139.53963176977473</v>
      </c>
      <c r="E2" s="11" t="s">
        <v>14</v>
      </c>
      <c r="F2" s="12">
        <f>F1/D1</f>
        <v>34.553471715641102</v>
      </c>
      <c r="G2" s="1" t="s">
        <v>540</v>
      </c>
      <c r="H2" s="13">
        <f>COUNT(H5:H65)</f>
        <v>1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SUM(Y10+Y13+Y18+Y24+Y30+Y36+Y42+Y52+Y59+Y65)</f>
        <v>0</v>
      </c>
      <c r="Z2" s="14">
        <f>SUM(Z10+Z13+Z18+Z24+Z30+Z36+Z42+Z52+Z59+Z65)</f>
        <v>0</v>
      </c>
      <c r="AA2" s="215"/>
      <c r="AB2" s="215"/>
      <c r="AC2" s="14">
        <v>51</v>
      </c>
      <c r="AD2" s="14">
        <f>SUM(AD10+AD13+AD18+AD24+AD30+AD36+AD42+AD52+AD59+AD65)</f>
        <v>0</v>
      </c>
      <c r="AE2" s="216"/>
      <c r="AF2" s="216"/>
      <c r="AG2" s="216"/>
    </row>
    <row r="3" spans="1:33" ht="40.5" customHeight="1">
      <c r="A3" s="164" t="s">
        <v>16</v>
      </c>
      <c r="B3" s="164" t="s">
        <v>2523</v>
      </c>
      <c r="C3" s="164" t="s">
        <v>2524</v>
      </c>
      <c r="D3" s="164"/>
      <c r="E3" s="212" t="s">
        <v>2525</v>
      </c>
      <c r="F3" s="164" t="s">
        <v>2526</v>
      </c>
      <c r="G3" s="212" t="s">
        <v>543</v>
      </c>
      <c r="H3" s="206" t="s">
        <v>2527</v>
      </c>
      <c r="I3" s="204" t="s">
        <v>2528</v>
      </c>
      <c r="J3" s="201" t="s">
        <v>2529</v>
      </c>
      <c r="K3" s="211" t="s">
        <v>2530</v>
      </c>
      <c r="L3" s="204" t="s">
        <v>2531</v>
      </c>
      <c r="M3" s="201" t="s">
        <v>2529</v>
      </c>
      <c r="N3" s="211" t="s">
        <v>13</v>
      </c>
      <c r="O3" s="204" t="s">
        <v>544</v>
      </c>
      <c r="P3" s="211" t="s">
        <v>2532</v>
      </c>
      <c r="Q3" s="202" t="s">
        <v>471</v>
      </c>
      <c r="R3" s="182" t="s">
        <v>29</v>
      </c>
      <c r="S3" s="164" t="s">
        <v>30</v>
      </c>
      <c r="T3" s="164"/>
      <c r="U3" s="206" t="s">
        <v>31</v>
      </c>
      <c r="V3" s="206" t="s">
        <v>2533</v>
      </c>
      <c r="W3" s="164" t="s">
        <v>2534</v>
      </c>
      <c r="X3" s="164"/>
      <c r="Y3" s="207" t="s">
        <v>467</v>
      </c>
      <c r="Z3" s="168"/>
      <c r="AA3" s="208" t="s">
        <v>2535</v>
      </c>
      <c r="AB3" s="209"/>
      <c r="AC3" s="207" t="s">
        <v>2536</v>
      </c>
      <c r="AD3" s="168"/>
      <c r="AE3" s="201" t="s">
        <v>2537</v>
      </c>
      <c r="AF3" s="202" t="s">
        <v>471</v>
      </c>
      <c r="AG3" s="182" t="s">
        <v>2538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2539</v>
      </c>
      <c r="X4" s="4" t="s">
        <v>2540</v>
      </c>
      <c r="Y4" s="15" t="s">
        <v>2541</v>
      </c>
      <c r="Z4" s="15" t="s">
        <v>2542</v>
      </c>
      <c r="AA4" s="210"/>
      <c r="AB4" s="209"/>
      <c r="AC4" s="15" t="s">
        <v>558</v>
      </c>
      <c r="AD4" s="15" t="s">
        <v>2543</v>
      </c>
      <c r="AE4" s="201"/>
      <c r="AF4" s="202"/>
      <c r="AG4" s="182"/>
    </row>
    <row r="5" spans="1:33">
      <c r="A5" s="203" t="s">
        <v>2544</v>
      </c>
      <c r="B5" s="37" t="s">
        <v>78</v>
      </c>
      <c r="C5" s="205" t="s">
        <v>79</v>
      </c>
      <c r="D5" s="205"/>
      <c r="E5" s="37">
        <v>50.67</v>
      </c>
      <c r="F5" s="4">
        <v>1567</v>
      </c>
      <c r="G5" s="4">
        <f t="shared" ref="G5:G9" si="0">E5*F5</f>
        <v>79399.89</v>
      </c>
      <c r="H5" s="22" t="s">
        <v>139</v>
      </c>
      <c r="I5" s="16">
        <v>17</v>
      </c>
      <c r="J5" s="18">
        <v>2000</v>
      </c>
      <c r="K5" s="17">
        <f t="shared" ref="K5:K65" si="1">J5/I5</f>
        <v>117.64705882352941</v>
      </c>
      <c r="L5" s="16">
        <v>17</v>
      </c>
      <c r="M5" s="18">
        <f t="shared" ref="M5:M9" si="2">F5/V5*60</f>
        <v>1918.7755102040821</v>
      </c>
      <c r="N5" s="17">
        <f t="shared" ref="N5:N65" si="3">M5/L5</f>
        <v>112.86914765906366</v>
      </c>
      <c r="O5" s="19">
        <f t="shared" ref="O5:O65" si="4">L5-I5</f>
        <v>0</v>
      </c>
      <c r="P5" s="20">
        <f t="shared" ref="P5:P65" si="5">N5-K5</f>
        <v>-4.777911164465749</v>
      </c>
      <c r="Q5" s="21">
        <f t="shared" ref="Q5:Q65" si="6">N5/K5</f>
        <v>0.95938775510204111</v>
      </c>
      <c r="R5" s="172">
        <f>Q10</f>
        <v>0.96273706405639259</v>
      </c>
      <c r="S5" s="28">
        <v>0.70833333333333337</v>
      </c>
      <c r="T5" s="28">
        <v>0.74236111111111114</v>
      </c>
      <c r="U5" s="4"/>
      <c r="V5" s="22">
        <f t="shared" ref="V5:V9" si="7">(T5-S5)*24*60</f>
        <v>48.999999999999986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1" si="8">M5-J5</f>
        <v>-81.224489795917862</v>
      </c>
      <c r="AF5" s="21">
        <f t="shared" ref="AF5:AF65" si="9">M5/J5</f>
        <v>0.95938775510204111</v>
      </c>
      <c r="AG5" s="172">
        <f>AF10</f>
        <v>0.96273706405639259</v>
      </c>
    </row>
    <row r="6" spans="1:33">
      <c r="A6" s="204" t="s">
        <v>2545</v>
      </c>
      <c r="B6" s="37" t="s">
        <v>78</v>
      </c>
      <c r="C6" s="205" t="s">
        <v>80</v>
      </c>
      <c r="D6" s="205"/>
      <c r="E6" s="37">
        <v>54.09</v>
      </c>
      <c r="F6" s="4">
        <v>1355</v>
      </c>
      <c r="G6" s="4">
        <f t="shared" si="0"/>
        <v>73291.950000000012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1935.7142857142851</v>
      </c>
      <c r="N6" s="17">
        <f t="shared" si="3"/>
        <v>101.87969924812028</v>
      </c>
      <c r="O6" s="19">
        <f t="shared" si="4"/>
        <v>0</v>
      </c>
      <c r="P6" s="20">
        <f t="shared" si="5"/>
        <v>-3.3834586466165604</v>
      </c>
      <c r="Q6" s="21">
        <f t="shared" si="6"/>
        <v>0.96785714285714264</v>
      </c>
      <c r="R6" s="172"/>
      <c r="S6" s="28">
        <v>0.74583333333333335</v>
      </c>
      <c r="T6" s="28">
        <v>0.77500000000000002</v>
      </c>
      <c r="U6" s="4">
        <f t="shared" ref="U6:U9" si="10">IF(S6=TIME(17,0,0),"",(S6-T5)*24*60)</f>
        <v>4.9999999999999822</v>
      </c>
      <c r="V6" s="22">
        <f t="shared" si="7"/>
        <v>42.000000000000014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-64.285714285714903</v>
      </c>
      <c r="AF6" s="21">
        <f t="shared" si="9"/>
        <v>0.96785714285714253</v>
      </c>
      <c r="AG6" s="172"/>
    </row>
    <row r="7" spans="1:33">
      <c r="A7" s="204" t="s">
        <v>2546</v>
      </c>
      <c r="B7" s="37" t="s">
        <v>78</v>
      </c>
      <c r="C7" s="196" t="s">
        <v>81</v>
      </c>
      <c r="D7" s="197"/>
      <c r="E7" s="37">
        <v>50.29</v>
      </c>
      <c r="F7" s="4">
        <v>574</v>
      </c>
      <c r="G7" s="4">
        <f t="shared" si="0"/>
        <v>28866.46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1913.3333333333401</v>
      </c>
      <c r="N7" s="17">
        <f t="shared" si="3"/>
        <v>119.58333333333375</v>
      </c>
      <c r="O7" s="19">
        <f t="shared" si="4"/>
        <v>0</v>
      </c>
      <c r="P7" s="20">
        <f t="shared" si="5"/>
        <v>-5.4166666666662451</v>
      </c>
      <c r="Q7" s="21">
        <f t="shared" si="6"/>
        <v>0.95666666666667</v>
      </c>
      <c r="R7" s="172"/>
      <c r="S7" s="28">
        <v>0.77986111111111112</v>
      </c>
      <c r="T7" s="28">
        <v>0.79236111111111107</v>
      </c>
      <c r="U7" s="4">
        <f t="shared" si="10"/>
        <v>6.9999999999999751</v>
      </c>
      <c r="V7" s="22">
        <f t="shared" si="7"/>
        <v>17.999999999999936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-86.666666666659921</v>
      </c>
      <c r="AF7" s="21">
        <f t="shared" si="9"/>
        <v>0.95666666666667</v>
      </c>
      <c r="AG7" s="172"/>
    </row>
    <row r="8" spans="1:33">
      <c r="A8" s="204" t="s">
        <v>2547</v>
      </c>
      <c r="B8" s="37" t="s">
        <v>78</v>
      </c>
      <c r="C8" s="196" t="s">
        <v>83</v>
      </c>
      <c r="D8" s="197"/>
      <c r="E8" s="37">
        <v>50.67</v>
      </c>
      <c r="F8" s="4">
        <v>543</v>
      </c>
      <c r="G8" s="4">
        <f t="shared" si="0"/>
        <v>27513.81</v>
      </c>
      <c r="H8" s="22" t="s">
        <v>139</v>
      </c>
      <c r="I8" s="16">
        <v>21</v>
      </c>
      <c r="J8" s="18">
        <v>2000</v>
      </c>
      <c r="K8" s="17">
        <f t="shared" si="1"/>
        <v>95.238095238095241</v>
      </c>
      <c r="L8" s="16">
        <v>21</v>
      </c>
      <c r="M8" s="18">
        <f t="shared" si="2"/>
        <v>1916.470588235301</v>
      </c>
      <c r="N8" s="17">
        <f t="shared" si="3"/>
        <v>91.260504201681002</v>
      </c>
      <c r="O8" s="19">
        <f t="shared" si="4"/>
        <v>0</v>
      </c>
      <c r="P8" s="20">
        <f t="shared" si="5"/>
        <v>-3.9775910364142391</v>
      </c>
      <c r="Q8" s="21">
        <f t="shared" si="6"/>
        <v>0.95823529411765052</v>
      </c>
      <c r="R8" s="172"/>
      <c r="S8" s="28">
        <v>0.79791666666666661</v>
      </c>
      <c r="T8" s="28">
        <v>0.80972222222222212</v>
      </c>
      <c r="U8" s="4">
        <f t="shared" si="10"/>
        <v>7.9999999999999716</v>
      </c>
      <c r="V8" s="22">
        <f t="shared" si="7"/>
        <v>16.99999999999994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-83.529411764699034</v>
      </c>
      <c r="AF8" s="21">
        <f t="shared" si="9"/>
        <v>0.95823529411765052</v>
      </c>
      <c r="AG8" s="172"/>
    </row>
    <row r="9" spans="1:33">
      <c r="A9" s="204" t="s">
        <v>2545</v>
      </c>
      <c r="B9" s="37" t="s">
        <v>78</v>
      </c>
      <c r="C9" s="196" t="s">
        <v>98</v>
      </c>
      <c r="D9" s="197"/>
      <c r="E9" s="37">
        <v>50.67</v>
      </c>
      <c r="F9" s="4">
        <v>842</v>
      </c>
      <c r="G9" s="4">
        <f t="shared" si="0"/>
        <v>42664.14</v>
      </c>
      <c r="H9" s="22" t="s">
        <v>139</v>
      </c>
      <c r="I9" s="16">
        <v>16</v>
      </c>
      <c r="J9" s="18">
        <v>2000</v>
      </c>
      <c r="K9" s="17">
        <f t="shared" si="1"/>
        <v>125</v>
      </c>
      <c r="L9" s="16">
        <v>16</v>
      </c>
      <c r="M9" s="18">
        <f t="shared" si="2"/>
        <v>1943.0769230769181</v>
      </c>
      <c r="N9" s="17">
        <f t="shared" si="3"/>
        <v>121.44230769230738</v>
      </c>
      <c r="O9" s="19">
        <f t="shared" si="4"/>
        <v>0</v>
      </c>
      <c r="P9" s="20">
        <f t="shared" si="5"/>
        <v>-3.5576923076926192</v>
      </c>
      <c r="Q9" s="21">
        <f t="shared" si="6"/>
        <v>0.97153846153845902</v>
      </c>
      <c r="R9" s="172"/>
      <c r="S9" s="28">
        <v>0.81388888888888877</v>
      </c>
      <c r="T9" s="28">
        <v>0.83194444444444438</v>
      </c>
      <c r="U9" s="4">
        <f t="shared" si="10"/>
        <v>5.9999999999999787</v>
      </c>
      <c r="V9" s="22">
        <f t="shared" si="7"/>
        <v>26.000000000000068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-56.923076923081908</v>
      </c>
      <c r="AF9" s="21">
        <f t="shared" si="9"/>
        <v>0.97153846153845902</v>
      </c>
      <c r="AG9" s="172"/>
    </row>
    <row r="10" spans="1:33">
      <c r="A10" s="204" t="s">
        <v>46</v>
      </c>
      <c r="B10" s="37" t="s">
        <v>2548</v>
      </c>
      <c r="C10" s="177"/>
      <c r="D10" s="177"/>
      <c r="E10" s="38"/>
      <c r="F10" s="17"/>
      <c r="G10" s="17"/>
      <c r="H10" s="4"/>
      <c r="I10" s="30">
        <v>17.8</v>
      </c>
      <c r="J10" s="18">
        <v>2000</v>
      </c>
      <c r="K10" s="17">
        <f t="shared" si="1"/>
        <v>112.35955056179775</v>
      </c>
      <c r="L10" s="30">
        <v>17.8</v>
      </c>
      <c r="M10" s="18">
        <f>AVERAGE(M5:M9)</f>
        <v>1925.4741281127851</v>
      </c>
      <c r="N10" s="17">
        <f t="shared" si="3"/>
        <v>108.17270382656096</v>
      </c>
      <c r="O10" s="19">
        <f t="shared" si="4"/>
        <v>0</v>
      </c>
      <c r="P10" s="20">
        <f t="shared" si="5"/>
        <v>-4.1868467352367844</v>
      </c>
      <c r="Q10" s="21">
        <f t="shared" si="6"/>
        <v>0.96273706405639259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8"/>
        <v>-74.525871887214862</v>
      </c>
      <c r="AF10" s="21">
        <f t="shared" si="9"/>
        <v>0.96273706405639259</v>
      </c>
      <c r="AG10" s="172"/>
    </row>
    <row r="11" spans="1:33" ht="15.75" customHeight="1">
      <c r="A11" s="200" t="s">
        <v>2549</v>
      </c>
      <c r="B11" s="37" t="s">
        <v>84</v>
      </c>
      <c r="C11" s="196" t="s">
        <v>85</v>
      </c>
      <c r="D11" s="197"/>
      <c r="E11" s="37">
        <v>39.619999999999997</v>
      </c>
      <c r="F11" s="4">
        <v>3165</v>
      </c>
      <c r="G11" s="4">
        <f t="shared" ref="G11:G12" si="11">E11*F11</f>
        <v>125397.29999999999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1438.6363636363631</v>
      </c>
      <c r="N11" s="17">
        <f t="shared" si="3"/>
        <v>75.71770334928226</v>
      </c>
      <c r="O11" s="19">
        <f t="shared" si="4"/>
        <v>0</v>
      </c>
      <c r="P11" s="20">
        <f t="shared" si="5"/>
        <v>-3.2296650717703699</v>
      </c>
      <c r="Q11" s="21">
        <f t="shared" si="6"/>
        <v>0.95909090909090866</v>
      </c>
      <c r="R11" s="172">
        <f>Q13</f>
        <v>0.95846171070308983</v>
      </c>
      <c r="S11" s="28">
        <v>0.20833333333333334</v>
      </c>
      <c r="T11" s="28">
        <v>0.30000000000000004</v>
      </c>
      <c r="U11" s="4"/>
      <c r="V11" s="22">
        <f t="shared" ref="V11:V12" si="13">(T11-S11)*24*60</f>
        <v>132.00000000000006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-61.363636363636942</v>
      </c>
      <c r="AF11" s="21">
        <f t="shared" si="9"/>
        <v>0.95909090909090866</v>
      </c>
      <c r="AG11" s="172">
        <f>AF13</f>
        <v>0.95846171070308972</v>
      </c>
    </row>
    <row r="12" spans="1:33" ht="15.75" customHeight="1">
      <c r="A12" s="200" t="s">
        <v>2550</v>
      </c>
      <c r="B12" s="37" t="s">
        <v>84</v>
      </c>
      <c r="C12" s="196" t="s">
        <v>86</v>
      </c>
      <c r="D12" s="197"/>
      <c r="E12" s="37">
        <v>39.799999999999997</v>
      </c>
      <c r="F12" s="4">
        <v>4861</v>
      </c>
      <c r="G12" s="4">
        <f t="shared" si="11"/>
        <v>193467.8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1436.7487684729062</v>
      </c>
      <c r="N12" s="17">
        <f t="shared" si="3"/>
        <v>84.514633439582724</v>
      </c>
      <c r="O12" s="19">
        <f t="shared" si="4"/>
        <v>0</v>
      </c>
      <c r="P12" s="20">
        <f t="shared" si="5"/>
        <v>-3.7206606780643341</v>
      </c>
      <c r="Q12" s="21">
        <f t="shared" si="6"/>
        <v>0.95783251231527089</v>
      </c>
      <c r="R12" s="172"/>
      <c r="S12" s="28">
        <v>0.30486111111111114</v>
      </c>
      <c r="T12" s="28">
        <v>0.44583333333333336</v>
      </c>
      <c r="U12" s="4">
        <f t="shared" ref="U12" si="14">IF(S12=TIME(17,0,0),"",(S12-T11)*24*60)</f>
        <v>6.9999999999999751</v>
      </c>
      <c r="V12" s="22">
        <f t="shared" si="13"/>
        <v>203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-63.251231527093751</v>
      </c>
      <c r="AF12" s="21">
        <f t="shared" si="9"/>
        <v>0.95783251231527078</v>
      </c>
      <c r="AG12" s="172"/>
    </row>
    <row r="13" spans="1:33" ht="16.5" customHeight="1">
      <c r="A13" s="200" t="s">
        <v>50</v>
      </c>
      <c r="B13" s="37" t="s">
        <v>51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1437.6925660546347</v>
      </c>
      <c r="N13" s="17">
        <f t="shared" si="3"/>
        <v>79.871809225257479</v>
      </c>
      <c r="O13" s="19">
        <f t="shared" si="4"/>
        <v>0</v>
      </c>
      <c r="P13" s="20">
        <f t="shared" si="5"/>
        <v>-3.4615241080758494</v>
      </c>
      <c r="Q13" s="21">
        <f t="shared" si="6"/>
        <v>0.95846171070308983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8"/>
        <v>-62.307433945365347</v>
      </c>
      <c r="AF13" s="21">
        <f t="shared" si="9"/>
        <v>0.95846171070308972</v>
      </c>
      <c r="AG13" s="172"/>
    </row>
    <row r="14" spans="1:33" ht="16.5" customHeight="1">
      <c r="A14" s="198" t="s">
        <v>2551</v>
      </c>
      <c r="B14" s="4" t="s">
        <v>87</v>
      </c>
      <c r="C14" s="190" t="s">
        <v>88</v>
      </c>
      <c r="D14" s="190"/>
      <c r="E14" s="37">
        <v>41</v>
      </c>
      <c r="F14" s="4">
        <v>2529</v>
      </c>
      <c r="G14" s="4">
        <f t="shared" ref="G14:G17" si="15">E14*F14</f>
        <v>103689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17" si="16">F14/V14*60</f>
        <v>1431.5094339622642</v>
      </c>
      <c r="N14" s="17">
        <f t="shared" si="3"/>
        <v>55.058055152394779</v>
      </c>
      <c r="O14" s="19">
        <f t="shared" si="4"/>
        <v>0</v>
      </c>
      <c r="P14" s="20">
        <f t="shared" si="5"/>
        <v>-2.6342525399129144</v>
      </c>
      <c r="Q14" s="21">
        <f t="shared" si="6"/>
        <v>0.95433962264150951</v>
      </c>
      <c r="R14" s="172">
        <f>Q18</f>
        <v>0.95818708830838417</v>
      </c>
      <c r="S14" s="28">
        <v>0.20833333333333334</v>
      </c>
      <c r="T14" s="28">
        <v>0.28194444444444444</v>
      </c>
      <c r="U14" s="4"/>
      <c r="V14" s="22">
        <f t="shared" ref="V14:V17" si="17">(T14-S14)*24*60</f>
        <v>105.99999999999999</v>
      </c>
      <c r="W14" s="28"/>
      <c r="X14" s="28"/>
      <c r="Y14" s="28"/>
      <c r="Z14" s="28"/>
      <c r="AA14" s="164"/>
      <c r="AB14" s="164"/>
      <c r="AC14" s="25">
        <v>4</v>
      </c>
      <c r="AD14" s="25"/>
      <c r="AE14" s="19">
        <f t="shared" si="8"/>
        <v>-68.490566037735789</v>
      </c>
      <c r="AF14" s="21">
        <f t="shared" si="9"/>
        <v>0.95433962264150951</v>
      </c>
      <c r="AG14" s="172">
        <f>AF18</f>
        <v>0.95818708830838417</v>
      </c>
    </row>
    <row r="15" spans="1:33" ht="16.5" customHeight="1">
      <c r="A15" s="199" t="s">
        <v>2552</v>
      </c>
      <c r="B15" s="4" t="s">
        <v>78</v>
      </c>
      <c r="C15" s="190" t="s">
        <v>91</v>
      </c>
      <c r="D15" s="190"/>
      <c r="E15" s="37">
        <v>50.98</v>
      </c>
      <c r="F15" s="4">
        <v>2473</v>
      </c>
      <c r="G15" s="4">
        <f t="shared" si="15"/>
        <v>126073.54</v>
      </c>
      <c r="H15" s="22" t="s">
        <v>139</v>
      </c>
      <c r="I15" s="16">
        <v>16</v>
      </c>
      <c r="J15" s="18">
        <v>2000</v>
      </c>
      <c r="K15" s="17">
        <f t="shared" si="1"/>
        <v>125</v>
      </c>
      <c r="L15" s="16">
        <v>16</v>
      </c>
      <c r="M15" s="18">
        <f t="shared" si="16"/>
        <v>1927.0129870129861</v>
      </c>
      <c r="N15" s="17">
        <f t="shared" si="3"/>
        <v>120.43831168831163</v>
      </c>
      <c r="O15" s="19">
        <f t="shared" si="4"/>
        <v>0</v>
      </c>
      <c r="P15" s="20">
        <f t="shared" si="5"/>
        <v>-4.5616883116883713</v>
      </c>
      <c r="Q15" s="21">
        <f t="shared" si="6"/>
        <v>0.96350649350649298</v>
      </c>
      <c r="R15" s="172"/>
      <c r="S15" s="28">
        <v>0.70833333333333337</v>
      </c>
      <c r="T15" s="28">
        <v>0.76180555555555562</v>
      </c>
      <c r="U15" s="4" t="str">
        <f t="shared" ref="U15:U17" si="18">IF(S15=TIME(17,0,0),"",(S15-T14)*24*60)</f>
        <v/>
      </c>
      <c r="V15" s="22">
        <f t="shared" si="17"/>
        <v>77.000000000000043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-72.987012987013941</v>
      </c>
      <c r="AF15" s="21">
        <f t="shared" si="9"/>
        <v>0.96350649350649298</v>
      </c>
      <c r="AG15" s="172"/>
    </row>
    <row r="16" spans="1:33" ht="16.5" customHeight="1">
      <c r="A16" s="199" t="s">
        <v>2553</v>
      </c>
      <c r="B16" s="4" t="s">
        <v>78</v>
      </c>
      <c r="C16" s="190" t="s">
        <v>92</v>
      </c>
      <c r="D16" s="190"/>
      <c r="E16" s="37">
        <v>50.92</v>
      </c>
      <c r="F16" s="4">
        <v>2337</v>
      </c>
      <c r="G16" s="4">
        <f t="shared" si="15"/>
        <v>119000.04000000001</v>
      </c>
      <c r="H16" s="22" t="s">
        <v>139</v>
      </c>
      <c r="I16" s="16">
        <v>15</v>
      </c>
      <c r="J16" s="18">
        <v>2000</v>
      </c>
      <c r="K16" s="17">
        <f t="shared" si="1"/>
        <v>133.33333333333334</v>
      </c>
      <c r="L16" s="16">
        <v>15</v>
      </c>
      <c r="M16" s="18">
        <f t="shared" si="16"/>
        <v>1920.8219178082179</v>
      </c>
      <c r="N16" s="17">
        <f t="shared" si="3"/>
        <v>128.05479452054786</v>
      </c>
      <c r="O16" s="19">
        <f t="shared" si="4"/>
        <v>0</v>
      </c>
      <c r="P16" s="20">
        <f t="shared" si="5"/>
        <v>-5.2785388127854844</v>
      </c>
      <c r="Q16" s="21">
        <f t="shared" si="6"/>
        <v>0.96041095890410888</v>
      </c>
      <c r="R16" s="172"/>
      <c r="S16" s="28">
        <v>0.76736111111111116</v>
      </c>
      <c r="T16" s="28">
        <v>0.81805555555555565</v>
      </c>
      <c r="U16" s="4">
        <f t="shared" si="18"/>
        <v>7.9999999999999716</v>
      </c>
      <c r="V16" s="22">
        <f t="shared" si="17"/>
        <v>73.000000000000057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-79.178082191782096</v>
      </c>
      <c r="AF16" s="21">
        <f t="shared" si="9"/>
        <v>0.96041095890410899</v>
      </c>
      <c r="AG16" s="172"/>
    </row>
    <row r="17" spans="1:33" ht="16.5" customHeight="1">
      <c r="A17" s="199" t="s">
        <v>2553</v>
      </c>
      <c r="B17" s="4" t="s">
        <v>78</v>
      </c>
      <c r="C17" s="190" t="s">
        <v>93</v>
      </c>
      <c r="D17" s="190"/>
      <c r="E17" s="37">
        <v>50.67</v>
      </c>
      <c r="F17" s="4">
        <v>1621</v>
      </c>
      <c r="G17" s="4">
        <f t="shared" si="15"/>
        <v>82136.070000000007</v>
      </c>
      <c r="H17" s="22" t="s">
        <v>139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1907.0588235294126</v>
      </c>
      <c r="N17" s="17">
        <f t="shared" si="3"/>
        <v>127.13725490196084</v>
      </c>
      <c r="O17" s="19">
        <f t="shared" si="4"/>
        <v>0</v>
      </c>
      <c r="P17" s="20">
        <f t="shared" si="5"/>
        <v>-6.1960784313724986</v>
      </c>
      <c r="Q17" s="21">
        <f t="shared" si="6"/>
        <v>0.95352941176470629</v>
      </c>
      <c r="R17" s="172"/>
      <c r="S17" s="28">
        <v>0.82361111111111118</v>
      </c>
      <c r="T17" s="28">
        <v>0.85902777777777783</v>
      </c>
      <c r="U17" s="4">
        <f t="shared" si="18"/>
        <v>7.9999999999999716</v>
      </c>
      <c r="V17" s="22">
        <f t="shared" si="17"/>
        <v>50.999999999999979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-92.941176470587379</v>
      </c>
      <c r="AF17" s="21">
        <f t="shared" si="9"/>
        <v>0.95352941176470629</v>
      </c>
      <c r="AG17" s="172"/>
    </row>
    <row r="18" spans="1:33" ht="16.5" customHeight="1">
      <c r="A18" s="199" t="s">
        <v>2553</v>
      </c>
      <c r="B18" s="37" t="s">
        <v>2554</v>
      </c>
      <c r="C18" s="177"/>
      <c r="D18" s="177"/>
      <c r="E18" s="38"/>
      <c r="F18" s="17"/>
      <c r="G18" s="17"/>
      <c r="H18" s="4"/>
      <c r="I18" s="30">
        <v>18</v>
      </c>
      <c r="J18" s="18">
        <v>1875</v>
      </c>
      <c r="K18" s="17">
        <f t="shared" si="1"/>
        <v>104.16666666666667</v>
      </c>
      <c r="L18" s="30">
        <v>18</v>
      </c>
      <c r="M18" s="18">
        <f>AVERAGE(M14:M17)</f>
        <v>1796.6007905782203</v>
      </c>
      <c r="N18" s="17">
        <f t="shared" si="3"/>
        <v>99.811155032123352</v>
      </c>
      <c r="O18" s="19">
        <f t="shared" si="4"/>
        <v>0</v>
      </c>
      <c r="P18" s="20">
        <f t="shared" si="5"/>
        <v>-4.3555116345433191</v>
      </c>
      <c r="Q18" s="21">
        <f t="shared" si="6"/>
        <v>0.95818708830838417</v>
      </c>
      <c r="R18" s="172"/>
      <c r="S18" s="28"/>
      <c r="T18" s="28"/>
      <c r="U18" s="4"/>
      <c r="V18" s="22"/>
      <c r="W18" s="17"/>
      <c r="X18" s="17"/>
      <c r="Y18" s="31">
        <f>SUM(Y14:Y17)</f>
        <v>0</v>
      </c>
      <c r="Z18" s="31">
        <f>SUM(Z14:Z17)</f>
        <v>0</v>
      </c>
      <c r="AA18" s="168"/>
      <c r="AB18" s="168"/>
      <c r="AC18" s="31">
        <v>4</v>
      </c>
      <c r="AD18" s="31">
        <f>SUM(AD14:AD17)</f>
        <v>0</v>
      </c>
      <c r="AE18" s="19">
        <f t="shared" si="8"/>
        <v>-78.399209421779688</v>
      </c>
      <c r="AF18" s="21">
        <f t="shared" si="9"/>
        <v>0.95818708830838417</v>
      </c>
      <c r="AG18" s="172"/>
    </row>
    <row r="19" spans="1:33" ht="15.75" customHeight="1">
      <c r="A19" s="194" t="s">
        <v>2555</v>
      </c>
      <c r="B19" s="37" t="s">
        <v>78</v>
      </c>
      <c r="C19" s="190" t="s">
        <v>95</v>
      </c>
      <c r="D19" s="190"/>
      <c r="E19" s="37">
        <v>57.73</v>
      </c>
      <c r="F19" s="4">
        <v>2565</v>
      </c>
      <c r="G19" s="4">
        <f t="shared" ref="G19:G23" si="19">E19*F19</f>
        <v>148077.44999999998</v>
      </c>
      <c r="H19" s="22" t="s">
        <v>139</v>
      </c>
      <c r="I19" s="16">
        <v>14</v>
      </c>
      <c r="J19" s="18">
        <v>2000</v>
      </c>
      <c r="K19" s="17">
        <f t="shared" si="1"/>
        <v>142.85714285714286</v>
      </c>
      <c r="L19" s="16">
        <v>14</v>
      </c>
      <c r="M19" s="18">
        <f t="shared" ref="M19:M23" si="20">F19/V19*60</f>
        <v>1923.75</v>
      </c>
      <c r="N19" s="17">
        <f t="shared" si="3"/>
        <v>137.41071428571428</v>
      </c>
      <c r="O19" s="19">
        <f t="shared" si="4"/>
        <v>0</v>
      </c>
      <c r="P19" s="20">
        <f t="shared" si="5"/>
        <v>-5.4464285714285836</v>
      </c>
      <c r="Q19" s="21">
        <f t="shared" si="6"/>
        <v>0.96187499999999992</v>
      </c>
      <c r="R19" s="172">
        <f>Q24</f>
        <v>0.96161887101896037</v>
      </c>
      <c r="S19" s="28">
        <v>0.20833333333333334</v>
      </c>
      <c r="T19" s="28">
        <v>0.2638888888888889</v>
      </c>
      <c r="U19" s="4"/>
      <c r="V19" s="22">
        <f t="shared" ref="V19:V23" si="21">(T19-S19)*24*60</f>
        <v>80</v>
      </c>
      <c r="W19" s="28"/>
      <c r="X19" s="28"/>
      <c r="Y19" s="28"/>
      <c r="Z19" s="28"/>
      <c r="AA19" s="164"/>
      <c r="AB19" s="164"/>
      <c r="AC19" s="25">
        <v>5</v>
      </c>
      <c r="AD19" s="25"/>
      <c r="AE19" s="19">
        <f t="shared" si="8"/>
        <v>-76.25</v>
      </c>
      <c r="AF19" s="21">
        <f t="shared" si="9"/>
        <v>0.96187500000000004</v>
      </c>
      <c r="AG19" s="172">
        <f>AF24</f>
        <v>0.96161887101896049</v>
      </c>
    </row>
    <row r="20" spans="1:33" ht="15.75" customHeight="1">
      <c r="A20" s="195" t="s">
        <v>60</v>
      </c>
      <c r="B20" s="37" t="s">
        <v>78</v>
      </c>
      <c r="C20" s="190" t="s">
        <v>96</v>
      </c>
      <c r="D20" s="190"/>
      <c r="E20" s="37">
        <v>53.68</v>
      </c>
      <c r="F20" s="4">
        <v>1444</v>
      </c>
      <c r="G20" s="4">
        <f t="shared" si="19"/>
        <v>77513.919999999998</v>
      </c>
      <c r="H20" s="22" t="s">
        <v>139</v>
      </c>
      <c r="I20" s="16">
        <v>16</v>
      </c>
      <c r="J20" s="18">
        <v>2000</v>
      </c>
      <c r="K20" s="17">
        <f t="shared" si="1"/>
        <v>125</v>
      </c>
      <c r="L20" s="16">
        <v>16</v>
      </c>
      <c r="M20" s="18">
        <f t="shared" si="20"/>
        <v>1925.3333333333333</v>
      </c>
      <c r="N20" s="17">
        <f t="shared" si="3"/>
        <v>120.33333333333333</v>
      </c>
      <c r="O20" s="19">
        <f t="shared" si="4"/>
        <v>0</v>
      </c>
      <c r="P20" s="20">
        <f t="shared" si="5"/>
        <v>-4.6666666666666714</v>
      </c>
      <c r="Q20" s="21">
        <f t="shared" si="6"/>
        <v>0.96266666666666667</v>
      </c>
      <c r="R20" s="172"/>
      <c r="S20" s="28">
        <v>0.26805555555555555</v>
      </c>
      <c r="T20" s="28">
        <v>0.29930555555555555</v>
      </c>
      <c r="U20" s="4">
        <f t="shared" ref="U20:U23" si="22">IF(S20=TIME(17,0,0),"",(S20-T19)*24*60)</f>
        <v>5.9999999999999787</v>
      </c>
      <c r="V20" s="22">
        <f t="shared" si="21"/>
        <v>45</v>
      </c>
      <c r="W20" s="23"/>
      <c r="X20" s="4"/>
      <c r="Y20" s="4"/>
      <c r="Z20" s="4"/>
      <c r="AA20" s="164"/>
      <c r="AB20" s="164"/>
      <c r="AC20" s="25"/>
      <c r="AD20" s="25"/>
      <c r="AE20" s="19">
        <f t="shared" si="8"/>
        <v>-74.666666666666742</v>
      </c>
      <c r="AF20" s="21">
        <f t="shared" si="9"/>
        <v>0.96266666666666667</v>
      </c>
      <c r="AG20" s="172"/>
    </row>
    <row r="21" spans="1:33" ht="15.75" customHeight="1">
      <c r="A21" s="195" t="s">
        <v>2556</v>
      </c>
      <c r="B21" s="37" t="s">
        <v>78</v>
      </c>
      <c r="C21" s="190" t="s">
        <v>97</v>
      </c>
      <c r="D21" s="190"/>
      <c r="E21" s="37">
        <v>50.49</v>
      </c>
      <c r="F21" s="4">
        <v>2092</v>
      </c>
      <c r="G21" s="4">
        <f t="shared" si="19"/>
        <v>105625.08</v>
      </c>
      <c r="H21" s="22" t="s">
        <v>139</v>
      </c>
      <c r="I21" s="16">
        <v>15</v>
      </c>
      <c r="J21" s="18">
        <v>2000</v>
      </c>
      <c r="K21" s="17">
        <f t="shared" si="1"/>
        <v>133.33333333333334</v>
      </c>
      <c r="L21" s="16">
        <v>15</v>
      </c>
      <c r="M21" s="18">
        <f t="shared" si="20"/>
        <v>1931.0769230769251</v>
      </c>
      <c r="N21" s="17">
        <f t="shared" si="3"/>
        <v>128.73846153846168</v>
      </c>
      <c r="O21" s="19">
        <f t="shared" si="4"/>
        <v>0</v>
      </c>
      <c r="P21" s="20">
        <f t="shared" si="5"/>
        <v>-4.5948717948716649</v>
      </c>
      <c r="Q21" s="21">
        <f t="shared" si="6"/>
        <v>0.96553846153846257</v>
      </c>
      <c r="R21" s="172"/>
      <c r="S21" s="28">
        <v>0.70833333333333337</v>
      </c>
      <c r="T21" s="28">
        <v>0.75347222222222221</v>
      </c>
      <c r="U21" s="4" t="str">
        <f t="shared" si="22"/>
        <v/>
      </c>
      <c r="V21" s="22">
        <f t="shared" si="21"/>
        <v>64.999999999999929</v>
      </c>
      <c r="W21" s="23"/>
      <c r="X21" s="4"/>
      <c r="Y21" s="4"/>
      <c r="Z21" s="4"/>
      <c r="AA21" s="164"/>
      <c r="AB21" s="164"/>
      <c r="AC21" s="25"/>
      <c r="AD21" s="25"/>
      <c r="AE21" s="19">
        <f t="shared" si="8"/>
        <v>-68.923076923074859</v>
      </c>
      <c r="AF21" s="21">
        <f t="shared" si="9"/>
        <v>0.96553846153846257</v>
      </c>
      <c r="AG21" s="172"/>
    </row>
    <row r="22" spans="1:33" ht="15.75" customHeight="1">
      <c r="A22" s="195" t="s">
        <v>2557</v>
      </c>
      <c r="B22" s="37" t="s">
        <v>78</v>
      </c>
      <c r="C22" s="190" t="s">
        <v>94</v>
      </c>
      <c r="D22" s="190"/>
      <c r="E22" s="37">
        <v>57.3</v>
      </c>
      <c r="F22" s="4">
        <v>1881</v>
      </c>
      <c r="G22" s="4">
        <f t="shared" si="19"/>
        <v>107781.29999999999</v>
      </c>
      <c r="H22" s="22" t="s">
        <v>139</v>
      </c>
      <c r="I22" s="16">
        <v>13</v>
      </c>
      <c r="J22" s="18">
        <v>2000</v>
      </c>
      <c r="K22" s="17">
        <f t="shared" si="1"/>
        <v>153.84615384615384</v>
      </c>
      <c r="L22" s="16">
        <v>13</v>
      </c>
      <c r="M22" s="18">
        <f t="shared" si="20"/>
        <v>1912.881355932205</v>
      </c>
      <c r="N22" s="17">
        <f t="shared" si="3"/>
        <v>147.1447196870927</v>
      </c>
      <c r="O22" s="19">
        <f t="shared" si="4"/>
        <v>0</v>
      </c>
      <c r="P22" s="20">
        <f t="shared" si="5"/>
        <v>-6.7014341590611366</v>
      </c>
      <c r="Q22" s="21">
        <f t="shared" si="6"/>
        <v>0.95644067796610266</v>
      </c>
      <c r="R22" s="172"/>
      <c r="S22" s="28">
        <v>0.75902777777777775</v>
      </c>
      <c r="T22" s="28">
        <v>0.79999999999999993</v>
      </c>
      <c r="U22" s="4">
        <f t="shared" si="22"/>
        <v>7.9999999999999716</v>
      </c>
      <c r="V22" s="22">
        <f t="shared" si="21"/>
        <v>58.99999999999995</v>
      </c>
      <c r="W22" s="23"/>
      <c r="X22" s="4"/>
      <c r="Y22" s="4"/>
      <c r="Z22" s="4"/>
      <c r="AA22" s="164"/>
      <c r="AB22" s="164"/>
      <c r="AC22" s="25"/>
      <c r="AD22" s="25"/>
      <c r="AE22" s="19">
        <f t="shared" si="8"/>
        <v>-87.118644067795003</v>
      </c>
      <c r="AF22" s="21">
        <f t="shared" si="9"/>
        <v>0.95644067796610255</v>
      </c>
      <c r="AG22" s="172"/>
    </row>
    <row r="23" spans="1:33" ht="15.75" customHeight="1">
      <c r="A23" s="195" t="s">
        <v>2558</v>
      </c>
      <c r="B23" s="37" t="s">
        <v>78</v>
      </c>
      <c r="C23" s="190" t="s">
        <v>99</v>
      </c>
      <c r="D23" s="190"/>
      <c r="E23" s="37">
        <v>53.68</v>
      </c>
      <c r="F23" s="4">
        <v>1851</v>
      </c>
      <c r="G23" s="4">
        <f t="shared" si="19"/>
        <v>99361.68</v>
      </c>
      <c r="H23" s="22" t="s">
        <v>139</v>
      </c>
      <c r="I23" s="16">
        <v>16</v>
      </c>
      <c r="J23" s="18">
        <v>1500</v>
      </c>
      <c r="K23" s="17">
        <f t="shared" si="1"/>
        <v>93.75</v>
      </c>
      <c r="L23" s="16">
        <v>16</v>
      </c>
      <c r="M23" s="18">
        <f t="shared" si="20"/>
        <v>1442.3376623376616</v>
      </c>
      <c r="N23" s="17">
        <f t="shared" si="3"/>
        <v>90.146103896103853</v>
      </c>
      <c r="O23" s="19">
        <f t="shared" si="4"/>
        <v>0</v>
      </c>
      <c r="P23" s="20">
        <f t="shared" si="5"/>
        <v>-3.6038961038961475</v>
      </c>
      <c r="Q23" s="21">
        <f t="shared" si="6"/>
        <v>0.96155844155844106</v>
      </c>
      <c r="R23" s="172"/>
      <c r="S23" s="28">
        <v>0.80416666666666659</v>
      </c>
      <c r="T23" s="28">
        <v>0.85763888888888884</v>
      </c>
      <c r="U23" s="4">
        <f t="shared" si="22"/>
        <v>5.9999999999999787</v>
      </c>
      <c r="V23" s="22">
        <f t="shared" si="21"/>
        <v>77.000000000000043</v>
      </c>
      <c r="W23" s="23"/>
      <c r="X23" s="23"/>
      <c r="Y23" s="4"/>
      <c r="Z23" s="4"/>
      <c r="AA23" s="164"/>
      <c r="AB23" s="164"/>
      <c r="AC23" s="25"/>
      <c r="AD23" s="25"/>
      <c r="AE23" s="19">
        <f t="shared" si="8"/>
        <v>-57.662337662338359</v>
      </c>
      <c r="AF23" s="21">
        <f t="shared" si="9"/>
        <v>0.96155844155844106</v>
      </c>
      <c r="AG23" s="172"/>
    </row>
    <row r="24" spans="1:33" ht="15.75" customHeight="1">
      <c r="A24" s="195" t="s">
        <v>2559</v>
      </c>
      <c r="B24" s="37" t="s">
        <v>2560</v>
      </c>
      <c r="C24" s="177"/>
      <c r="D24" s="177"/>
      <c r="E24" s="38"/>
      <c r="F24" s="4"/>
      <c r="G24" s="4"/>
      <c r="H24" s="4"/>
      <c r="I24" s="30">
        <v>14.8</v>
      </c>
      <c r="J24" s="18">
        <v>1900</v>
      </c>
      <c r="K24" s="17">
        <f t="shared" si="1"/>
        <v>128.37837837837839</v>
      </c>
      <c r="L24" s="30">
        <v>14.8</v>
      </c>
      <c r="M24" s="18">
        <f>AVERAGE(M19:M23)</f>
        <v>1827.0758549360248</v>
      </c>
      <c r="N24" s="17">
        <f t="shared" si="3"/>
        <v>123.45107127946113</v>
      </c>
      <c r="O24" s="19">
        <f t="shared" si="4"/>
        <v>0</v>
      </c>
      <c r="P24" s="20">
        <f t="shared" si="5"/>
        <v>-4.9273070989172538</v>
      </c>
      <c r="Q24" s="21">
        <f t="shared" si="6"/>
        <v>0.96161887101896037</v>
      </c>
      <c r="R24" s="172"/>
      <c r="S24" s="28"/>
      <c r="T24" s="28"/>
      <c r="U24" s="17"/>
      <c r="V24" s="22"/>
      <c r="W24" s="17"/>
      <c r="X24" s="17"/>
      <c r="Y24" s="31">
        <f>SUM(Y19:Y23)</f>
        <v>0</v>
      </c>
      <c r="Z24" s="31">
        <f>SUM(Z19:Z23)</f>
        <v>0</v>
      </c>
      <c r="AA24" s="168"/>
      <c r="AB24" s="168"/>
      <c r="AC24" s="31">
        <v>5</v>
      </c>
      <c r="AD24" s="31">
        <f>SUM(AD19:AD23)</f>
        <v>0</v>
      </c>
      <c r="AE24" s="19">
        <f t="shared" si="8"/>
        <v>-72.924145063975175</v>
      </c>
      <c r="AF24" s="21">
        <f t="shared" si="9"/>
        <v>0.96161887101896049</v>
      </c>
      <c r="AG24" s="172"/>
    </row>
    <row r="25" spans="1:33" ht="15.75" customHeight="1">
      <c r="A25" s="193" t="s">
        <v>2561</v>
      </c>
      <c r="B25" s="37" t="s">
        <v>100</v>
      </c>
      <c r="C25" s="190" t="s">
        <v>101</v>
      </c>
      <c r="D25" s="190"/>
      <c r="E25" s="37">
        <v>31.29</v>
      </c>
      <c r="F25" s="4">
        <v>7462</v>
      </c>
      <c r="G25" s="4">
        <f t="shared" ref="G25:G29" si="23">E25*F25</f>
        <v>233485.97999999998</v>
      </c>
      <c r="H25" s="22" t="s">
        <v>139</v>
      </c>
      <c r="I25" s="16">
        <v>18</v>
      </c>
      <c r="J25" s="18">
        <v>2400</v>
      </c>
      <c r="K25" s="17">
        <f t="shared" si="1"/>
        <v>133.33333333333334</v>
      </c>
      <c r="L25" s="16">
        <v>18</v>
      </c>
      <c r="M25" s="18">
        <f t="shared" ref="M25:M29" si="24">F25/V25*60</f>
        <v>2284.2857142857151</v>
      </c>
      <c r="N25" s="17">
        <f t="shared" si="3"/>
        <v>126.90476190476195</v>
      </c>
      <c r="O25" s="19">
        <f t="shared" si="4"/>
        <v>0</v>
      </c>
      <c r="P25" s="20">
        <f t="shared" si="5"/>
        <v>-6.428571428571388</v>
      </c>
      <c r="Q25" s="21">
        <f t="shared" si="6"/>
        <v>0.95178571428571457</v>
      </c>
      <c r="R25" s="172">
        <f>Q30</f>
        <v>0.95558514605512801</v>
      </c>
      <c r="S25" s="28">
        <v>0.125</v>
      </c>
      <c r="T25" s="28">
        <v>0.26111111111111107</v>
      </c>
      <c r="U25" s="4"/>
      <c r="V25" s="22">
        <f t="shared" ref="V25:V29" si="25">(T25-S25)*24*60</f>
        <v>195.99999999999994</v>
      </c>
      <c r="W25" s="23">
        <f>T25</f>
        <v>0.26111111111111107</v>
      </c>
      <c r="X25" s="23">
        <f>S26</f>
        <v>0.28194444444444439</v>
      </c>
      <c r="Y25" s="23"/>
      <c r="Z25" s="23"/>
      <c r="AA25" s="164"/>
      <c r="AB25" s="164"/>
      <c r="AC25" s="25">
        <v>5</v>
      </c>
      <c r="AD25" s="25"/>
      <c r="AE25" s="19">
        <f t="shared" si="8"/>
        <v>-115.71428571428487</v>
      </c>
      <c r="AF25" s="21">
        <f t="shared" si="9"/>
        <v>0.95178571428571468</v>
      </c>
      <c r="AG25" s="172">
        <f>AF30</f>
        <v>0.9555851460551279</v>
      </c>
    </row>
    <row r="26" spans="1:33" ht="15.75" customHeight="1">
      <c r="A26" s="193" t="s">
        <v>2562</v>
      </c>
      <c r="B26" s="37" t="s">
        <v>100</v>
      </c>
      <c r="C26" s="190" t="s">
        <v>105</v>
      </c>
      <c r="D26" s="190"/>
      <c r="E26" s="37">
        <v>25.98</v>
      </c>
      <c r="F26" s="4">
        <v>2267</v>
      </c>
      <c r="G26" s="4">
        <f t="shared" si="23"/>
        <v>58896.66</v>
      </c>
      <c r="H26" s="22" t="s">
        <v>139</v>
      </c>
      <c r="I26" s="16">
        <v>21</v>
      </c>
      <c r="J26" s="18">
        <v>2400</v>
      </c>
      <c r="K26" s="17">
        <f t="shared" si="1"/>
        <v>114.28571428571429</v>
      </c>
      <c r="L26" s="16">
        <v>21</v>
      </c>
      <c r="M26" s="18">
        <f t="shared" si="24"/>
        <v>2305.4237288135582</v>
      </c>
      <c r="N26" s="17">
        <f t="shared" si="3"/>
        <v>109.78208232445516</v>
      </c>
      <c r="O26" s="19">
        <f t="shared" si="4"/>
        <v>0</v>
      </c>
      <c r="P26" s="20">
        <f t="shared" si="5"/>
        <v>-4.5036319612591313</v>
      </c>
      <c r="Q26" s="21">
        <f t="shared" si="6"/>
        <v>0.96059322033898265</v>
      </c>
      <c r="R26" s="172"/>
      <c r="S26" s="28">
        <v>0.28194444444444439</v>
      </c>
      <c r="T26" s="28">
        <v>0.32291666666666663</v>
      </c>
      <c r="U26" s="4">
        <f t="shared" ref="U26:U29" si="26">(S26-T25)*24*60</f>
        <v>29.999999999999972</v>
      </c>
      <c r="V26" s="22">
        <f t="shared" si="25"/>
        <v>59.000000000000028</v>
      </c>
      <c r="W26" s="23"/>
      <c r="X26" s="23"/>
      <c r="Y26" s="23"/>
      <c r="Z26" s="23"/>
      <c r="AA26" s="164"/>
      <c r="AB26" s="164"/>
      <c r="AC26" s="25"/>
      <c r="AD26" s="25"/>
      <c r="AE26" s="19">
        <f t="shared" si="8"/>
        <v>-94.576271186441772</v>
      </c>
      <c r="AF26" s="21">
        <f t="shared" si="9"/>
        <v>0.96059322033898265</v>
      </c>
      <c r="AG26" s="172"/>
    </row>
    <row r="27" spans="1:33" ht="15.75" customHeight="1">
      <c r="A27" s="193" t="s">
        <v>61</v>
      </c>
      <c r="B27" s="37" t="s">
        <v>100</v>
      </c>
      <c r="C27" s="190" t="s">
        <v>102</v>
      </c>
      <c r="D27" s="190"/>
      <c r="E27" s="37">
        <v>26.2</v>
      </c>
      <c r="F27" s="4">
        <v>4172</v>
      </c>
      <c r="G27" s="4">
        <f t="shared" si="23"/>
        <v>109306.4</v>
      </c>
      <c r="H27" s="22" t="s">
        <v>139</v>
      </c>
      <c r="I27" s="16">
        <v>20</v>
      </c>
      <c r="J27" s="18">
        <v>2400</v>
      </c>
      <c r="K27" s="17">
        <f t="shared" si="1"/>
        <v>120</v>
      </c>
      <c r="L27" s="16">
        <v>20</v>
      </c>
      <c r="M27" s="18">
        <f t="shared" si="24"/>
        <v>2296.5137614678897</v>
      </c>
      <c r="N27" s="17">
        <f t="shared" si="3"/>
        <v>114.82568807339449</v>
      </c>
      <c r="O27" s="19">
        <f t="shared" si="4"/>
        <v>0</v>
      </c>
      <c r="P27" s="20">
        <f t="shared" si="5"/>
        <v>-5.1743119266055118</v>
      </c>
      <c r="Q27" s="21">
        <f t="shared" si="6"/>
        <v>0.9568807339449541</v>
      </c>
      <c r="R27" s="172"/>
      <c r="S27" s="28">
        <v>0.32847222222222217</v>
      </c>
      <c r="T27" s="28">
        <v>0.40416666666666662</v>
      </c>
      <c r="U27" s="4">
        <f t="shared" si="26"/>
        <v>7.9999999999999716</v>
      </c>
      <c r="V27" s="22">
        <f t="shared" si="25"/>
        <v>109.00000000000001</v>
      </c>
      <c r="W27" s="23"/>
      <c r="X27" s="23"/>
      <c r="Y27" s="23"/>
      <c r="Z27" s="23"/>
      <c r="AA27" s="164"/>
      <c r="AB27" s="164"/>
      <c r="AC27" s="25"/>
      <c r="AD27" s="25"/>
      <c r="AE27" s="19">
        <f t="shared" si="8"/>
        <v>-103.48623853211029</v>
      </c>
      <c r="AF27" s="21">
        <f t="shared" si="9"/>
        <v>0.9568807339449541</v>
      </c>
      <c r="AG27" s="172"/>
    </row>
    <row r="28" spans="1:33" ht="15.75" customHeight="1">
      <c r="A28" s="193" t="s">
        <v>2563</v>
      </c>
      <c r="B28" s="37" t="s">
        <v>100</v>
      </c>
      <c r="C28" s="190" t="s">
        <v>103</v>
      </c>
      <c r="D28" s="190"/>
      <c r="E28" s="37">
        <v>25.99</v>
      </c>
      <c r="F28" s="4">
        <v>3327</v>
      </c>
      <c r="G28" s="4">
        <f t="shared" si="23"/>
        <v>86468.73</v>
      </c>
      <c r="H28" s="22" t="s">
        <v>139</v>
      </c>
      <c r="I28" s="16">
        <v>14</v>
      </c>
      <c r="J28" s="18">
        <v>2400</v>
      </c>
      <c r="K28" s="17">
        <f t="shared" si="1"/>
        <v>171.42857142857142</v>
      </c>
      <c r="L28" s="16">
        <v>14</v>
      </c>
      <c r="M28" s="18">
        <f t="shared" si="24"/>
        <v>2294.4827586206893</v>
      </c>
      <c r="N28" s="17">
        <f t="shared" si="3"/>
        <v>163.89162561576353</v>
      </c>
      <c r="O28" s="19">
        <f t="shared" si="4"/>
        <v>0</v>
      </c>
      <c r="P28" s="20">
        <f t="shared" si="5"/>
        <v>-7.5369458128078861</v>
      </c>
      <c r="Q28" s="21">
        <f t="shared" si="6"/>
        <v>0.95603448275862069</v>
      </c>
      <c r="R28" s="172"/>
      <c r="S28" s="28">
        <v>0.40763888888888883</v>
      </c>
      <c r="T28" s="28">
        <v>0.4680555555555555</v>
      </c>
      <c r="U28" s="4">
        <f t="shared" si="26"/>
        <v>4.9999999999999822</v>
      </c>
      <c r="V28" s="22">
        <f t="shared" si="25"/>
        <v>87.000000000000014</v>
      </c>
      <c r="W28" s="23"/>
      <c r="X28" s="23"/>
      <c r="Y28" s="23"/>
      <c r="Z28" s="23"/>
      <c r="AA28" s="164"/>
      <c r="AB28" s="164"/>
      <c r="AC28" s="25"/>
      <c r="AD28" s="25"/>
      <c r="AE28" s="19">
        <f t="shared" si="8"/>
        <v>-105.51724137931069</v>
      </c>
      <c r="AF28" s="21">
        <f t="shared" si="9"/>
        <v>0.95603448275862057</v>
      </c>
      <c r="AG28" s="172"/>
    </row>
    <row r="29" spans="1:33" ht="15.75" customHeight="1">
      <c r="A29" s="193" t="s">
        <v>2564</v>
      </c>
      <c r="B29" s="37" t="s">
        <v>100</v>
      </c>
      <c r="C29" s="190" t="s">
        <v>107</v>
      </c>
      <c r="D29" s="190"/>
      <c r="E29" s="37">
        <v>26.18</v>
      </c>
      <c r="F29" s="4">
        <v>1448</v>
      </c>
      <c r="G29" s="4">
        <f t="shared" si="23"/>
        <v>37908.639999999999</v>
      </c>
      <c r="H29" s="22" t="s">
        <v>139</v>
      </c>
      <c r="I29" s="16">
        <v>19</v>
      </c>
      <c r="J29" s="18">
        <v>2400</v>
      </c>
      <c r="K29" s="17">
        <f t="shared" si="1"/>
        <v>126.31578947368421</v>
      </c>
      <c r="L29" s="16">
        <v>19</v>
      </c>
      <c r="M29" s="18">
        <f t="shared" si="24"/>
        <v>2286.3157894736828</v>
      </c>
      <c r="N29" s="17">
        <f t="shared" si="3"/>
        <v>120.33240997229909</v>
      </c>
      <c r="O29" s="19">
        <f t="shared" si="4"/>
        <v>0</v>
      </c>
      <c r="P29" s="20">
        <f t="shared" si="5"/>
        <v>-5.9833795013851159</v>
      </c>
      <c r="Q29" s="21">
        <f t="shared" si="6"/>
        <v>0.95263157894736783</v>
      </c>
      <c r="R29" s="172"/>
      <c r="S29" s="28">
        <v>0.47361111111111104</v>
      </c>
      <c r="T29" s="28">
        <v>0.49999999999999994</v>
      </c>
      <c r="U29" s="4">
        <f t="shared" si="26"/>
        <v>7.9999999999999716</v>
      </c>
      <c r="V29" s="22">
        <f t="shared" si="25"/>
        <v>38.000000000000028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8"/>
        <v>-113.6842105263172</v>
      </c>
      <c r="AF29" s="21">
        <f t="shared" si="9"/>
        <v>0.95263157894736783</v>
      </c>
      <c r="AG29" s="172"/>
    </row>
    <row r="30" spans="1:33" ht="15.75" customHeight="1">
      <c r="A30" s="193" t="s">
        <v>2564</v>
      </c>
      <c r="B30" s="37" t="s">
        <v>2565</v>
      </c>
      <c r="C30" s="177"/>
      <c r="D30" s="177"/>
      <c r="E30" s="38"/>
      <c r="F30" s="4"/>
      <c r="G30" s="4"/>
      <c r="H30" s="4"/>
      <c r="I30" s="30">
        <v>18.399999999999999</v>
      </c>
      <c r="J30" s="18">
        <v>2400</v>
      </c>
      <c r="K30" s="17">
        <f t="shared" si="1"/>
        <v>130.43478260869566</v>
      </c>
      <c r="L30" s="30">
        <v>18.399999999999999</v>
      </c>
      <c r="M30" s="18">
        <f>AVERAGE(M25:M29)</f>
        <v>2293.404350532307</v>
      </c>
      <c r="N30" s="17">
        <f t="shared" si="3"/>
        <v>124.64154078979931</v>
      </c>
      <c r="O30" s="19">
        <f t="shared" si="4"/>
        <v>0</v>
      </c>
      <c r="P30" s="20">
        <f t="shared" si="5"/>
        <v>-5.7932418188963481</v>
      </c>
      <c r="Q30" s="21">
        <f t="shared" si="6"/>
        <v>0.95558514605512801</v>
      </c>
      <c r="R30" s="172"/>
      <c r="S30" s="28"/>
      <c r="T30" s="28"/>
      <c r="U30" s="4"/>
      <c r="V30" s="22"/>
      <c r="W30" s="4"/>
      <c r="X30" s="4"/>
      <c r="Y30" s="31">
        <f>SUM(Y25:Y29)</f>
        <v>0</v>
      </c>
      <c r="Z30" s="31">
        <f>SUM(Z25:Z29)</f>
        <v>0</v>
      </c>
      <c r="AA30" s="168"/>
      <c r="AB30" s="168"/>
      <c r="AC30" s="31">
        <v>5</v>
      </c>
      <c r="AD30" s="31">
        <f>SUM(AD25:AD29)</f>
        <v>0</v>
      </c>
      <c r="AE30" s="19">
        <f t="shared" si="8"/>
        <v>-106.59564946769297</v>
      </c>
      <c r="AF30" s="21">
        <f t="shared" si="9"/>
        <v>0.9555851460551279</v>
      </c>
      <c r="AG30" s="172"/>
    </row>
    <row r="31" spans="1:33" ht="15.75" customHeight="1">
      <c r="A31" s="191" t="s">
        <v>2566</v>
      </c>
      <c r="B31" s="37" t="s">
        <v>100</v>
      </c>
      <c r="C31" s="165" t="s">
        <v>106</v>
      </c>
      <c r="D31" s="165"/>
      <c r="E31" s="37">
        <v>26.2</v>
      </c>
      <c r="F31" s="4">
        <v>5470</v>
      </c>
      <c r="G31" s="4">
        <f t="shared" ref="G31:G35" si="27">E31*F31</f>
        <v>143314</v>
      </c>
      <c r="H31" s="22" t="s">
        <v>139</v>
      </c>
      <c r="I31" s="16">
        <v>18</v>
      </c>
      <c r="J31" s="18">
        <v>2400</v>
      </c>
      <c r="K31" s="17">
        <f t="shared" si="1"/>
        <v>133.33333333333334</v>
      </c>
      <c r="L31" s="16">
        <v>18</v>
      </c>
      <c r="M31" s="18">
        <f t="shared" ref="M31:M35" si="28">F31/V31*60</f>
        <v>2295.1048951048956</v>
      </c>
      <c r="N31" s="17">
        <f t="shared" si="3"/>
        <v>127.50582750582754</v>
      </c>
      <c r="O31" s="19">
        <f t="shared" si="4"/>
        <v>0</v>
      </c>
      <c r="P31" s="20">
        <f t="shared" si="5"/>
        <v>-5.8275058275058029</v>
      </c>
      <c r="Q31" s="21">
        <f t="shared" si="6"/>
        <v>0.95629370629370647</v>
      </c>
      <c r="R31" s="172">
        <f>Q36</f>
        <v>0.95791834216616401</v>
      </c>
      <c r="S31" s="28">
        <v>0.125</v>
      </c>
      <c r="T31" s="28">
        <v>0.22430555555555554</v>
      </c>
      <c r="U31" s="4"/>
      <c r="V31" s="22">
        <f t="shared" ref="V31:V35" si="29">(T31-S31)*24*60</f>
        <v>142.99999999999997</v>
      </c>
      <c r="W31" s="28">
        <f>T31</f>
        <v>0.22430555555555554</v>
      </c>
      <c r="X31" s="28">
        <f>S32</f>
        <v>0.24236111111111108</v>
      </c>
      <c r="Y31" s="28"/>
      <c r="Z31" s="28"/>
      <c r="AA31" s="164"/>
      <c r="AB31" s="164"/>
      <c r="AC31" s="25">
        <v>5</v>
      </c>
      <c r="AD31" s="25"/>
      <c r="AE31" s="19">
        <f t="shared" si="8"/>
        <v>-104.8951048951044</v>
      </c>
      <c r="AF31" s="21">
        <f t="shared" si="9"/>
        <v>0.95629370629370647</v>
      </c>
      <c r="AG31" s="172">
        <f>AF36</f>
        <v>0.95791834216616389</v>
      </c>
    </row>
    <row r="32" spans="1:33" ht="15.75" customHeight="1">
      <c r="A32" s="191" t="s">
        <v>2567</v>
      </c>
      <c r="B32" s="37" t="s">
        <v>100</v>
      </c>
      <c r="C32" s="165" t="s">
        <v>104</v>
      </c>
      <c r="D32" s="165"/>
      <c r="E32" s="37">
        <v>20.52</v>
      </c>
      <c r="F32" s="4">
        <v>3068</v>
      </c>
      <c r="G32" s="4">
        <f t="shared" si="27"/>
        <v>62955.360000000001</v>
      </c>
      <c r="H32" s="22" t="s">
        <v>139</v>
      </c>
      <c r="I32" s="16">
        <v>18</v>
      </c>
      <c r="J32" s="18">
        <v>2400</v>
      </c>
      <c r="K32" s="17">
        <f t="shared" si="1"/>
        <v>133.33333333333334</v>
      </c>
      <c r="L32" s="16">
        <v>18</v>
      </c>
      <c r="M32" s="18">
        <f t="shared" si="28"/>
        <v>2301.0000000000014</v>
      </c>
      <c r="N32" s="17">
        <f t="shared" si="3"/>
        <v>127.83333333333341</v>
      </c>
      <c r="O32" s="19">
        <f t="shared" si="4"/>
        <v>0</v>
      </c>
      <c r="P32" s="20">
        <f t="shared" si="5"/>
        <v>-5.4999999999999289</v>
      </c>
      <c r="Q32" s="21">
        <f t="shared" si="6"/>
        <v>0.95875000000000055</v>
      </c>
      <c r="R32" s="172"/>
      <c r="S32" s="28">
        <v>0.24236111111111108</v>
      </c>
      <c r="T32" s="28">
        <v>0.29791666666666661</v>
      </c>
      <c r="U32" s="4">
        <f t="shared" ref="U32:U35" si="30">(S32-T31)*24*60</f>
        <v>25.999999999999986</v>
      </c>
      <c r="V32" s="22">
        <f t="shared" si="29"/>
        <v>79.999999999999957</v>
      </c>
      <c r="W32" s="4"/>
      <c r="X32" s="4"/>
      <c r="Y32" s="4"/>
      <c r="Z32" s="4"/>
      <c r="AA32" s="164"/>
      <c r="AB32" s="164"/>
      <c r="AC32" s="25"/>
      <c r="AD32" s="25"/>
      <c r="AE32" s="19">
        <f t="shared" si="8"/>
        <v>-98.999999999998636</v>
      </c>
      <c r="AF32" s="21">
        <f t="shared" si="9"/>
        <v>0.95875000000000055</v>
      </c>
      <c r="AG32" s="172"/>
    </row>
    <row r="33" spans="1:33">
      <c r="A33" s="192" t="s">
        <v>2568</v>
      </c>
      <c r="B33" s="37" t="s">
        <v>100</v>
      </c>
      <c r="C33" s="165" t="s">
        <v>108</v>
      </c>
      <c r="D33" s="165"/>
      <c r="E33" s="37">
        <v>26.39</v>
      </c>
      <c r="F33" s="4">
        <v>4517</v>
      </c>
      <c r="G33" s="4">
        <f t="shared" si="27"/>
        <v>119203.63</v>
      </c>
      <c r="H33" s="22" t="s">
        <v>139</v>
      </c>
      <c r="I33" s="16">
        <v>19</v>
      </c>
      <c r="J33" s="18">
        <v>2400</v>
      </c>
      <c r="K33" s="17">
        <f t="shared" si="1"/>
        <v>126.31578947368421</v>
      </c>
      <c r="L33" s="16">
        <v>19</v>
      </c>
      <c r="M33" s="18">
        <f t="shared" si="28"/>
        <v>2296.7796610169494</v>
      </c>
      <c r="N33" s="17">
        <f t="shared" si="3"/>
        <v>120.88314005352365</v>
      </c>
      <c r="O33" s="19">
        <f t="shared" si="4"/>
        <v>0</v>
      </c>
      <c r="P33" s="20">
        <f t="shared" si="5"/>
        <v>-5.4326494201605584</v>
      </c>
      <c r="Q33" s="21">
        <f t="shared" si="6"/>
        <v>0.95699152542372889</v>
      </c>
      <c r="R33" s="172"/>
      <c r="S33" s="28">
        <v>0.3027777777777777</v>
      </c>
      <c r="T33" s="28">
        <v>0.38472222222222213</v>
      </c>
      <c r="U33" s="4">
        <f t="shared" si="30"/>
        <v>6.9999999999999751</v>
      </c>
      <c r="V33" s="22">
        <f t="shared" si="29"/>
        <v>117.99999999999999</v>
      </c>
      <c r="W33" s="4"/>
      <c r="X33" s="4"/>
      <c r="Y33" s="4"/>
      <c r="Z33" s="4"/>
      <c r="AA33" s="164"/>
      <c r="AB33" s="164"/>
      <c r="AC33" s="25"/>
      <c r="AD33" s="25"/>
      <c r="AE33" s="19">
        <f t="shared" si="8"/>
        <v>-103.22033898305062</v>
      </c>
      <c r="AF33" s="21">
        <f t="shared" si="9"/>
        <v>0.95699152542372889</v>
      </c>
      <c r="AG33" s="172"/>
    </row>
    <row r="34" spans="1:33">
      <c r="A34" s="192" t="s">
        <v>2569</v>
      </c>
      <c r="B34" s="37" t="s">
        <v>100</v>
      </c>
      <c r="C34" s="165" t="s">
        <v>137</v>
      </c>
      <c r="D34" s="165"/>
      <c r="E34" s="37">
        <v>20.21</v>
      </c>
      <c r="F34" s="4">
        <v>2639</v>
      </c>
      <c r="G34" s="4">
        <f t="shared" si="27"/>
        <v>53334.19</v>
      </c>
      <c r="H34" s="22" t="s">
        <v>139</v>
      </c>
      <c r="I34" s="16">
        <v>15</v>
      </c>
      <c r="J34" s="18">
        <v>2400</v>
      </c>
      <c r="K34" s="17">
        <f t="shared" si="1"/>
        <v>160</v>
      </c>
      <c r="L34" s="16">
        <v>15</v>
      </c>
      <c r="M34" s="18">
        <f t="shared" si="28"/>
        <v>2294.782608695652</v>
      </c>
      <c r="N34" s="17">
        <f t="shared" si="3"/>
        <v>152.98550724637681</v>
      </c>
      <c r="O34" s="19">
        <f t="shared" si="4"/>
        <v>0</v>
      </c>
      <c r="P34" s="20">
        <f t="shared" si="5"/>
        <v>-7.0144927536231876</v>
      </c>
      <c r="Q34" s="21">
        <f t="shared" si="6"/>
        <v>0.95615942028985512</v>
      </c>
      <c r="R34" s="172"/>
      <c r="S34" s="28">
        <v>0.38958333333333323</v>
      </c>
      <c r="T34" s="28">
        <v>0.43749999999999989</v>
      </c>
      <c r="U34" s="4">
        <f t="shared" si="30"/>
        <v>6.9999999999999751</v>
      </c>
      <c r="V34" s="22">
        <f t="shared" si="29"/>
        <v>69</v>
      </c>
      <c r="W34" s="23"/>
      <c r="X34" s="23"/>
      <c r="Y34" s="23"/>
      <c r="Z34" s="23"/>
      <c r="AA34" s="164"/>
      <c r="AB34" s="164"/>
      <c r="AC34" s="25"/>
      <c r="AD34" s="25"/>
      <c r="AE34" s="19">
        <f t="shared" si="8"/>
        <v>-105.21739130434798</v>
      </c>
      <c r="AF34" s="21">
        <f t="shared" si="9"/>
        <v>0.95615942028985501</v>
      </c>
      <c r="AG34" s="172"/>
    </row>
    <row r="35" spans="1:33">
      <c r="A35" s="192" t="s">
        <v>2570</v>
      </c>
      <c r="B35" s="37" t="s">
        <v>100</v>
      </c>
      <c r="C35" s="165" t="s">
        <v>134</v>
      </c>
      <c r="D35" s="165"/>
      <c r="E35" s="37">
        <v>20.52</v>
      </c>
      <c r="F35" s="4">
        <v>2615</v>
      </c>
      <c r="G35" s="4">
        <f t="shared" si="27"/>
        <v>53659.799999999996</v>
      </c>
      <c r="H35" s="22" t="s">
        <v>139</v>
      </c>
      <c r="I35" s="16">
        <v>18</v>
      </c>
      <c r="J35" s="18">
        <v>2400</v>
      </c>
      <c r="K35" s="17">
        <f t="shared" si="1"/>
        <v>133.33333333333334</v>
      </c>
      <c r="L35" s="16">
        <v>18</v>
      </c>
      <c r="M35" s="18">
        <f t="shared" si="28"/>
        <v>2307.3529411764703</v>
      </c>
      <c r="N35" s="17">
        <f t="shared" si="3"/>
        <v>128.18627450980389</v>
      </c>
      <c r="O35" s="19">
        <f t="shared" si="4"/>
        <v>0</v>
      </c>
      <c r="P35" s="20">
        <f t="shared" si="5"/>
        <v>-5.1470588235294485</v>
      </c>
      <c r="Q35" s="21">
        <f t="shared" si="6"/>
        <v>0.9613970588235291</v>
      </c>
      <c r="R35" s="172"/>
      <c r="S35" s="28">
        <v>0.44305555555555542</v>
      </c>
      <c r="T35" s="28">
        <v>0.49027777777777765</v>
      </c>
      <c r="U35" s="4">
        <f t="shared" si="30"/>
        <v>7.9999999999999716</v>
      </c>
      <c r="V35" s="22">
        <f t="shared" si="29"/>
        <v>68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8"/>
        <v>-92.647058823529733</v>
      </c>
      <c r="AF35" s="21">
        <f t="shared" si="9"/>
        <v>0.96139705882352933</v>
      </c>
      <c r="AG35" s="172"/>
    </row>
    <row r="36" spans="1:33">
      <c r="A36" s="192" t="s">
        <v>2571</v>
      </c>
      <c r="B36" s="17" t="s">
        <v>51</v>
      </c>
      <c r="C36" s="177"/>
      <c r="D36" s="177"/>
      <c r="E36" s="38"/>
      <c r="F36" s="17"/>
      <c r="G36" s="17"/>
      <c r="H36" s="4"/>
      <c r="I36" s="30">
        <v>17.600000000000001</v>
      </c>
      <c r="J36" s="18">
        <v>2400</v>
      </c>
      <c r="K36" s="17">
        <f t="shared" si="1"/>
        <v>136.36363636363635</v>
      </c>
      <c r="L36" s="30">
        <v>17.600000000000001</v>
      </c>
      <c r="M36" s="18">
        <f>AVERAGE(M31:M35)</f>
        <v>2299.0040211987935</v>
      </c>
      <c r="N36" s="17">
        <f t="shared" si="3"/>
        <v>130.62522847720416</v>
      </c>
      <c r="O36" s="19">
        <f t="shared" si="4"/>
        <v>0</v>
      </c>
      <c r="P36" s="20">
        <f t="shared" si="5"/>
        <v>-5.738407886432185</v>
      </c>
      <c r="Q36" s="21">
        <f t="shared" si="6"/>
        <v>0.95791834216616401</v>
      </c>
      <c r="R36" s="172"/>
      <c r="S36" s="28"/>
      <c r="T36" s="28"/>
      <c r="U36" s="17"/>
      <c r="V36" s="22"/>
      <c r="W36" s="17"/>
      <c r="X36" s="17"/>
      <c r="Y36" s="31">
        <f>SUM(Y31:Y35)</f>
        <v>0</v>
      </c>
      <c r="Z36" s="31">
        <f>SUM(Z31:Z35)</f>
        <v>0</v>
      </c>
      <c r="AA36" s="168"/>
      <c r="AB36" s="168"/>
      <c r="AC36" s="31">
        <v>5</v>
      </c>
      <c r="AD36" s="31">
        <f>SUM(AD31:AD35)</f>
        <v>0</v>
      </c>
      <c r="AE36" s="19">
        <f t="shared" si="8"/>
        <v>-100.99597880120655</v>
      </c>
      <c r="AF36" s="21">
        <f t="shared" si="9"/>
        <v>0.95791834216616389</v>
      </c>
      <c r="AG36" s="172"/>
    </row>
    <row r="37" spans="1:33" ht="15.75" customHeight="1">
      <c r="A37" s="184" t="s">
        <v>2572</v>
      </c>
      <c r="B37" s="37" t="s">
        <v>111</v>
      </c>
      <c r="C37" s="173" t="s">
        <v>403</v>
      </c>
      <c r="D37" s="174"/>
      <c r="E37" s="37">
        <v>34.36</v>
      </c>
      <c r="F37" s="4">
        <v>2281</v>
      </c>
      <c r="G37" s="4">
        <f t="shared" ref="G37:G41" si="31">E37*F37</f>
        <v>78375.16</v>
      </c>
      <c r="H37" s="22" t="s">
        <v>139</v>
      </c>
      <c r="I37" s="16">
        <v>10</v>
      </c>
      <c r="J37" s="18">
        <v>3000</v>
      </c>
      <c r="K37" s="17">
        <f t="shared" si="1"/>
        <v>300</v>
      </c>
      <c r="L37" s="16">
        <v>10</v>
      </c>
      <c r="M37" s="18">
        <f t="shared" ref="M37:M41" si="32">F37/V37*60</f>
        <v>2851.2500000000009</v>
      </c>
      <c r="N37" s="18">
        <f t="shared" si="3"/>
        <v>285.12500000000011</v>
      </c>
      <c r="O37" s="19">
        <f t="shared" si="4"/>
        <v>0</v>
      </c>
      <c r="P37" s="20">
        <f t="shared" si="5"/>
        <v>-14.874999999999886</v>
      </c>
      <c r="Q37" s="21">
        <f t="shared" si="6"/>
        <v>0.95041666666666702</v>
      </c>
      <c r="R37" s="187">
        <f>Q42</f>
        <v>0.95571980546604629</v>
      </c>
      <c r="S37" s="28">
        <v>0.20833333333333334</v>
      </c>
      <c r="T37" s="28">
        <v>0.24166666666666667</v>
      </c>
      <c r="U37" s="28"/>
      <c r="V37" s="22">
        <f t="shared" ref="V37:V41" si="33">(T37-S37)*24*60</f>
        <v>47.999999999999986</v>
      </c>
      <c r="W37" s="23"/>
      <c r="X37" s="23"/>
      <c r="Y37" s="26"/>
      <c r="Z37" s="26"/>
      <c r="AA37" s="175"/>
      <c r="AB37" s="176"/>
      <c r="AC37" s="25">
        <v>5</v>
      </c>
      <c r="AD37" s="25"/>
      <c r="AE37" s="19">
        <f t="shared" si="8"/>
        <v>-148.74999999999909</v>
      </c>
      <c r="AF37" s="21">
        <f t="shared" si="9"/>
        <v>0.95041666666666702</v>
      </c>
      <c r="AG37" s="187">
        <f>AF42</f>
        <v>0.95571980546604618</v>
      </c>
    </row>
    <row r="38" spans="1:33" ht="15.75" customHeight="1">
      <c r="A38" s="185" t="s">
        <v>2573</v>
      </c>
      <c r="B38" s="37" t="s">
        <v>111</v>
      </c>
      <c r="C38" s="173" t="s">
        <v>115</v>
      </c>
      <c r="D38" s="174"/>
      <c r="E38" s="37">
        <v>26.78</v>
      </c>
      <c r="F38" s="4">
        <v>2728</v>
      </c>
      <c r="G38" s="4">
        <f t="shared" si="31"/>
        <v>73055.839999999997</v>
      </c>
      <c r="H38" s="22" t="s">
        <v>139</v>
      </c>
      <c r="I38" s="16">
        <v>10</v>
      </c>
      <c r="J38" s="18">
        <v>3000</v>
      </c>
      <c r="K38" s="17">
        <f t="shared" si="1"/>
        <v>300</v>
      </c>
      <c r="L38" s="16">
        <v>10</v>
      </c>
      <c r="M38" s="18">
        <f t="shared" si="32"/>
        <v>2871.5789473684235</v>
      </c>
      <c r="N38" s="18">
        <f t="shared" si="3"/>
        <v>287.15789473684237</v>
      </c>
      <c r="O38" s="19">
        <f t="shared" si="4"/>
        <v>0</v>
      </c>
      <c r="P38" s="20">
        <f t="shared" si="5"/>
        <v>-12.842105263157634</v>
      </c>
      <c r="Q38" s="21">
        <f t="shared" si="6"/>
        <v>0.95719298245614126</v>
      </c>
      <c r="R38" s="188"/>
      <c r="S38" s="28">
        <v>0.24722222222222223</v>
      </c>
      <c r="T38" s="28">
        <v>0.28680555555555554</v>
      </c>
      <c r="U38" s="4">
        <f t="shared" ref="U38:U41" si="34">(S38-T37)*24*60</f>
        <v>8.0000000000000107</v>
      </c>
      <c r="V38" s="22">
        <f t="shared" si="33"/>
        <v>56.999999999999957</v>
      </c>
      <c r="W38" s="23"/>
      <c r="X38" s="23"/>
      <c r="Y38" s="26"/>
      <c r="Z38" s="26"/>
      <c r="AA38" s="175"/>
      <c r="AB38" s="176"/>
      <c r="AC38" s="25"/>
      <c r="AD38" s="25"/>
      <c r="AE38" s="19">
        <f t="shared" si="8"/>
        <v>-128.42105263157646</v>
      </c>
      <c r="AF38" s="21">
        <f t="shared" si="9"/>
        <v>0.95719298245614115</v>
      </c>
      <c r="AG38" s="188"/>
    </row>
    <row r="39" spans="1:33" ht="15.75" customHeight="1">
      <c r="A39" s="185" t="s">
        <v>2574</v>
      </c>
      <c r="B39" s="37" t="s">
        <v>111</v>
      </c>
      <c r="C39" s="173" t="s">
        <v>112</v>
      </c>
      <c r="D39" s="174"/>
      <c r="E39" s="37">
        <v>21.13</v>
      </c>
      <c r="F39" s="4">
        <v>4677</v>
      </c>
      <c r="G39" s="4">
        <f t="shared" si="31"/>
        <v>98825.01</v>
      </c>
      <c r="H39" s="22" t="s">
        <v>139</v>
      </c>
      <c r="I39" s="16">
        <v>10</v>
      </c>
      <c r="J39" s="18">
        <v>3000</v>
      </c>
      <c r="K39" s="17">
        <f t="shared" si="1"/>
        <v>300</v>
      </c>
      <c r="L39" s="16">
        <v>10</v>
      </c>
      <c r="M39" s="18">
        <f t="shared" si="32"/>
        <v>2863.4693877551026</v>
      </c>
      <c r="N39" s="18">
        <f t="shared" si="3"/>
        <v>286.34693877551024</v>
      </c>
      <c r="O39" s="19">
        <f t="shared" si="4"/>
        <v>0</v>
      </c>
      <c r="P39" s="20">
        <f t="shared" si="5"/>
        <v>-13.653061224489761</v>
      </c>
      <c r="Q39" s="21">
        <f t="shared" si="6"/>
        <v>0.95448979591836747</v>
      </c>
      <c r="R39" s="188"/>
      <c r="S39" s="28">
        <v>0.29236111111111107</v>
      </c>
      <c r="T39" s="28">
        <v>0.36041666666666661</v>
      </c>
      <c r="U39" s="4">
        <f t="shared" si="34"/>
        <v>7.9999999999999716</v>
      </c>
      <c r="V39" s="22">
        <f t="shared" si="33"/>
        <v>97.999999999999972</v>
      </c>
      <c r="W39" s="23"/>
      <c r="X39" s="23"/>
      <c r="Y39" s="26"/>
      <c r="Z39" s="26"/>
      <c r="AA39" s="175"/>
      <c r="AB39" s="176"/>
      <c r="AC39" s="25"/>
      <c r="AD39" s="25"/>
      <c r="AE39" s="19">
        <f t="shared" si="8"/>
        <v>-136.53061224489738</v>
      </c>
      <c r="AF39" s="21">
        <f t="shared" si="9"/>
        <v>0.95448979591836758</v>
      </c>
      <c r="AG39" s="188"/>
    </row>
    <row r="40" spans="1:33" ht="15.75" customHeight="1">
      <c r="A40" s="185" t="s">
        <v>2575</v>
      </c>
      <c r="B40" s="37" t="s">
        <v>111</v>
      </c>
      <c r="C40" s="173" t="s">
        <v>113</v>
      </c>
      <c r="D40" s="174"/>
      <c r="E40" s="37">
        <v>27.17</v>
      </c>
      <c r="F40" s="4">
        <v>6016</v>
      </c>
      <c r="G40" s="4">
        <f t="shared" si="31"/>
        <v>163454.72</v>
      </c>
      <c r="H40" s="22" t="s">
        <v>139</v>
      </c>
      <c r="I40" s="16">
        <v>10</v>
      </c>
      <c r="J40" s="18">
        <v>3000</v>
      </c>
      <c r="K40" s="17">
        <f t="shared" si="1"/>
        <v>300</v>
      </c>
      <c r="L40" s="16">
        <v>10</v>
      </c>
      <c r="M40" s="18">
        <f t="shared" si="32"/>
        <v>2864.7619047619041</v>
      </c>
      <c r="N40" s="18">
        <f t="shared" si="3"/>
        <v>286.47619047619042</v>
      </c>
      <c r="O40" s="19">
        <f t="shared" si="4"/>
        <v>0</v>
      </c>
      <c r="P40" s="20">
        <f t="shared" si="5"/>
        <v>-13.523809523809575</v>
      </c>
      <c r="Q40" s="21">
        <f t="shared" si="6"/>
        <v>0.95492063492063473</v>
      </c>
      <c r="R40" s="188"/>
      <c r="S40" s="28">
        <v>0.36458333333333326</v>
      </c>
      <c r="T40" s="28">
        <v>0.45208333333333328</v>
      </c>
      <c r="U40" s="4">
        <f t="shared" si="34"/>
        <v>5.9999999999999787</v>
      </c>
      <c r="V40" s="22">
        <f t="shared" si="33"/>
        <v>126.00000000000003</v>
      </c>
      <c r="W40" s="23"/>
      <c r="X40" s="23"/>
      <c r="Y40" s="26"/>
      <c r="Z40" s="26"/>
      <c r="AA40" s="175"/>
      <c r="AB40" s="176"/>
      <c r="AC40" s="25"/>
      <c r="AD40" s="25"/>
      <c r="AE40" s="19">
        <f t="shared" si="8"/>
        <v>-135.23809523809587</v>
      </c>
      <c r="AF40" s="21">
        <f t="shared" si="9"/>
        <v>0.95492063492063473</v>
      </c>
      <c r="AG40" s="188"/>
    </row>
    <row r="41" spans="1:33" ht="15.75" customHeight="1">
      <c r="A41" s="185" t="s">
        <v>2576</v>
      </c>
      <c r="B41" s="37" t="s">
        <v>111</v>
      </c>
      <c r="C41" s="173" t="s">
        <v>116</v>
      </c>
      <c r="D41" s="174"/>
      <c r="E41" s="37">
        <v>35.869999999999997</v>
      </c>
      <c r="F41" s="4">
        <v>3654</v>
      </c>
      <c r="G41" s="4">
        <f t="shared" si="31"/>
        <v>131068.98</v>
      </c>
      <c r="H41" s="22" t="s">
        <v>139</v>
      </c>
      <c r="I41" s="16">
        <v>9</v>
      </c>
      <c r="J41" s="18">
        <v>3000</v>
      </c>
      <c r="K41" s="17">
        <f t="shared" si="1"/>
        <v>333.33333333333331</v>
      </c>
      <c r="L41" s="16">
        <v>9</v>
      </c>
      <c r="M41" s="18">
        <f t="shared" si="32"/>
        <v>2884.7368421052611</v>
      </c>
      <c r="N41" s="18">
        <f t="shared" si="3"/>
        <v>320.52631578947347</v>
      </c>
      <c r="O41" s="19">
        <f t="shared" si="4"/>
        <v>0</v>
      </c>
      <c r="P41" s="20">
        <f t="shared" si="5"/>
        <v>-12.807017543859843</v>
      </c>
      <c r="Q41" s="21">
        <f t="shared" si="6"/>
        <v>0.96157894736842042</v>
      </c>
      <c r="R41" s="188"/>
      <c r="S41" s="28">
        <v>0.45763888888888882</v>
      </c>
      <c r="T41" s="28">
        <v>0.51041666666666663</v>
      </c>
      <c r="U41" s="4">
        <f t="shared" si="34"/>
        <v>7.9999999999999716</v>
      </c>
      <c r="V41" s="22">
        <f t="shared" si="33"/>
        <v>76.000000000000057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8"/>
        <v>-115.26315789473892</v>
      </c>
      <c r="AF41" s="21">
        <f t="shared" si="9"/>
        <v>0.96157894736842031</v>
      </c>
      <c r="AG41" s="188"/>
    </row>
    <row r="42" spans="1:33" ht="15.75" customHeight="1">
      <c r="A42" s="186" t="s">
        <v>67</v>
      </c>
      <c r="B42" s="37" t="s">
        <v>2577</v>
      </c>
      <c r="C42" s="166"/>
      <c r="D42" s="167"/>
      <c r="E42" s="41"/>
      <c r="F42" s="4"/>
      <c r="G42" s="4"/>
      <c r="H42" s="4"/>
      <c r="I42" s="30">
        <v>9.8000000000000007</v>
      </c>
      <c r="J42" s="18">
        <v>3000</v>
      </c>
      <c r="K42" s="17">
        <f t="shared" si="1"/>
        <v>306.12244897959181</v>
      </c>
      <c r="L42" s="30">
        <v>9.8000000000000007</v>
      </c>
      <c r="M42" s="18">
        <f>AVERAGE(M37:M41)</f>
        <v>2867.1594163981385</v>
      </c>
      <c r="N42" s="17">
        <f t="shared" si="3"/>
        <v>292.56728738756516</v>
      </c>
      <c r="O42" s="19">
        <f t="shared" si="4"/>
        <v>0</v>
      </c>
      <c r="P42" s="20">
        <f t="shared" si="5"/>
        <v>-13.55516159202665</v>
      </c>
      <c r="Q42" s="21">
        <f t="shared" si="6"/>
        <v>0.95571980546604629</v>
      </c>
      <c r="R42" s="189"/>
      <c r="S42" s="28"/>
      <c r="T42" s="28"/>
      <c r="U42" s="4"/>
      <c r="V42" s="22"/>
      <c r="W42" s="23"/>
      <c r="X42" s="23"/>
      <c r="Y42" s="31">
        <f>SUM(Y37:Y41)</f>
        <v>0</v>
      </c>
      <c r="Z42" s="31">
        <f>SUM(Z37:Z41)</f>
        <v>0</v>
      </c>
      <c r="AA42" s="180"/>
      <c r="AB42" s="181"/>
      <c r="AC42" s="31">
        <v>5</v>
      </c>
      <c r="AD42" s="31">
        <f>SUM(AD37:AD41)</f>
        <v>0</v>
      </c>
      <c r="AE42" s="19">
        <f t="shared" si="8"/>
        <v>-132.84058360186145</v>
      </c>
      <c r="AF42" s="21">
        <f t="shared" si="9"/>
        <v>0.95571980546604618</v>
      </c>
      <c r="AG42" s="189"/>
    </row>
    <row r="43" spans="1:33" ht="15.75" customHeight="1">
      <c r="A43" s="182" t="s">
        <v>70</v>
      </c>
      <c r="B43" s="37" t="s">
        <v>84</v>
      </c>
      <c r="C43" s="165" t="s">
        <v>119</v>
      </c>
      <c r="D43" s="165"/>
      <c r="E43" s="37">
        <v>46</v>
      </c>
      <c r="F43" s="42">
        <v>1536</v>
      </c>
      <c r="G43" s="4">
        <f t="shared" ref="G43:G51" si="35">E43*F43</f>
        <v>70656</v>
      </c>
      <c r="H43" s="22" t="s">
        <v>139</v>
      </c>
      <c r="I43" s="16">
        <v>17</v>
      </c>
      <c r="J43" s="18">
        <v>2000</v>
      </c>
      <c r="K43" s="17">
        <f t="shared" si="1"/>
        <v>117.64705882352941</v>
      </c>
      <c r="L43" s="16">
        <v>17</v>
      </c>
      <c r="M43" s="18">
        <f t="shared" ref="M43:M51" si="36">F43/V43*60</f>
        <v>1920.0000000000005</v>
      </c>
      <c r="N43" s="18">
        <f t="shared" si="3"/>
        <v>112.94117647058826</v>
      </c>
      <c r="O43" s="19">
        <f t="shared" si="4"/>
        <v>0</v>
      </c>
      <c r="P43" s="20">
        <f t="shared" si="5"/>
        <v>-4.7058823529411455</v>
      </c>
      <c r="Q43" s="21">
        <f t="shared" si="6"/>
        <v>0.9600000000000003</v>
      </c>
      <c r="R43" s="172">
        <f>Q52</f>
        <v>0.93791860797212889</v>
      </c>
      <c r="S43" s="28">
        <v>0.20833333333333334</v>
      </c>
      <c r="T43" s="28">
        <v>0.24166666666666667</v>
      </c>
      <c r="U43" s="28"/>
      <c r="V43" s="22">
        <f t="shared" ref="V43:V51" si="37">(T43-S43)*24*60</f>
        <v>47.999999999999986</v>
      </c>
      <c r="W43" s="28"/>
      <c r="X43" s="28"/>
      <c r="Y43" s="28"/>
      <c r="Z43" s="28"/>
      <c r="AA43" s="164"/>
      <c r="AB43" s="164"/>
      <c r="AC43" s="25">
        <v>9</v>
      </c>
      <c r="AD43" s="25"/>
      <c r="AE43" s="19">
        <f t="shared" si="8"/>
        <v>-79.999999999999545</v>
      </c>
      <c r="AF43" s="21">
        <f t="shared" si="9"/>
        <v>0.96000000000000019</v>
      </c>
      <c r="AG43" s="172">
        <f>AF52</f>
        <v>0.937918607972129</v>
      </c>
    </row>
    <row r="44" spans="1:33" ht="15.75" customHeight="1">
      <c r="A44" s="182" t="s">
        <v>2578</v>
      </c>
      <c r="B44" s="37" t="s">
        <v>78</v>
      </c>
      <c r="C44" s="165" t="s">
        <v>120</v>
      </c>
      <c r="D44" s="165"/>
      <c r="E44" s="37">
        <v>56.43</v>
      </c>
      <c r="F44" s="42">
        <v>1715</v>
      </c>
      <c r="G44" s="4">
        <f t="shared" si="35"/>
        <v>96777.45</v>
      </c>
      <c r="H44" s="22" t="s">
        <v>139</v>
      </c>
      <c r="I44" s="16">
        <v>22</v>
      </c>
      <c r="J44" s="18">
        <v>2000</v>
      </c>
      <c r="K44" s="17">
        <f t="shared" si="1"/>
        <v>90.909090909090907</v>
      </c>
      <c r="L44" s="16">
        <v>22</v>
      </c>
      <c r="M44" s="18">
        <f t="shared" si="36"/>
        <v>1805.2631578947369</v>
      </c>
      <c r="N44" s="18">
        <f t="shared" si="3"/>
        <v>82.057416267942585</v>
      </c>
      <c r="O44" s="19">
        <f t="shared" si="4"/>
        <v>0</v>
      </c>
      <c r="P44" s="20">
        <f t="shared" si="5"/>
        <v>-8.8516746411483211</v>
      </c>
      <c r="Q44" s="21">
        <f t="shared" si="6"/>
        <v>0.90263157894736845</v>
      </c>
      <c r="R44" s="172"/>
      <c r="S44" s="28">
        <v>0.24513888888888888</v>
      </c>
      <c r="T44" s="28">
        <v>0.28472222222222221</v>
      </c>
      <c r="U44" s="4">
        <f t="shared" ref="U44:U51" si="38">IF(S44=TIME(17,0,0),"",(S44-T43)*24*60)</f>
        <v>4.9999999999999822</v>
      </c>
      <c r="V44" s="22">
        <f t="shared" si="37"/>
        <v>57</v>
      </c>
      <c r="W44" s="23"/>
      <c r="X44" s="23"/>
      <c r="Y44" s="23"/>
      <c r="Z44" s="23"/>
      <c r="AA44" s="164"/>
      <c r="AB44" s="164"/>
      <c r="AC44" s="25"/>
      <c r="AD44" s="25"/>
      <c r="AE44" s="19">
        <f t="shared" si="8"/>
        <v>-194.73684210526312</v>
      </c>
      <c r="AF44" s="21">
        <f t="shared" si="9"/>
        <v>0.90263157894736845</v>
      </c>
      <c r="AG44" s="172"/>
    </row>
    <row r="45" spans="1:33" ht="15.75" customHeight="1">
      <c r="A45" s="182" t="s">
        <v>2579</v>
      </c>
      <c r="B45" s="37" t="s">
        <v>78</v>
      </c>
      <c r="C45" s="173" t="s">
        <v>121</v>
      </c>
      <c r="D45" s="174"/>
      <c r="E45" s="37">
        <v>51.75</v>
      </c>
      <c r="F45" s="42">
        <v>1370</v>
      </c>
      <c r="G45" s="4">
        <f t="shared" si="35"/>
        <v>70897.5</v>
      </c>
      <c r="H45" s="22" t="s">
        <v>139</v>
      </c>
      <c r="I45" s="16">
        <v>25</v>
      </c>
      <c r="J45" s="18">
        <v>2000</v>
      </c>
      <c r="K45" s="17">
        <f t="shared" si="1"/>
        <v>80</v>
      </c>
      <c r="L45" s="16">
        <v>25</v>
      </c>
      <c r="M45" s="18">
        <f t="shared" si="36"/>
        <v>1826.6666666666665</v>
      </c>
      <c r="N45" s="18">
        <f t="shared" si="3"/>
        <v>73.066666666666663</v>
      </c>
      <c r="O45" s="19">
        <f t="shared" si="4"/>
        <v>0</v>
      </c>
      <c r="P45" s="20">
        <f t="shared" si="5"/>
        <v>-6.9333333333333371</v>
      </c>
      <c r="Q45" s="21">
        <f t="shared" si="6"/>
        <v>0.91333333333333333</v>
      </c>
      <c r="R45" s="172"/>
      <c r="S45" s="28">
        <v>0.29027777777777775</v>
      </c>
      <c r="T45" s="28">
        <v>0.32152777777777775</v>
      </c>
      <c r="U45" s="4">
        <f t="shared" si="38"/>
        <v>7.9999999999999716</v>
      </c>
      <c r="V45" s="22">
        <f t="shared" si="37"/>
        <v>45</v>
      </c>
      <c r="W45" s="23"/>
      <c r="X45" s="23"/>
      <c r="Y45" s="26"/>
      <c r="Z45" s="26"/>
      <c r="AA45" s="164"/>
      <c r="AB45" s="164"/>
      <c r="AC45" s="25"/>
      <c r="AD45" s="25"/>
      <c r="AE45" s="19">
        <f t="shared" si="8"/>
        <v>-173.33333333333348</v>
      </c>
      <c r="AF45" s="21">
        <f t="shared" si="9"/>
        <v>0.91333333333333322</v>
      </c>
      <c r="AG45" s="172"/>
    </row>
    <row r="46" spans="1:33" ht="15.75" customHeight="1">
      <c r="A46" s="182" t="s">
        <v>2580</v>
      </c>
      <c r="B46" s="37" t="s">
        <v>78</v>
      </c>
      <c r="C46" s="43" t="s">
        <v>122</v>
      </c>
      <c r="D46" s="44"/>
      <c r="E46" s="37">
        <v>54.09</v>
      </c>
      <c r="F46" s="42">
        <v>1860</v>
      </c>
      <c r="G46" s="4">
        <f t="shared" si="35"/>
        <v>100607.40000000001</v>
      </c>
      <c r="H46" s="22" t="s">
        <v>139</v>
      </c>
      <c r="I46" s="16">
        <v>19</v>
      </c>
      <c r="J46" s="18">
        <v>2000</v>
      </c>
      <c r="K46" s="17">
        <f t="shared" si="1"/>
        <v>105.26315789473684</v>
      </c>
      <c r="L46" s="16">
        <v>19</v>
      </c>
      <c r="M46" s="18">
        <f t="shared" si="36"/>
        <v>1829.5081967213109</v>
      </c>
      <c r="N46" s="18">
        <f t="shared" si="3"/>
        <v>96.289905090595312</v>
      </c>
      <c r="O46" s="19">
        <f t="shared" si="4"/>
        <v>0</v>
      </c>
      <c r="P46" s="20">
        <f t="shared" si="5"/>
        <v>-8.9732528041415236</v>
      </c>
      <c r="Q46" s="21">
        <f t="shared" si="6"/>
        <v>0.91475409836065547</v>
      </c>
      <c r="R46" s="172"/>
      <c r="S46" s="28">
        <v>0.32638888888888884</v>
      </c>
      <c r="T46" s="28">
        <v>0.36874999999999997</v>
      </c>
      <c r="U46" s="4">
        <f t="shared" si="38"/>
        <v>6.9999999999999751</v>
      </c>
      <c r="V46" s="22">
        <f t="shared" si="37"/>
        <v>61.000000000000021</v>
      </c>
      <c r="W46" s="23"/>
      <c r="X46" s="23"/>
      <c r="Y46" s="26"/>
      <c r="Z46" s="26"/>
      <c r="AA46" s="164"/>
      <c r="AB46" s="164"/>
      <c r="AC46" s="25"/>
      <c r="AD46" s="25"/>
      <c r="AE46" s="19">
        <f t="shared" si="8"/>
        <v>-170.49180327868908</v>
      </c>
      <c r="AF46" s="21">
        <f t="shared" si="9"/>
        <v>0.91475409836065547</v>
      </c>
      <c r="AG46" s="172"/>
    </row>
    <row r="47" spans="1:33" ht="15.75" customHeight="1">
      <c r="A47" s="182" t="s">
        <v>2581</v>
      </c>
      <c r="B47" s="37" t="s">
        <v>78</v>
      </c>
      <c r="C47" s="43" t="s">
        <v>126</v>
      </c>
      <c r="D47" s="44"/>
      <c r="E47" s="37">
        <v>57.73</v>
      </c>
      <c r="F47" s="42">
        <v>1099</v>
      </c>
      <c r="G47" s="4">
        <f t="shared" si="35"/>
        <v>63445.27</v>
      </c>
      <c r="H47" s="22" t="s">
        <v>139</v>
      </c>
      <c r="I47" s="16">
        <v>16</v>
      </c>
      <c r="J47" s="18">
        <v>1500</v>
      </c>
      <c r="K47" s="17">
        <f t="shared" si="1"/>
        <v>93.75</v>
      </c>
      <c r="L47" s="16">
        <v>16</v>
      </c>
      <c r="M47" s="18">
        <f t="shared" si="36"/>
        <v>1433.4782608695652</v>
      </c>
      <c r="N47" s="18">
        <f t="shared" si="3"/>
        <v>89.592391304347828</v>
      </c>
      <c r="O47" s="19">
        <f t="shared" si="4"/>
        <v>0</v>
      </c>
      <c r="P47" s="20">
        <f t="shared" si="5"/>
        <v>-4.1576086956521721</v>
      </c>
      <c r="Q47" s="21">
        <f t="shared" si="6"/>
        <v>0.95565217391304347</v>
      </c>
      <c r="R47" s="172"/>
      <c r="S47" s="28">
        <v>0.70833333333333337</v>
      </c>
      <c r="T47" s="28">
        <v>0.74027777777777781</v>
      </c>
      <c r="U47" s="4" t="str">
        <f t="shared" si="38"/>
        <v/>
      </c>
      <c r="V47" s="22">
        <f t="shared" si="37"/>
        <v>46</v>
      </c>
      <c r="W47" s="23"/>
      <c r="X47" s="23"/>
      <c r="Y47" s="26"/>
      <c r="Z47" s="26"/>
      <c r="AA47" s="164"/>
      <c r="AB47" s="164"/>
      <c r="AC47" s="25"/>
      <c r="AD47" s="25"/>
      <c r="AE47" s="19">
        <f t="shared" si="8"/>
        <v>-66.521739130434753</v>
      </c>
      <c r="AF47" s="21">
        <f t="shared" si="9"/>
        <v>0.95565217391304347</v>
      </c>
      <c r="AG47" s="172"/>
    </row>
    <row r="48" spans="1:33" ht="15.75" customHeight="1">
      <c r="A48" s="182" t="s">
        <v>2580</v>
      </c>
      <c r="B48" s="37" t="s">
        <v>78</v>
      </c>
      <c r="C48" s="173" t="s">
        <v>125</v>
      </c>
      <c r="D48" s="174"/>
      <c r="E48" s="37">
        <v>54.29</v>
      </c>
      <c r="F48" s="42">
        <v>1491</v>
      </c>
      <c r="G48" s="4">
        <f t="shared" si="35"/>
        <v>80946.39</v>
      </c>
      <c r="H48" s="22" t="s">
        <v>139</v>
      </c>
      <c r="I48" s="16">
        <v>20</v>
      </c>
      <c r="J48" s="18">
        <v>2000</v>
      </c>
      <c r="K48" s="17">
        <f t="shared" si="1"/>
        <v>100</v>
      </c>
      <c r="L48" s="16">
        <v>20</v>
      </c>
      <c r="M48" s="18">
        <f t="shared" si="36"/>
        <v>1903.4042553191491</v>
      </c>
      <c r="N48" s="18">
        <f t="shared" si="3"/>
        <v>95.170212765957459</v>
      </c>
      <c r="O48" s="19">
        <f t="shared" si="4"/>
        <v>0</v>
      </c>
      <c r="P48" s="20">
        <f t="shared" si="5"/>
        <v>-4.8297872340425414</v>
      </c>
      <c r="Q48" s="21">
        <f t="shared" si="6"/>
        <v>0.95170212765957463</v>
      </c>
      <c r="R48" s="172"/>
      <c r="S48" s="28">
        <v>0.74375000000000002</v>
      </c>
      <c r="T48" s="28">
        <v>0.77638888888888891</v>
      </c>
      <c r="U48" s="4">
        <f t="shared" si="38"/>
        <v>4.9999999999999822</v>
      </c>
      <c r="V48" s="22">
        <f t="shared" si="37"/>
        <v>46.999999999999993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-96.595744680850885</v>
      </c>
      <c r="AF48" s="21">
        <f t="shared" si="9"/>
        <v>0.95170212765957451</v>
      </c>
      <c r="AG48" s="172"/>
    </row>
    <row r="49" spans="1:33" ht="15.75" customHeight="1">
      <c r="A49" s="182" t="s">
        <v>2580</v>
      </c>
      <c r="B49" s="37" t="s">
        <v>78</v>
      </c>
      <c r="C49" s="173" t="s">
        <v>124</v>
      </c>
      <c r="D49" s="174"/>
      <c r="E49" s="37">
        <v>55.32</v>
      </c>
      <c r="F49" s="42">
        <v>1558</v>
      </c>
      <c r="G49" s="4">
        <f t="shared" si="35"/>
        <v>86188.56</v>
      </c>
      <c r="H49" s="22" t="s">
        <v>139</v>
      </c>
      <c r="I49" s="16">
        <v>15</v>
      </c>
      <c r="J49" s="18">
        <v>2000</v>
      </c>
      <c r="K49" s="17">
        <f t="shared" si="1"/>
        <v>133.33333333333334</v>
      </c>
      <c r="L49" s="16">
        <v>15</v>
      </c>
      <c r="M49" s="18">
        <f t="shared" si="36"/>
        <v>1907.7551020408171</v>
      </c>
      <c r="N49" s="18">
        <f t="shared" si="3"/>
        <v>127.1836734693878</v>
      </c>
      <c r="O49" s="19">
        <f t="shared" si="4"/>
        <v>0</v>
      </c>
      <c r="P49" s="20">
        <f t="shared" si="5"/>
        <v>-6.1496598639455442</v>
      </c>
      <c r="Q49" s="21">
        <f t="shared" si="6"/>
        <v>0.95387755102040839</v>
      </c>
      <c r="R49" s="172"/>
      <c r="S49" s="28">
        <v>0.77986111111111112</v>
      </c>
      <c r="T49" s="28">
        <v>0.81388888888888888</v>
      </c>
      <c r="U49" s="4">
        <f t="shared" si="38"/>
        <v>4.9999999999999822</v>
      </c>
      <c r="V49" s="22">
        <f t="shared" si="37"/>
        <v>48.999999999999986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-92.244897959182936</v>
      </c>
      <c r="AF49" s="21">
        <f t="shared" si="9"/>
        <v>0.9538775510204085</v>
      </c>
      <c r="AG49" s="172"/>
    </row>
    <row r="50" spans="1:33" ht="15.75" customHeight="1">
      <c r="A50" s="182" t="s">
        <v>2580</v>
      </c>
      <c r="B50" s="37" t="s">
        <v>78</v>
      </c>
      <c r="C50" s="173" t="s">
        <v>123</v>
      </c>
      <c r="D50" s="174"/>
      <c r="E50" s="37">
        <v>55.56</v>
      </c>
      <c r="F50" s="42">
        <v>500</v>
      </c>
      <c r="G50" s="4">
        <f t="shared" si="35"/>
        <v>27780</v>
      </c>
      <c r="H50" s="22">
        <v>2</v>
      </c>
      <c r="I50" s="16">
        <v>17</v>
      </c>
      <c r="J50" s="18">
        <v>2000</v>
      </c>
      <c r="K50" s="17">
        <f t="shared" si="1"/>
        <v>117.64705882352941</v>
      </c>
      <c r="L50" s="16">
        <v>17</v>
      </c>
      <c r="M50" s="18">
        <f t="shared" si="36"/>
        <v>1875.0000000000066</v>
      </c>
      <c r="N50" s="18">
        <f t="shared" si="3"/>
        <v>110.29411764705921</v>
      </c>
      <c r="O50" s="19">
        <f t="shared" si="4"/>
        <v>0</v>
      </c>
      <c r="P50" s="20">
        <f t="shared" si="5"/>
        <v>-7.3529411764701962</v>
      </c>
      <c r="Q50" s="21">
        <f t="shared" si="6"/>
        <v>0.93750000000000333</v>
      </c>
      <c r="R50" s="172"/>
      <c r="S50" s="28">
        <v>0.81736111111111109</v>
      </c>
      <c r="T50" s="28">
        <v>0.82847222222222217</v>
      </c>
      <c r="U50" s="4">
        <f t="shared" si="38"/>
        <v>4.9999999999999822</v>
      </c>
      <c r="V50" s="22">
        <f t="shared" si="37"/>
        <v>15.999999999999943</v>
      </c>
      <c r="W50" s="28">
        <f>T50</f>
        <v>0.82847222222222217</v>
      </c>
      <c r="X50" s="28">
        <f>S51</f>
        <v>0.8701388888888888</v>
      </c>
      <c r="Y50" s="26"/>
      <c r="Z50" s="26"/>
      <c r="AA50" s="175"/>
      <c r="AB50" s="176"/>
      <c r="AC50" s="25"/>
      <c r="AD50" s="25"/>
      <c r="AE50" s="19">
        <f t="shared" si="8"/>
        <v>-124.99999999999341</v>
      </c>
      <c r="AF50" s="21">
        <f t="shared" si="9"/>
        <v>0.93750000000000333</v>
      </c>
      <c r="AG50" s="172"/>
    </row>
    <row r="51" spans="1:33">
      <c r="A51" s="182" t="s">
        <v>2582</v>
      </c>
      <c r="B51" s="37" t="s">
        <v>78</v>
      </c>
      <c r="C51" s="173" t="s">
        <v>123</v>
      </c>
      <c r="D51" s="174"/>
      <c r="E51" s="37">
        <v>55.56</v>
      </c>
      <c r="F51" s="42">
        <v>1530</v>
      </c>
      <c r="G51" s="4">
        <f t="shared" si="35"/>
        <v>85006.8</v>
      </c>
      <c r="H51" s="22" t="s">
        <v>139</v>
      </c>
      <c r="I51" s="16">
        <v>17</v>
      </c>
      <c r="J51" s="18">
        <v>2000</v>
      </c>
      <c r="K51" s="17">
        <f t="shared" si="1"/>
        <v>117.64705882352941</v>
      </c>
      <c r="L51" s="16">
        <v>17</v>
      </c>
      <c r="M51" s="18">
        <f t="shared" si="36"/>
        <v>1912.5000000000007</v>
      </c>
      <c r="N51" s="18">
        <f t="shared" si="3"/>
        <v>112.50000000000004</v>
      </c>
      <c r="O51" s="19">
        <f t="shared" si="4"/>
        <v>0</v>
      </c>
      <c r="P51" s="20">
        <f t="shared" si="5"/>
        <v>-5.1470588235293633</v>
      </c>
      <c r="Q51" s="21">
        <f t="shared" si="6"/>
        <v>0.95625000000000038</v>
      </c>
      <c r="R51" s="172"/>
      <c r="S51" s="28">
        <v>0.8701388888888888</v>
      </c>
      <c r="T51" s="28">
        <v>0.90347222222222212</v>
      </c>
      <c r="U51" s="4">
        <f t="shared" si="38"/>
        <v>59.999999999999943</v>
      </c>
      <c r="V51" s="22">
        <f t="shared" si="37"/>
        <v>47.999999999999986</v>
      </c>
      <c r="W51" s="23"/>
      <c r="X51" s="23"/>
      <c r="Y51" s="26"/>
      <c r="Z51" s="26"/>
      <c r="AA51" s="175"/>
      <c r="AB51" s="176"/>
      <c r="AC51" s="25"/>
      <c r="AD51" s="25"/>
      <c r="AE51" s="19">
        <f t="shared" si="8"/>
        <v>-87.499999999999318</v>
      </c>
      <c r="AF51" s="21">
        <f t="shared" si="9"/>
        <v>0.95625000000000038</v>
      </c>
      <c r="AG51" s="172"/>
    </row>
    <row r="52" spans="1:33">
      <c r="A52" s="183" t="s">
        <v>2578</v>
      </c>
      <c r="B52" s="37" t="s">
        <v>2583</v>
      </c>
      <c r="C52" s="177"/>
      <c r="D52" s="177"/>
      <c r="E52" s="38"/>
      <c r="F52" s="17"/>
      <c r="G52" s="17"/>
      <c r="H52" s="4"/>
      <c r="I52" s="30">
        <v>18.666666666666668</v>
      </c>
      <c r="J52" s="18">
        <v>1944.4444444444443</v>
      </c>
      <c r="K52" s="17">
        <f t="shared" si="1"/>
        <v>104.16666666666666</v>
      </c>
      <c r="L52" s="30">
        <v>18.666666666666668</v>
      </c>
      <c r="M52" s="18">
        <f>AVERAGE(M43:M51)</f>
        <v>1823.7306266124729</v>
      </c>
      <c r="N52" s="17">
        <f t="shared" si="3"/>
        <v>97.69985499709675</v>
      </c>
      <c r="O52" s="19">
        <f t="shared" si="4"/>
        <v>0</v>
      </c>
      <c r="P52" s="20">
        <f t="shared" si="5"/>
        <v>-6.4668116695699069</v>
      </c>
      <c r="Q52" s="21">
        <f t="shared" si="6"/>
        <v>0.93791860797212889</v>
      </c>
      <c r="R52" s="172"/>
      <c r="S52" s="28"/>
      <c r="T52" s="28"/>
      <c r="U52" s="4"/>
      <c r="V52" s="22"/>
      <c r="W52" s="17"/>
      <c r="X52" s="17"/>
      <c r="Y52" s="31">
        <f>SUM(Y43:Y51)</f>
        <v>0</v>
      </c>
      <c r="Z52" s="31">
        <f>SUM(Z43:Z51)</f>
        <v>0</v>
      </c>
      <c r="AA52" s="168"/>
      <c r="AB52" s="168"/>
      <c r="AC52" s="31">
        <v>9</v>
      </c>
      <c r="AD52" s="31">
        <f>SUM(AD43:AD51)</f>
        <v>0</v>
      </c>
      <c r="AE52" s="19">
        <f>M52-J52</f>
        <v>-120.71381783197148</v>
      </c>
      <c r="AF52" s="21">
        <f t="shared" si="9"/>
        <v>0.937918607972129</v>
      </c>
      <c r="AG52" s="172"/>
    </row>
    <row r="53" spans="1:33" ht="15.75" customHeight="1">
      <c r="A53" s="178" t="s">
        <v>2584</v>
      </c>
      <c r="B53" s="4" t="s">
        <v>84</v>
      </c>
      <c r="C53" s="165" t="s">
        <v>127</v>
      </c>
      <c r="D53" s="165"/>
      <c r="E53" s="37">
        <v>26.97</v>
      </c>
      <c r="F53" s="42">
        <v>2504</v>
      </c>
      <c r="G53" s="4">
        <f t="shared" ref="G53:G58" si="39">E53*F53</f>
        <v>67532.87999999999</v>
      </c>
      <c r="H53" s="22" t="s">
        <v>139</v>
      </c>
      <c r="I53" s="16">
        <v>8</v>
      </c>
      <c r="J53" s="18">
        <v>1500</v>
      </c>
      <c r="K53" s="17">
        <f t="shared" si="1"/>
        <v>187.5</v>
      </c>
      <c r="L53" s="16">
        <v>8</v>
      </c>
      <c r="M53" s="18">
        <f t="shared" ref="M53:M58" si="40">F53/V53*60</f>
        <v>1430.8571428571431</v>
      </c>
      <c r="N53" s="17">
        <f t="shared" si="3"/>
        <v>178.85714285714289</v>
      </c>
      <c r="O53" s="19">
        <f t="shared" si="4"/>
        <v>0</v>
      </c>
      <c r="P53" s="20">
        <f t="shared" si="5"/>
        <v>-8.6428571428571104</v>
      </c>
      <c r="Q53" s="21">
        <f t="shared" si="6"/>
        <v>0.95390476190476203</v>
      </c>
      <c r="R53" s="172">
        <f>Q59</f>
        <v>0.96401648035636434</v>
      </c>
      <c r="S53" s="28">
        <v>0.20833333333333334</v>
      </c>
      <c r="T53" s="28">
        <v>0.28125</v>
      </c>
      <c r="U53" s="4"/>
      <c r="V53" s="22">
        <f t="shared" ref="V53:V58" si="41">(T53-S53)*24*60</f>
        <v>104.99999999999999</v>
      </c>
      <c r="W53" s="28"/>
      <c r="X53" s="28"/>
      <c r="Y53" s="28"/>
      <c r="Z53" s="28"/>
      <c r="AA53" s="164"/>
      <c r="AB53" s="164"/>
      <c r="AC53" s="25">
        <v>6</v>
      </c>
      <c r="AD53" s="25"/>
      <c r="AE53" s="19">
        <f t="shared" ref="AE53:AE65" si="42">M53-J53</f>
        <v>-69.142857142856883</v>
      </c>
      <c r="AF53" s="21">
        <f t="shared" si="9"/>
        <v>0.95390476190476203</v>
      </c>
      <c r="AG53" s="172">
        <f>AF59</f>
        <v>0.96401648035636434</v>
      </c>
    </row>
    <row r="54" spans="1:33" ht="15.75" customHeight="1">
      <c r="A54" s="178" t="s">
        <v>2585</v>
      </c>
      <c r="B54" s="4" t="s">
        <v>84</v>
      </c>
      <c r="C54" s="165" t="s">
        <v>128</v>
      </c>
      <c r="D54" s="165"/>
      <c r="E54" s="37">
        <v>27.4</v>
      </c>
      <c r="F54" s="42">
        <v>861</v>
      </c>
      <c r="G54" s="4">
        <f t="shared" si="39"/>
        <v>23591.399999999998</v>
      </c>
      <c r="H54" s="22" t="s">
        <v>139</v>
      </c>
      <c r="I54" s="16">
        <v>10</v>
      </c>
      <c r="J54" s="18">
        <v>1500</v>
      </c>
      <c r="K54" s="17">
        <f t="shared" si="1"/>
        <v>150</v>
      </c>
      <c r="L54" s="16">
        <v>10</v>
      </c>
      <c r="M54" s="18">
        <f t="shared" si="40"/>
        <v>1434.9999999999989</v>
      </c>
      <c r="N54" s="17">
        <f t="shared" si="3"/>
        <v>143.49999999999989</v>
      </c>
      <c r="O54" s="19">
        <f t="shared" si="4"/>
        <v>0</v>
      </c>
      <c r="P54" s="20">
        <f t="shared" si="5"/>
        <v>-6.5000000000001137</v>
      </c>
      <c r="Q54" s="21">
        <f t="shared" si="6"/>
        <v>0.95666666666666589</v>
      </c>
      <c r="R54" s="172"/>
      <c r="S54" s="28">
        <v>0.28680555555555554</v>
      </c>
      <c r="T54" s="28">
        <v>0.31180555555555556</v>
      </c>
      <c r="U54" s="4">
        <f t="shared" ref="U54:U58" si="43">(S54-T53)*24*60</f>
        <v>7.9999999999999716</v>
      </c>
      <c r="V54" s="22">
        <f t="shared" si="41"/>
        <v>36.000000000000028</v>
      </c>
      <c r="W54" s="4"/>
      <c r="X54" s="4"/>
      <c r="Y54" s="4"/>
      <c r="Z54" s="4"/>
      <c r="AA54" s="164"/>
      <c r="AB54" s="164"/>
      <c r="AC54" s="25"/>
      <c r="AD54" s="25"/>
      <c r="AE54" s="19">
        <f t="shared" si="42"/>
        <v>-65.000000000001137</v>
      </c>
      <c r="AF54" s="21">
        <f t="shared" si="9"/>
        <v>0.95666666666666589</v>
      </c>
      <c r="AG54" s="172"/>
    </row>
    <row r="55" spans="1:33" ht="15.75" customHeight="1">
      <c r="A55" s="178" t="s">
        <v>2584</v>
      </c>
      <c r="B55" s="4" t="s">
        <v>111</v>
      </c>
      <c r="C55" s="165" t="s">
        <v>129</v>
      </c>
      <c r="D55" s="165"/>
      <c r="E55" s="37">
        <v>31</v>
      </c>
      <c r="F55" s="42">
        <v>716</v>
      </c>
      <c r="G55" s="4">
        <f t="shared" si="39"/>
        <v>22196</v>
      </c>
      <c r="H55" s="22" t="s">
        <v>139</v>
      </c>
      <c r="I55" s="16">
        <v>13</v>
      </c>
      <c r="J55" s="18">
        <v>2000</v>
      </c>
      <c r="K55" s="17">
        <f t="shared" si="1"/>
        <v>153.84615384615384</v>
      </c>
      <c r="L55" s="16">
        <v>13</v>
      </c>
      <c r="M55" s="18">
        <f t="shared" si="40"/>
        <v>1952.7272727272727</v>
      </c>
      <c r="N55" s="17">
        <f t="shared" si="3"/>
        <v>150.20979020979021</v>
      </c>
      <c r="O55" s="19">
        <f t="shared" si="4"/>
        <v>0</v>
      </c>
      <c r="P55" s="20">
        <f t="shared" si="5"/>
        <v>-3.636363636363626</v>
      </c>
      <c r="Q55" s="21">
        <f t="shared" si="6"/>
        <v>0.97636363636363643</v>
      </c>
      <c r="R55" s="172"/>
      <c r="S55" s="28">
        <v>0.31527777777777777</v>
      </c>
      <c r="T55" s="28">
        <v>0.33055555555555555</v>
      </c>
      <c r="U55" s="4">
        <f t="shared" si="43"/>
        <v>4.9999999999999822</v>
      </c>
      <c r="V55" s="22">
        <f t="shared" si="41"/>
        <v>22</v>
      </c>
      <c r="W55" s="4"/>
      <c r="X55" s="4"/>
      <c r="Y55" s="4"/>
      <c r="Z55" s="4"/>
      <c r="AA55" s="164"/>
      <c r="AB55" s="164"/>
      <c r="AC55" s="25"/>
      <c r="AD55" s="25"/>
      <c r="AE55" s="19">
        <f t="shared" si="42"/>
        <v>-47.272727272727252</v>
      </c>
      <c r="AF55" s="21">
        <f t="shared" si="9"/>
        <v>0.97636363636363632</v>
      </c>
      <c r="AG55" s="172"/>
    </row>
    <row r="56" spans="1:33" ht="15.75" customHeight="1">
      <c r="A56" s="178" t="s">
        <v>2585</v>
      </c>
      <c r="B56" s="4" t="s">
        <v>111</v>
      </c>
      <c r="C56" s="165" t="s">
        <v>130</v>
      </c>
      <c r="D56" s="165"/>
      <c r="E56" s="37">
        <v>37.85</v>
      </c>
      <c r="F56" s="42">
        <v>1840</v>
      </c>
      <c r="G56" s="4">
        <f t="shared" si="39"/>
        <v>69644</v>
      </c>
      <c r="H56" s="22" t="s">
        <v>139</v>
      </c>
      <c r="I56" s="16">
        <v>12</v>
      </c>
      <c r="J56" s="18">
        <v>2000</v>
      </c>
      <c r="K56" s="17">
        <f t="shared" si="1"/>
        <v>166.66666666666666</v>
      </c>
      <c r="L56" s="16">
        <v>12</v>
      </c>
      <c r="M56" s="18">
        <f t="shared" si="40"/>
        <v>1936.8421052631566</v>
      </c>
      <c r="N56" s="17">
        <f t="shared" si="3"/>
        <v>161.40350877192972</v>
      </c>
      <c r="O56" s="19">
        <f t="shared" si="4"/>
        <v>0</v>
      </c>
      <c r="P56" s="20">
        <f t="shared" si="5"/>
        <v>-5.2631578947369348</v>
      </c>
      <c r="Q56" s="21">
        <f t="shared" si="6"/>
        <v>0.96842105263157841</v>
      </c>
      <c r="R56" s="172"/>
      <c r="S56" s="28">
        <v>0.33541666666666664</v>
      </c>
      <c r="T56" s="28">
        <v>0.375</v>
      </c>
      <c r="U56" s="4">
        <f t="shared" si="43"/>
        <v>6.9999999999999751</v>
      </c>
      <c r="V56" s="22">
        <f t="shared" si="41"/>
        <v>57.000000000000036</v>
      </c>
      <c r="W56" s="4"/>
      <c r="X56" s="4"/>
      <c r="Y56" s="4"/>
      <c r="Z56" s="4"/>
      <c r="AA56" s="164"/>
      <c r="AB56" s="164"/>
      <c r="AC56" s="25"/>
      <c r="AD56" s="25"/>
      <c r="AE56" s="19">
        <f t="shared" si="42"/>
        <v>-63.157894736843446</v>
      </c>
      <c r="AF56" s="21">
        <f t="shared" si="9"/>
        <v>0.96842105263157829</v>
      </c>
      <c r="AG56" s="172"/>
    </row>
    <row r="57" spans="1:33">
      <c r="A57" s="179" t="s">
        <v>73</v>
      </c>
      <c r="B57" s="4" t="s">
        <v>111</v>
      </c>
      <c r="C57" s="165" t="s">
        <v>131</v>
      </c>
      <c r="D57" s="165"/>
      <c r="E57" s="37">
        <v>34.36</v>
      </c>
      <c r="F57" s="42">
        <v>1656</v>
      </c>
      <c r="G57" s="4">
        <f t="shared" si="39"/>
        <v>56900.159999999996</v>
      </c>
      <c r="H57" s="22" t="s">
        <v>139</v>
      </c>
      <c r="I57" s="16">
        <v>10</v>
      </c>
      <c r="J57" s="18">
        <v>3000</v>
      </c>
      <c r="K57" s="17">
        <f t="shared" si="1"/>
        <v>300</v>
      </c>
      <c r="L57" s="16">
        <v>10</v>
      </c>
      <c r="M57" s="18">
        <f t="shared" si="40"/>
        <v>2922.3529411764671</v>
      </c>
      <c r="N57" s="17">
        <f t="shared" si="3"/>
        <v>292.23529411764673</v>
      </c>
      <c r="O57" s="19">
        <f t="shared" si="4"/>
        <v>0</v>
      </c>
      <c r="P57" s="20">
        <f t="shared" si="5"/>
        <v>-7.7647058823532689</v>
      </c>
      <c r="Q57" s="21">
        <f t="shared" si="6"/>
        <v>0.97411764705882242</v>
      </c>
      <c r="R57" s="172"/>
      <c r="S57" s="28">
        <v>0.37986111111111109</v>
      </c>
      <c r="T57" s="28">
        <v>0.40347222222222223</v>
      </c>
      <c r="U57" s="4">
        <f t="shared" si="43"/>
        <v>6.9999999999999751</v>
      </c>
      <c r="V57" s="22">
        <f t="shared" si="41"/>
        <v>34.000000000000043</v>
      </c>
      <c r="W57" s="23"/>
      <c r="X57" s="23"/>
      <c r="Y57" s="23"/>
      <c r="Z57" s="23"/>
      <c r="AA57" s="164"/>
      <c r="AB57" s="164"/>
      <c r="AC57" s="25"/>
      <c r="AD57" s="25"/>
      <c r="AE57" s="19">
        <f t="shared" si="42"/>
        <v>-77.647058823532916</v>
      </c>
      <c r="AF57" s="21">
        <f t="shared" si="9"/>
        <v>0.97411764705882231</v>
      </c>
      <c r="AG57" s="172"/>
    </row>
    <row r="58" spans="1:33" ht="15" customHeight="1">
      <c r="A58" s="179" t="s">
        <v>2584</v>
      </c>
      <c r="B58" s="4" t="s">
        <v>111</v>
      </c>
      <c r="C58" s="173" t="s">
        <v>114</v>
      </c>
      <c r="D58" s="174"/>
      <c r="E58" s="37">
        <v>35.119999999999997</v>
      </c>
      <c r="F58" s="42">
        <v>5471</v>
      </c>
      <c r="G58" s="4">
        <f t="shared" si="39"/>
        <v>192141.52</v>
      </c>
      <c r="H58" s="22" t="s">
        <v>139</v>
      </c>
      <c r="I58" s="16">
        <v>10</v>
      </c>
      <c r="J58" s="18">
        <v>3000</v>
      </c>
      <c r="K58" s="17">
        <f t="shared" si="1"/>
        <v>300</v>
      </c>
      <c r="L58" s="16">
        <v>10</v>
      </c>
      <c r="M58" s="18">
        <f t="shared" si="40"/>
        <v>2854.434782608696</v>
      </c>
      <c r="N58" s="17">
        <f t="shared" si="3"/>
        <v>285.4434782608696</v>
      </c>
      <c r="O58" s="19">
        <f t="shared" si="4"/>
        <v>0</v>
      </c>
      <c r="P58" s="20">
        <f t="shared" si="5"/>
        <v>-14.556521739130403</v>
      </c>
      <c r="Q58" s="21">
        <f t="shared" si="6"/>
        <v>0.95147826086956533</v>
      </c>
      <c r="R58" s="172"/>
      <c r="S58" s="28">
        <v>0.40902777777777777</v>
      </c>
      <c r="T58" s="28">
        <v>0.48888888888888887</v>
      </c>
      <c r="U58" s="4">
        <f t="shared" si="43"/>
        <v>7.9999999999999716</v>
      </c>
      <c r="V58" s="22">
        <f t="shared" si="41"/>
        <v>114.99999999999999</v>
      </c>
      <c r="W58" s="4"/>
      <c r="X58" s="4"/>
      <c r="Y58" s="32"/>
      <c r="Z58" s="32"/>
      <c r="AA58" s="175"/>
      <c r="AB58" s="176"/>
      <c r="AC58" s="25"/>
      <c r="AD58" s="25"/>
      <c r="AE58" s="19">
        <f t="shared" si="42"/>
        <v>-145.56521739130403</v>
      </c>
      <c r="AF58" s="21">
        <f t="shared" si="9"/>
        <v>0.95147826086956533</v>
      </c>
      <c r="AG58" s="172"/>
    </row>
    <row r="59" spans="1:33">
      <c r="A59" s="179" t="s">
        <v>2584</v>
      </c>
      <c r="B59" s="37" t="s">
        <v>2554</v>
      </c>
      <c r="C59" s="177"/>
      <c r="D59" s="177"/>
      <c r="E59" s="38"/>
      <c r="F59" s="17"/>
      <c r="G59" s="17"/>
      <c r="H59" s="4"/>
      <c r="I59" s="30">
        <v>10.5</v>
      </c>
      <c r="J59" s="18">
        <v>2166.6666666666665</v>
      </c>
      <c r="K59" s="17">
        <f t="shared" si="1"/>
        <v>206.34920634920633</v>
      </c>
      <c r="L59" s="30">
        <v>10.5</v>
      </c>
      <c r="M59" s="18">
        <f>AVERAGE(M53:M58)</f>
        <v>2088.7023741054559</v>
      </c>
      <c r="N59" s="17">
        <f t="shared" si="3"/>
        <v>198.92403562909104</v>
      </c>
      <c r="O59" s="19">
        <f t="shared" si="4"/>
        <v>0</v>
      </c>
      <c r="P59" s="20">
        <f t="shared" si="5"/>
        <v>-7.4251707201152897</v>
      </c>
      <c r="Q59" s="21">
        <f t="shared" si="6"/>
        <v>0.96401648035636434</v>
      </c>
      <c r="R59" s="172"/>
      <c r="S59" s="28"/>
      <c r="T59" s="28"/>
      <c r="U59" s="17"/>
      <c r="V59" s="22"/>
      <c r="W59" s="17"/>
      <c r="X59" s="17"/>
      <c r="Y59" s="31">
        <f>SUM(Y53:Y58)</f>
        <v>0</v>
      </c>
      <c r="Z59" s="31">
        <f>SUM(Z53:Z58)</f>
        <v>0</v>
      </c>
      <c r="AA59" s="168"/>
      <c r="AB59" s="168"/>
      <c r="AC59" s="31">
        <v>6</v>
      </c>
      <c r="AD59" s="31">
        <f>SUM(AD53:AD58)</f>
        <v>0</v>
      </c>
      <c r="AE59" s="19">
        <f t="shared" si="42"/>
        <v>-77.964292561210641</v>
      </c>
      <c r="AF59" s="21">
        <f t="shared" si="9"/>
        <v>0.96401648035636434</v>
      </c>
      <c r="AG59" s="172"/>
    </row>
    <row r="60" spans="1:33" ht="15.75" customHeight="1">
      <c r="A60" s="169" t="s">
        <v>2586</v>
      </c>
      <c r="B60" s="4" t="s">
        <v>100</v>
      </c>
      <c r="C60" s="165" t="s">
        <v>133</v>
      </c>
      <c r="D60" s="165"/>
      <c r="E60" s="37">
        <v>20.2</v>
      </c>
      <c r="F60" s="4">
        <v>1614</v>
      </c>
      <c r="G60" s="4">
        <f t="shared" ref="G60:G64" si="44">E60*F60</f>
        <v>32602.799999999999</v>
      </c>
      <c r="H60" s="22" t="s">
        <v>139</v>
      </c>
      <c r="I60" s="16">
        <v>19</v>
      </c>
      <c r="J60" s="18">
        <v>2400</v>
      </c>
      <c r="K60" s="17">
        <f t="shared" si="1"/>
        <v>126.31578947368421</v>
      </c>
      <c r="L60" s="16">
        <v>19</v>
      </c>
      <c r="M60" s="18">
        <f t="shared" ref="M60:M64" si="45">F60/V60*60</f>
        <v>2305.7142857142849</v>
      </c>
      <c r="N60" s="17">
        <f t="shared" si="3"/>
        <v>121.35338345864658</v>
      </c>
      <c r="O60" s="19">
        <f t="shared" si="4"/>
        <v>0</v>
      </c>
      <c r="P60" s="20">
        <f t="shared" si="5"/>
        <v>-4.9624060150376295</v>
      </c>
      <c r="Q60" s="21">
        <f t="shared" si="6"/>
        <v>0.96071428571428541</v>
      </c>
      <c r="R60" s="172">
        <f>Q65</f>
        <v>0.96578544812065026</v>
      </c>
      <c r="S60" s="28">
        <v>0.125</v>
      </c>
      <c r="T60" s="28">
        <v>0.15416666666666667</v>
      </c>
      <c r="U60" s="28"/>
      <c r="V60" s="22">
        <f t="shared" ref="V60:V64" si="46">(T60-S60)*24*60</f>
        <v>42.000000000000014</v>
      </c>
      <c r="W60" s="23">
        <f>T60</f>
        <v>0.15416666666666667</v>
      </c>
      <c r="X60" s="23">
        <f>S61</f>
        <v>0.1736111111111111</v>
      </c>
      <c r="Y60" s="23"/>
      <c r="Z60" s="23"/>
      <c r="AA60" s="164"/>
      <c r="AB60" s="164"/>
      <c r="AC60" s="25">
        <v>5</v>
      </c>
      <c r="AD60" s="25"/>
      <c r="AE60" s="19">
        <f t="shared" si="42"/>
        <v>-94.28571428571513</v>
      </c>
      <c r="AF60" s="21">
        <f t="shared" si="9"/>
        <v>0.96071428571428541</v>
      </c>
      <c r="AG60" s="172">
        <f>AF65</f>
        <v>0.96578544812065015</v>
      </c>
    </row>
    <row r="61" spans="1:33" ht="15.75" customHeight="1">
      <c r="A61" s="170" t="s">
        <v>2586</v>
      </c>
      <c r="B61" s="4" t="s">
        <v>100</v>
      </c>
      <c r="C61" s="165" t="s">
        <v>109</v>
      </c>
      <c r="D61" s="165"/>
      <c r="E61" s="37">
        <v>24.45</v>
      </c>
      <c r="F61" s="4">
        <v>2356</v>
      </c>
      <c r="G61" s="4">
        <f t="shared" si="44"/>
        <v>57604.2</v>
      </c>
      <c r="H61" s="22" t="s">
        <v>139</v>
      </c>
      <c r="I61" s="16">
        <v>20</v>
      </c>
      <c r="J61" s="18">
        <v>2400</v>
      </c>
      <c r="K61" s="17">
        <f t="shared" si="1"/>
        <v>120</v>
      </c>
      <c r="L61" s="16">
        <v>20</v>
      </c>
      <c r="M61" s="18">
        <f t="shared" si="45"/>
        <v>2317.3770491803284</v>
      </c>
      <c r="N61" s="17">
        <f t="shared" si="3"/>
        <v>115.86885245901642</v>
      </c>
      <c r="O61" s="19">
        <f t="shared" si="4"/>
        <v>0</v>
      </c>
      <c r="P61" s="20">
        <f t="shared" si="5"/>
        <v>-4.1311475409835765</v>
      </c>
      <c r="Q61" s="21">
        <f t="shared" si="6"/>
        <v>0.96557377049180348</v>
      </c>
      <c r="R61" s="172"/>
      <c r="S61" s="28">
        <v>0.1736111111111111</v>
      </c>
      <c r="T61" s="28">
        <v>0.2159722222222222</v>
      </c>
      <c r="U61" s="4">
        <f t="shared" ref="U61:U64" si="47">(S61-T60)*24*60</f>
        <v>27.999999999999979</v>
      </c>
      <c r="V61" s="22">
        <f t="shared" si="46"/>
        <v>60.999999999999986</v>
      </c>
      <c r="W61" s="23"/>
      <c r="X61" s="23"/>
      <c r="Y61" s="23"/>
      <c r="Z61" s="23"/>
      <c r="AA61" s="164"/>
      <c r="AB61" s="164"/>
      <c r="AC61" s="25"/>
      <c r="AD61" s="25"/>
      <c r="AE61" s="19">
        <f t="shared" si="42"/>
        <v>-82.622950819671587</v>
      </c>
      <c r="AF61" s="21">
        <f t="shared" si="9"/>
        <v>0.96557377049180348</v>
      </c>
      <c r="AG61" s="172"/>
    </row>
    <row r="62" spans="1:33" ht="15.75" customHeight="1">
      <c r="A62" s="170" t="s">
        <v>75</v>
      </c>
      <c r="B62" s="4" t="s">
        <v>100</v>
      </c>
      <c r="C62" s="165" t="s">
        <v>136</v>
      </c>
      <c r="D62" s="165"/>
      <c r="E62" s="37">
        <v>24.43</v>
      </c>
      <c r="F62" s="4">
        <v>5375</v>
      </c>
      <c r="G62" s="4">
        <f t="shared" si="44"/>
        <v>131311.25</v>
      </c>
      <c r="H62" s="22" t="s">
        <v>139</v>
      </c>
      <c r="I62" s="16">
        <v>14</v>
      </c>
      <c r="J62" s="18">
        <v>2400</v>
      </c>
      <c r="K62" s="17">
        <f t="shared" si="1"/>
        <v>171.42857142857142</v>
      </c>
      <c r="L62" s="16">
        <v>14</v>
      </c>
      <c r="M62" s="18">
        <f t="shared" si="45"/>
        <v>2287.234042553192</v>
      </c>
      <c r="N62" s="17">
        <f t="shared" si="3"/>
        <v>163.37386018237086</v>
      </c>
      <c r="O62" s="19">
        <f t="shared" si="4"/>
        <v>0</v>
      </c>
      <c r="P62" s="20">
        <f t="shared" si="5"/>
        <v>-8.0547112462005543</v>
      </c>
      <c r="Q62" s="21">
        <f t="shared" si="6"/>
        <v>0.95301418439716346</v>
      </c>
      <c r="R62" s="172"/>
      <c r="S62" s="28">
        <v>0.22013888888888888</v>
      </c>
      <c r="T62" s="28">
        <v>0.31805555555555554</v>
      </c>
      <c r="U62" s="4">
        <f t="shared" si="47"/>
        <v>6.0000000000000187</v>
      </c>
      <c r="V62" s="22">
        <f t="shared" si="46"/>
        <v>140.99999999999997</v>
      </c>
      <c r="W62" s="23"/>
      <c r="X62" s="23"/>
      <c r="Y62" s="23"/>
      <c r="Z62" s="23"/>
      <c r="AA62" s="164"/>
      <c r="AB62" s="164"/>
      <c r="AC62" s="25"/>
      <c r="AD62" s="25"/>
      <c r="AE62" s="19">
        <f t="shared" si="42"/>
        <v>-112.76595744680799</v>
      </c>
      <c r="AF62" s="21">
        <f t="shared" si="9"/>
        <v>0.95301418439716334</v>
      </c>
      <c r="AG62" s="172"/>
    </row>
    <row r="63" spans="1:33" ht="15.75" customHeight="1">
      <c r="A63" s="170" t="s">
        <v>2587</v>
      </c>
      <c r="B63" s="4" t="s">
        <v>100</v>
      </c>
      <c r="C63" s="165" t="s">
        <v>138</v>
      </c>
      <c r="D63" s="165"/>
      <c r="E63" s="37">
        <v>22.69</v>
      </c>
      <c r="F63" s="4">
        <v>597</v>
      </c>
      <c r="G63" s="4">
        <f t="shared" si="44"/>
        <v>13545.93</v>
      </c>
      <c r="H63" s="22" t="s">
        <v>139</v>
      </c>
      <c r="I63" s="16">
        <v>15</v>
      </c>
      <c r="J63" s="18">
        <v>2400</v>
      </c>
      <c r="K63" s="17">
        <f t="shared" si="1"/>
        <v>160</v>
      </c>
      <c r="L63" s="16">
        <v>15</v>
      </c>
      <c r="M63" s="18">
        <f t="shared" si="45"/>
        <v>2387.9999999999955</v>
      </c>
      <c r="N63" s="17">
        <f t="shared" si="3"/>
        <v>159.1999999999997</v>
      </c>
      <c r="O63" s="19">
        <f t="shared" si="4"/>
        <v>0</v>
      </c>
      <c r="P63" s="20">
        <f t="shared" si="5"/>
        <v>-0.80000000000029559</v>
      </c>
      <c r="Q63" s="21">
        <f t="shared" si="6"/>
        <v>0.99499999999999811</v>
      </c>
      <c r="R63" s="172"/>
      <c r="S63" s="28">
        <v>0.32361111111111107</v>
      </c>
      <c r="T63" s="28">
        <v>0.33402777777777776</v>
      </c>
      <c r="U63" s="4">
        <f t="shared" si="47"/>
        <v>7.9999999999999716</v>
      </c>
      <c r="V63" s="22">
        <f t="shared" si="46"/>
        <v>15.000000000000027</v>
      </c>
      <c r="W63" s="23"/>
      <c r="X63" s="23"/>
      <c r="Y63" s="23"/>
      <c r="Z63" s="23"/>
      <c r="AA63" s="164"/>
      <c r="AB63" s="164"/>
      <c r="AC63" s="25"/>
      <c r="AD63" s="25"/>
      <c r="AE63" s="19">
        <f t="shared" si="42"/>
        <v>-12.000000000004547</v>
      </c>
      <c r="AF63" s="21">
        <f t="shared" si="9"/>
        <v>0.99499999999999811</v>
      </c>
      <c r="AG63" s="172"/>
    </row>
    <row r="64" spans="1:33" ht="15.75" customHeight="1">
      <c r="A64" s="170" t="s">
        <v>2586</v>
      </c>
      <c r="B64" s="4" t="s">
        <v>100</v>
      </c>
      <c r="C64" s="165" t="s">
        <v>135</v>
      </c>
      <c r="D64" s="165"/>
      <c r="E64" s="37">
        <v>19.02</v>
      </c>
      <c r="F64" s="4">
        <v>7637</v>
      </c>
      <c r="G64" s="4">
        <f t="shared" si="44"/>
        <v>145255.74</v>
      </c>
      <c r="H64" s="22" t="s">
        <v>139</v>
      </c>
      <c r="I64" s="16">
        <v>15</v>
      </c>
      <c r="J64" s="18">
        <v>2400</v>
      </c>
      <c r="K64" s="17">
        <f t="shared" si="1"/>
        <v>160</v>
      </c>
      <c r="L64" s="16">
        <v>15</v>
      </c>
      <c r="M64" s="18">
        <f t="shared" si="45"/>
        <v>2291.1000000000004</v>
      </c>
      <c r="N64" s="17">
        <f t="shared" si="3"/>
        <v>152.74000000000004</v>
      </c>
      <c r="O64" s="19">
        <f t="shared" si="4"/>
        <v>0</v>
      </c>
      <c r="P64" s="20">
        <f t="shared" si="5"/>
        <v>-7.2599999999999625</v>
      </c>
      <c r="Q64" s="21">
        <f t="shared" si="6"/>
        <v>0.95462500000000028</v>
      </c>
      <c r="R64" s="172"/>
      <c r="S64" s="28">
        <v>0.33958333333333329</v>
      </c>
      <c r="T64" s="28">
        <v>0.47847222222222219</v>
      </c>
      <c r="U64" s="4">
        <f t="shared" si="47"/>
        <v>7.9999999999999716</v>
      </c>
      <c r="V64" s="22">
        <f t="shared" si="46"/>
        <v>200</v>
      </c>
      <c r="W64" s="23"/>
      <c r="X64" s="23"/>
      <c r="Y64" s="23"/>
      <c r="Z64" s="23"/>
      <c r="AA64" s="164"/>
      <c r="AB64" s="164"/>
      <c r="AC64" s="25"/>
      <c r="AD64" s="25"/>
      <c r="AE64" s="19">
        <f t="shared" si="42"/>
        <v>-108.89999999999964</v>
      </c>
      <c r="AF64" s="21">
        <f t="shared" si="9"/>
        <v>0.95462500000000017</v>
      </c>
      <c r="AG64" s="172"/>
    </row>
    <row r="65" spans="1:33" ht="16.5" customHeight="1">
      <c r="A65" s="171" t="s">
        <v>2588</v>
      </c>
      <c r="B65" s="37" t="s">
        <v>51</v>
      </c>
      <c r="C65" s="166"/>
      <c r="D65" s="167"/>
      <c r="E65" s="38"/>
      <c r="F65" s="17"/>
      <c r="G65" s="17"/>
      <c r="H65" s="4"/>
      <c r="I65" s="30">
        <v>16.600000000000001</v>
      </c>
      <c r="J65" s="18">
        <v>2400</v>
      </c>
      <c r="K65" s="17">
        <f t="shared" si="1"/>
        <v>144.57831325301203</v>
      </c>
      <c r="L65" s="30">
        <v>16.600000000000001</v>
      </c>
      <c r="M65" s="18">
        <f>AVERAGE(M60:M64)</f>
        <v>2317.8850754895602</v>
      </c>
      <c r="N65" s="17">
        <f t="shared" si="3"/>
        <v>139.63163105358797</v>
      </c>
      <c r="O65" s="19">
        <f t="shared" si="4"/>
        <v>0</v>
      </c>
      <c r="P65" s="20">
        <f t="shared" si="5"/>
        <v>-4.9466821994240604</v>
      </c>
      <c r="Q65" s="21">
        <f t="shared" si="6"/>
        <v>0.96578544812065026</v>
      </c>
      <c r="R65" s="172"/>
      <c r="S65" s="28"/>
      <c r="T65" s="28"/>
      <c r="U65" s="17"/>
      <c r="V65" s="22"/>
      <c r="W65" s="17"/>
      <c r="X65" s="17"/>
      <c r="Y65" s="31">
        <f>SUM(Y60:Y64)</f>
        <v>0</v>
      </c>
      <c r="Z65" s="31">
        <f>SUM(Z60:Z64)</f>
        <v>0</v>
      </c>
      <c r="AA65" s="168"/>
      <c r="AB65" s="168"/>
      <c r="AC65" s="31">
        <v>5</v>
      </c>
      <c r="AD65" s="31">
        <f>SUM(AD60:AD64)</f>
        <v>0</v>
      </c>
      <c r="AE65" s="19">
        <f t="shared" si="42"/>
        <v>-82.114924510439778</v>
      </c>
      <c r="AF65" s="21">
        <f t="shared" si="9"/>
        <v>0.96578544812065015</v>
      </c>
      <c r="AG65" s="172"/>
    </row>
    <row r="66" spans="1:33">
      <c r="D66" s="33"/>
      <c r="E66" s="33"/>
    </row>
  </sheetData>
  <mergeCells count="18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G11:AG13"/>
    <mergeCell ref="C12:D12"/>
    <mergeCell ref="AA12:AB12"/>
    <mergeCell ref="C13:D13"/>
    <mergeCell ref="AA13:AB13"/>
    <mergeCell ref="A14:A18"/>
    <mergeCell ref="C14:D14"/>
    <mergeCell ref="R14:R18"/>
    <mergeCell ref="AA14:AB14"/>
    <mergeCell ref="AG14:AG18"/>
    <mergeCell ref="C18:D18"/>
    <mergeCell ref="AA18:AB18"/>
    <mergeCell ref="A19:A24"/>
    <mergeCell ref="C19:D19"/>
    <mergeCell ref="R19:R24"/>
    <mergeCell ref="AA19:AB19"/>
    <mergeCell ref="AA24:AB24"/>
    <mergeCell ref="C15:D15"/>
    <mergeCell ref="AA15:AB15"/>
    <mergeCell ref="C16:D16"/>
    <mergeCell ref="AA16:AB16"/>
    <mergeCell ref="C17:D17"/>
    <mergeCell ref="AA17:AB17"/>
    <mergeCell ref="AG25:AG30"/>
    <mergeCell ref="C26:D26"/>
    <mergeCell ref="AA26:AB26"/>
    <mergeCell ref="C27:D27"/>
    <mergeCell ref="AA27:AB27"/>
    <mergeCell ref="C28:D28"/>
    <mergeCell ref="AG19:AG24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8:AB28"/>
    <mergeCell ref="C29:D29"/>
    <mergeCell ref="AA29:AB29"/>
    <mergeCell ref="C30:D30"/>
    <mergeCell ref="AA30:AB30"/>
    <mergeCell ref="A31:A36"/>
    <mergeCell ref="C31:D31"/>
    <mergeCell ref="R31:R36"/>
    <mergeCell ref="AA31:AB31"/>
    <mergeCell ref="AA36:AB36"/>
    <mergeCell ref="A25:A30"/>
    <mergeCell ref="C25:D25"/>
    <mergeCell ref="R25:R30"/>
    <mergeCell ref="AA25:AB25"/>
    <mergeCell ref="AG37:AG42"/>
    <mergeCell ref="C38:D38"/>
    <mergeCell ref="AA38:AB38"/>
    <mergeCell ref="C39:D39"/>
    <mergeCell ref="AA39:AB39"/>
    <mergeCell ref="C40:D40"/>
    <mergeCell ref="AG31:AG36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40:AB40"/>
    <mergeCell ref="C41:D41"/>
    <mergeCell ref="AA41:AB41"/>
    <mergeCell ref="C42:D42"/>
    <mergeCell ref="AA42:AB42"/>
    <mergeCell ref="A43:A52"/>
    <mergeCell ref="C43:D43"/>
    <mergeCell ref="R43:R52"/>
    <mergeCell ref="AA43:AB43"/>
    <mergeCell ref="AA49:AB49"/>
    <mergeCell ref="A37:A42"/>
    <mergeCell ref="C37:D37"/>
    <mergeCell ref="R37:R42"/>
    <mergeCell ref="AA37:AB37"/>
    <mergeCell ref="C50:D50"/>
    <mergeCell ref="AA50:AB50"/>
    <mergeCell ref="C51:D51"/>
    <mergeCell ref="AA51:AB51"/>
    <mergeCell ref="C52:D52"/>
    <mergeCell ref="AA52:AB52"/>
    <mergeCell ref="AG43:AG52"/>
    <mergeCell ref="C44:D44"/>
    <mergeCell ref="AA44:AB44"/>
    <mergeCell ref="C45:D45"/>
    <mergeCell ref="AA45:AB45"/>
    <mergeCell ref="AA46:AB46"/>
    <mergeCell ref="AA47:AB47"/>
    <mergeCell ref="C48:D48"/>
    <mergeCell ref="AA48:AB48"/>
    <mergeCell ref="C49:D49"/>
    <mergeCell ref="A53:A59"/>
    <mergeCell ref="C53:D53"/>
    <mergeCell ref="R53:R59"/>
    <mergeCell ref="AA53:AB53"/>
    <mergeCell ref="AG53:AG59"/>
    <mergeCell ref="C54:D54"/>
    <mergeCell ref="AA54:AB54"/>
    <mergeCell ref="C55:D55"/>
    <mergeCell ref="AA55:AB55"/>
    <mergeCell ref="C56:D56"/>
    <mergeCell ref="AG60:AG65"/>
    <mergeCell ref="C61:D61"/>
    <mergeCell ref="AA61:AB61"/>
    <mergeCell ref="C62:D62"/>
    <mergeCell ref="AA62:AB62"/>
    <mergeCell ref="C63:D63"/>
    <mergeCell ref="AA56:AB56"/>
    <mergeCell ref="C57:D57"/>
    <mergeCell ref="AA57:AB57"/>
    <mergeCell ref="C58:D58"/>
    <mergeCell ref="AA58:AB58"/>
    <mergeCell ref="C59:D59"/>
    <mergeCell ref="AA59:AB59"/>
    <mergeCell ref="AA63:AB63"/>
    <mergeCell ref="C64:D64"/>
    <mergeCell ref="AA64:AB64"/>
    <mergeCell ref="C65:D65"/>
    <mergeCell ref="AA65:AB65"/>
    <mergeCell ref="A60:A65"/>
    <mergeCell ref="C60:D60"/>
    <mergeCell ref="R60:R65"/>
    <mergeCell ref="AA60:AB60"/>
  </mergeCells>
  <phoneticPr fontId="3" type="noConversion"/>
  <conditionalFormatting sqref="O5:O65">
    <cfRule type="cellIs" dxfId="274" priority="1" operator="greaterThan">
      <formula>0</formula>
    </cfRule>
  </conditionalFormatting>
  <conditionalFormatting sqref="P5:P65">
    <cfRule type="cellIs" dxfId="273" priority="4" operator="lessThan">
      <formula>0</formula>
    </cfRule>
  </conditionalFormatting>
  <conditionalFormatting sqref="Q5:Q65">
    <cfRule type="cellIs" dxfId="272" priority="2" operator="greaterThan">
      <formula>1</formula>
    </cfRule>
    <cfRule type="cellIs" dxfId="271" priority="3" operator="lessThan">
      <formula>0.8</formula>
    </cfRule>
  </conditionalFormatting>
  <conditionalFormatting sqref="R5:R11 AG5:AG11">
    <cfRule type="cellIs" dxfId="270" priority="52" operator="lessThan">
      <formula>0.8</formula>
    </cfRule>
  </conditionalFormatting>
  <conditionalFormatting sqref="AE5:AE65">
    <cfRule type="cellIs" dxfId="269" priority="17" operator="lessThan">
      <formula>0</formula>
    </cfRule>
  </conditionalFormatting>
  <conditionalFormatting sqref="AF5:AF65">
    <cfRule type="cellIs" dxfId="268" priority="15" operator="greaterThan">
      <formula>1</formula>
    </cfRule>
    <cfRule type="cellIs" dxfId="267" priority="16" operator="lessThan">
      <formula>0.8</formula>
    </cfRule>
  </conditionalFormatting>
  <conditionalFormatting sqref="AG14:AG56 R14:R65">
    <cfRule type="cellIs" dxfId="266" priority="5" operator="lessThan">
      <formula>0.8</formula>
    </cfRule>
  </conditionalFormatting>
  <dataValidations count="1">
    <dataValidation type="list" allowBlank="1" showInputMessage="1" showErrorMessage="1" sqref="AB10 AA5:AB9 AB57:AB58 AB12:AB53 AA10:AA58 AA59:AB65" xr:uid="{00000000-0002-0000-0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32"/>
  <sheetViews>
    <sheetView zoomScale="85" zoomScaleNormal="85" workbookViewId="0">
      <selection activeCell="G5" sqref="G5:H5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2393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2394</v>
      </c>
      <c r="C3" s="153" t="str">
        <f>TEXT('0227 4度C'!A2,"yyyy.mm.ddaaaa")</f>
        <v>2026.02.27星期五</v>
      </c>
      <c r="D3" s="154"/>
      <c r="E3" s="47" t="s">
        <v>2395</v>
      </c>
      <c r="F3" s="155">
        <f>'0227 4度C'!D1</f>
        <v>119463</v>
      </c>
      <c r="G3" s="156"/>
      <c r="H3" s="47" t="s">
        <v>2396</v>
      </c>
      <c r="I3" s="157">
        <f>'0227 4度C'!F1</f>
        <v>4109978.4299999997</v>
      </c>
      <c r="J3" s="158"/>
      <c r="K3" s="48"/>
      <c r="L3" s="49"/>
      <c r="M3" s="49"/>
      <c r="N3" s="49"/>
    </row>
    <row r="4" spans="2:17" ht="28.5" customHeight="1">
      <c r="B4" s="159" t="s">
        <v>2397</v>
      </c>
      <c r="C4" s="145" t="s">
        <v>2398</v>
      </c>
      <c r="D4" s="146"/>
      <c r="E4" s="162" t="s">
        <v>2399</v>
      </c>
      <c r="F4" s="163"/>
      <c r="G4" s="162" t="s">
        <v>2400</v>
      </c>
      <c r="H4" s="163"/>
      <c r="I4" s="162" t="s">
        <v>2401</v>
      </c>
      <c r="J4" s="163"/>
      <c r="K4" s="143" t="s">
        <v>2402</v>
      </c>
      <c r="L4" s="144"/>
      <c r="M4" s="144" t="s">
        <v>2403</v>
      </c>
      <c r="N4" s="144"/>
    </row>
    <row r="5" spans="2:17" ht="28.5" customHeight="1">
      <c r="B5" s="160"/>
      <c r="C5" s="145" t="s">
        <v>2404</v>
      </c>
      <c r="D5" s="146"/>
      <c r="E5" s="145" t="s">
        <v>2405</v>
      </c>
      <c r="F5" s="146"/>
      <c r="G5" s="147" t="s">
        <v>2406</v>
      </c>
      <c r="H5" s="148"/>
      <c r="I5" s="149" t="s">
        <v>2407</v>
      </c>
      <c r="J5" s="150"/>
      <c r="K5" s="50" t="s">
        <v>2408</v>
      </c>
      <c r="L5" s="51" t="s">
        <v>2409</v>
      </c>
      <c r="M5" s="50" t="s">
        <v>2408</v>
      </c>
      <c r="N5" s="51" t="s">
        <v>2410</v>
      </c>
    </row>
    <row r="6" spans="2:17" ht="28.5" customHeight="1">
      <c r="B6" s="160"/>
      <c r="C6" s="145" t="s">
        <v>158</v>
      </c>
      <c r="D6" s="146"/>
      <c r="E6" s="137">
        <f>AVERAGE(D13:M13)</f>
        <v>145.24103424916737</v>
      </c>
      <c r="F6" s="138">
        <f>AVERAGE(D31:O31,D13:J13)</f>
        <v>148.71908718090421</v>
      </c>
      <c r="G6" s="139">
        <f>AVERAGE(D13:J13)</f>
        <v>148.71908718090421</v>
      </c>
      <c r="H6" s="140"/>
      <c r="I6" s="139">
        <f>AVERAGE(K13:M13)</f>
        <v>137.12557740844801</v>
      </c>
      <c r="J6" s="140"/>
      <c r="K6" s="141">
        <f>'0227 4度C'!Y2</f>
        <v>0</v>
      </c>
      <c r="L6" s="126">
        <f>'0227 4度C'!Z2</f>
        <v>0</v>
      </c>
      <c r="M6" s="142">
        <f>'0227 4度C'!AC2</f>
        <v>53</v>
      </c>
      <c r="N6" s="126">
        <f>'0227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139.33386409678548</v>
      </c>
      <c r="F7" s="130">
        <f>AVERAGE(D32:O32,D14:J14)</f>
        <v>142.76167804150336</v>
      </c>
      <c r="G7" s="131">
        <f>AVERAGE(D14:J14)</f>
        <v>142.76167804150336</v>
      </c>
      <c r="H7" s="132"/>
      <c r="I7" s="131">
        <f>AVERAGE(K14:M14)</f>
        <v>131.33563155911034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0.95881772337926063</v>
      </c>
      <c r="F8" s="134">
        <f>AVERAGE(D15:J15,D33:O33)</f>
        <v>0.95924734341342488</v>
      </c>
      <c r="G8" s="135">
        <f>AVERAGE(D15:J15)</f>
        <v>0.95924734341342488</v>
      </c>
      <c r="H8" s="136"/>
      <c r="I8" s="135">
        <f>AVERAGE(K15:M15)</f>
        <v>0.95781527663287791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2411</v>
      </c>
      <c r="N9" s="49"/>
      <c r="O9" s="49"/>
      <c r="P9" s="49"/>
      <c r="Q9" s="49"/>
    </row>
    <row r="10" spans="2:17" ht="30" customHeight="1">
      <c r="B10" s="109" t="s">
        <v>2412</v>
      </c>
      <c r="C10" s="110"/>
      <c r="D10" s="111" t="s">
        <v>2413</v>
      </c>
      <c r="E10" s="112"/>
      <c r="F10" s="112"/>
      <c r="G10" s="112"/>
      <c r="H10" s="112"/>
      <c r="I10" s="112"/>
      <c r="J10" s="113"/>
      <c r="K10" s="114" t="s">
        <v>2414</v>
      </c>
      <c r="L10" s="115"/>
      <c r="M10" s="116"/>
      <c r="P10" s="55"/>
      <c r="Q10" s="55"/>
    </row>
    <row r="11" spans="2:17" ht="17.25" customHeight="1">
      <c r="B11" s="117" t="s">
        <v>2415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2416</v>
      </c>
      <c r="C13" s="62" t="s">
        <v>2417</v>
      </c>
      <c r="D13" s="63">
        <f>SUMIFS('0227 4度C'!$K:$K,'0227 4度C'!$A:$A,"新豐6線",'0227 4度C'!$B:$B,"平均")</f>
        <v>112.35955056179775</v>
      </c>
      <c r="E13" s="64">
        <f>SUMIFS('0227 4度C'!$K:$K,'0227 4度C'!$A:$A,"新豐2線",'0227 4度C'!$B:$B,"平均")</f>
        <v>83.333333333333329</v>
      </c>
      <c r="F13" s="65">
        <f>SUMIFS('0227 4度C'!$K:$K,'0227 4度C'!$A:$A,"新豐5線",'0227 4度C'!$B:$B,"平均")</f>
        <v>104.16666666666667</v>
      </c>
      <c r="G13" s="65">
        <f>SUMIFS('0227 4度C'!$K:$K,'0227 4度C'!$A:$A,"新豐7線",'0227 4度C'!$B:$B,"平均")</f>
        <v>128.37837837837839</v>
      </c>
      <c r="H13" s="65">
        <f>SUMIFS('0227 4度C'!$K:$K,'0227 4度C'!$A:$A,"新豐3線",'0227 4度C'!$B:$B,"平均")</f>
        <v>303.79746835443041</v>
      </c>
      <c r="I13" s="65">
        <f>SUMIFS('0227 4度C'!$K:$K,'0227 4度C'!$A:$A,"新豐1線",'0227 4度C'!$B:$B,"平均")</f>
        <v>102.64900662251655</v>
      </c>
      <c r="J13" s="66">
        <f>SUMIFS('0227 4度C'!$K:$K,'0227 4度C'!$A:$A,"新豐10線",'0227 4度C'!$B:$B,"平均")</f>
        <v>206.34920634920633</v>
      </c>
      <c r="K13" s="67">
        <f>SUMIFS('0227 4度C'!$K:$K,'0227 4度C'!$A:$A,"新豐8線",'0227 4度C'!$B:$B,"平均")</f>
        <v>130.43478260869566</v>
      </c>
      <c r="L13" s="68">
        <f>SUMIFS('0227 4度C'!$K:$K,'0227 4度C'!$A:$A,"新豐9線",'0227 4度C'!$B:$B,"平均")</f>
        <v>136.36363636363635</v>
      </c>
      <c r="M13" s="66">
        <f>SUMIFS('0227 4度C'!$K:$K,'0227 4度C'!$A:$A,"新豐4線",'0227 4度C'!$B:$B,"平均")</f>
        <v>144.57831325301203</v>
      </c>
    </row>
    <row r="14" spans="2:17" ht="39.6" customHeight="1">
      <c r="B14" s="122"/>
      <c r="C14" s="69" t="s">
        <v>2418</v>
      </c>
      <c r="D14" s="70">
        <f>SUMIFS('0227 4度C'!$N:$N,'0227 4度C'!$A:$A,"新豐6線",'0227 4度C'!$B:$B,"平均")</f>
        <v>108.87631361017777</v>
      </c>
      <c r="E14" s="71">
        <f>SUMIFS('0227 4度C'!$N:$N,'0227 4度C'!$A:$A,"新豐2線",'0227 4度C'!$B:$B,"平均")</f>
        <v>79.702970297029708</v>
      </c>
      <c r="F14" s="71">
        <f>SUMIFS('0227 4度C'!$N:$N,'0227 4度C'!$A:$A,"新豐5線",'0227 4度C'!$B:$B,"平均")</f>
        <v>99.901069622205171</v>
      </c>
      <c r="G14" s="71">
        <f>SUMIFS('0227 4度C'!$N:$N,'0227 4度C'!$A:$A,"新豐7線",'0227 4度C'!$B:$B,"平均")</f>
        <v>123.44317376647821</v>
      </c>
      <c r="H14" s="71">
        <f>SUMIFS('0227 4度C'!$N:$N,'0227 4度C'!$A:$A,"新豐3線",'0227 4度C'!$B:$B,"平均")</f>
        <v>292.01494658882092</v>
      </c>
      <c r="I14" s="71">
        <f>SUMIFS('0227 4度C'!$N:$N,'0227 4度C'!$A:$A,"新豐1線",'0227 4度C'!$B:$B,"平均")</f>
        <v>97.216721137531337</v>
      </c>
      <c r="J14" s="72">
        <f>SUMIFS('0227 4度C'!$N:$N,'0227 4度C'!$A:$A,"新豐10線",'0227 4度C'!$B:$B,"平均")</f>
        <v>198.17655126828043</v>
      </c>
      <c r="K14" s="73">
        <f>SUMIFS('0227 4度C'!$N:$N,'0227 4度C'!$A:$A,"新豐8線",'0227 4度C'!$B:$B,"平均")</f>
        <v>125.01973808037879</v>
      </c>
      <c r="L14" s="74">
        <f>SUMIFS('0227 4度C'!$N:$N,'0227 4度C'!$A:$A,"新豐9線",'0227 4度C'!$B:$B,"平均")</f>
        <v>130.72001156834366</v>
      </c>
      <c r="M14" s="72">
        <f>SUMIFS('0227 4度C'!$N:$N,'0227 4度C'!$A:$A,"新豐4線",'0227 4度C'!$B:$B,"平均")</f>
        <v>138.26714502860861</v>
      </c>
    </row>
    <row r="15" spans="2:17" ht="40.15" customHeight="1">
      <c r="B15" s="123"/>
      <c r="C15" s="75" t="s">
        <v>2419</v>
      </c>
      <c r="D15" s="76">
        <f t="shared" ref="D15:M15" si="0">D14/D13</f>
        <v>0.96899919113058219</v>
      </c>
      <c r="E15" s="77">
        <f t="shared" si="0"/>
        <v>0.95643564356435651</v>
      </c>
      <c r="F15" s="77">
        <f t="shared" si="0"/>
        <v>0.95905026837316965</v>
      </c>
      <c r="G15" s="77">
        <f t="shared" si="0"/>
        <v>0.96155735354940919</v>
      </c>
      <c r="H15" s="77">
        <f t="shared" si="0"/>
        <v>0.96121586585486873</v>
      </c>
      <c r="I15" s="77">
        <f t="shared" si="0"/>
        <v>0.9470790252753053</v>
      </c>
      <c r="J15" s="78">
        <f t="shared" si="0"/>
        <v>0.96039405614628226</v>
      </c>
      <c r="K15" s="76">
        <f t="shared" si="0"/>
        <v>0.95848465861623733</v>
      </c>
      <c r="L15" s="77">
        <f t="shared" si="0"/>
        <v>0.95861341816785361</v>
      </c>
      <c r="M15" s="78">
        <f t="shared" si="0"/>
        <v>0.95634775311454301</v>
      </c>
    </row>
    <row r="16" spans="2:17" ht="17.25" customHeight="1">
      <c r="B16" s="124" t="s">
        <v>2420</v>
      </c>
      <c r="C16" s="79" t="s">
        <v>2421</v>
      </c>
      <c r="D16" s="80">
        <f>VLOOKUP("新豐6線",'0227 4度C'!$A:$T,19,0)</f>
        <v>0.70833333333333337</v>
      </c>
      <c r="E16" s="81">
        <f>VLOOKUP("新豐2線",'0227 4度C'!$A:$T,19,0)</f>
        <v>0.20833333333333334</v>
      </c>
      <c r="F16" s="81">
        <f>VLOOKUP("新豐5線",'0227 4度C'!$A:$T,19,0)</f>
        <v>0.20833333333333334</v>
      </c>
      <c r="G16" s="81">
        <f>VLOOKUP("新豐7線",'0227 4度C'!$A:$T,19,0)</f>
        <v>0.20833333333333334</v>
      </c>
      <c r="H16" s="81">
        <f>VLOOKUP("新豐3線",'0227 4度C'!$A:$T,19,0)</f>
        <v>0.20833333333333334</v>
      </c>
      <c r="I16" s="81">
        <f>VLOOKUP("新豐1線",'0227 4度C'!$A:$T,19,0)</f>
        <v>0.20833333333333334</v>
      </c>
      <c r="J16" s="82">
        <f>VLOOKUP("新豐10線",'0227 4度C'!$A:$T,19,0)</f>
        <v>0.20833333333333334</v>
      </c>
      <c r="K16" s="83">
        <f>VLOOKUP("新豐8線",'0227 4度C'!$A:$T,19,0)</f>
        <v>0.125</v>
      </c>
      <c r="L16" s="84">
        <f>VLOOKUP("新豐9線",'0227 4度C'!$A:$T,19,0)</f>
        <v>0.125</v>
      </c>
      <c r="M16" s="85">
        <f>VLOOKUP("新豐4線",'0227 4度C'!$A:$T,19,0)</f>
        <v>0.125</v>
      </c>
    </row>
    <row r="17" spans="2:13" ht="17.25" customHeight="1">
      <c r="B17" s="125"/>
      <c r="C17" s="79" t="s">
        <v>2422</v>
      </c>
      <c r="D17" s="83">
        <f>LOOKUP(2,1/(('0227 4度C'!$A:$A="新豐6線")*('0227 4度C'!$T:$T&lt;&gt;"")),'0227 4度C'!$T:$T)</f>
        <v>0.82361111111111107</v>
      </c>
      <c r="E17" s="81">
        <f>LOOKUP(2,1/(('0227 4度C'!$A:$A="新豐2線")*('0227 4度C'!$T:$T&lt;&gt;"")),'0227 4度C'!$T:$T)</f>
        <v>0.43888888888888888</v>
      </c>
      <c r="F17" s="81">
        <f>LOOKUP(2,1/(('0227 4度C'!$A:$A="新豐5線")*('0227 4度C'!$T:$T&lt;&gt;"")),'0227 4度C'!$T:$T)</f>
        <v>0.83819444444444435</v>
      </c>
      <c r="G17" s="81">
        <f>LOOKUP(2,1/(('0227 4度C'!$A:$A="新豐7線")*('0227 4度C'!$T:$T&lt;&gt;"")),'0227 4度C'!$T:$T)</f>
        <v>0.83124999999999993</v>
      </c>
      <c r="H17" s="81">
        <f>LOOKUP(2,1/(('0227 4度C'!$A:$A="新豐3線")*('0227 4度C'!$T:$T&lt;&gt;"")),'0227 4度C'!$T:$T)</f>
        <v>0.6020833333333333</v>
      </c>
      <c r="I17" s="81">
        <f>LOOKUP(2,1/(('0227 4度C'!$A:$A="新豐1線")*('0227 4度C'!$T:$T&lt;&gt;"")),'0227 4度C'!$T:$T)</f>
        <v>0.84444444444444444</v>
      </c>
      <c r="J17" s="82">
        <f>LOOKUP(2,1/(('0227 4度C'!$A:$A="新豐10線")*('0227 4度C'!$T:$T&lt;&gt;"")),'0227 4度C'!$T:$T)</f>
        <v>0.38749999999999996</v>
      </c>
      <c r="K17" s="80">
        <f>LOOKUP(2,1/(('0227 4度C'!$A:$A="新豐8線")*('0227 4度C'!$T:$T&lt;&gt;"")),'0227 4度C'!$T:$T)</f>
        <v>0.47152777777777777</v>
      </c>
      <c r="L17" s="81">
        <f>LOOKUP(2,1/(('0227 4度C'!$A:$A="新豐9線")*('0227 4度C'!$T:$T&lt;&gt;"")),'0227 4度C'!$T:$T)</f>
        <v>0.46944444444444444</v>
      </c>
      <c r="M17" s="82">
        <f>LOOKUP(2,1/(('0227 4度C'!$A:$A="新豐4線")*('0227 4度C'!$T:$T&lt;&gt;"")),'0227 4度C'!$T:$T)</f>
        <v>0.44583333333333336</v>
      </c>
    </row>
    <row r="18" spans="2:13" ht="17.25" customHeight="1">
      <c r="B18" s="103" t="s">
        <v>2423</v>
      </c>
      <c r="C18" s="86" t="s">
        <v>2424</v>
      </c>
      <c r="D18" s="87">
        <f>SUMIFS('0227 4度C'!$Y:$Y,'0227 4度C'!$A:$A,"新豐6線",'0227 4度C'!$B:$B,"平均")</f>
        <v>0</v>
      </c>
      <c r="E18" s="88">
        <f>SUMIFS('0227 4度C'!$Y:$Y,'0227 4度C'!$A:$A,"新豐2線",'0227 4度C'!$B:$B,"平均")</f>
        <v>0</v>
      </c>
      <c r="F18" s="88">
        <f>SUMIFS('0227 4度C'!$Y:$Y,'0227 4度C'!$A:$A,"新豐5線",'0227 4度C'!$B:$B,"平均")</f>
        <v>0</v>
      </c>
      <c r="G18" s="88">
        <f>SUMIFS('0227 4度C'!$Y:$Y,'0227 4度C'!$A:$A,"新豐7線",'0227 4度C'!$B:$B,"平均")</f>
        <v>0</v>
      </c>
      <c r="H18" s="88">
        <f>SUMIFS('0227 4度C'!$Y:$Y,'0227 4度C'!$A:$A,"新豐3線",'0227 4度C'!$B:$B,"平均")</f>
        <v>0</v>
      </c>
      <c r="I18" s="88">
        <f>SUMIFS('0227 4度C'!$Y:$Y,'0227 4度C'!$A:$A,"新豐1線",'0227 4度C'!$B:$B,"平均")</f>
        <v>0</v>
      </c>
      <c r="J18" s="89">
        <f>SUMIFS('0227 4度C'!$Y:$Y,'0227 4度C'!$A:$A,"新豐10線",'0227 4度C'!$B:$B,"平均")</f>
        <v>0</v>
      </c>
      <c r="K18" s="90">
        <f>SUMIFS('0227 4度C'!$Y:$Y,'0227 4度C'!$A:$A,"新豐8線",'0227 4度C'!$B:$B,"平均")</f>
        <v>0</v>
      </c>
      <c r="L18" s="88">
        <f>SUMIFS('0227 4度C'!$Y:$Y,'0227 4度C'!$A:$A,"新豐9線",'0227 4度C'!$B:$B,"平均")</f>
        <v>0</v>
      </c>
      <c r="M18" s="89">
        <f>SUMIFS('0227 4度C'!$Y:$Y,'0227 4度C'!$A:$A,"新豐4線",'0227 4度C'!$B:$B,"平均")</f>
        <v>0</v>
      </c>
    </row>
    <row r="19" spans="2:13" ht="17.25" customHeight="1">
      <c r="B19" s="104"/>
      <c r="C19" s="86" t="s">
        <v>2425</v>
      </c>
      <c r="D19" s="87">
        <f>SUMIFS('0227 4度C'!$Z:$Z,'0227 4度C'!$A:$A,"新豐6線",'0227 4度C'!$B:$B,"平均")</f>
        <v>0</v>
      </c>
      <c r="E19" s="88">
        <f>SUMIFS('0227 4度C'!$Z:$Z,'0227 4度C'!$A:$A,"新豐2線",'0227 4度C'!$B:$B,"平均")</f>
        <v>0</v>
      </c>
      <c r="F19" s="88">
        <f>SUMIFS('0227 4度C'!$Z:$Z,'0227 4度C'!$A:$A,"新豐5線",'0227 4度C'!$B:$B,"平均")</f>
        <v>0</v>
      </c>
      <c r="G19" s="88">
        <f>SUMIFS('0227 4度C'!$Z:$Z,'0227 4度C'!$A:$A,"新豐7線",'0227 4度C'!$B:$B,"平均")</f>
        <v>0</v>
      </c>
      <c r="H19" s="88">
        <f>SUMIFS('0227 4度C'!$Z:$Z,'0227 4度C'!$A:$A,"新豐3線",'0227 4度C'!$B:$B,"平均")</f>
        <v>0</v>
      </c>
      <c r="I19" s="88">
        <f>SUMIFS('0227 4度C'!$Z:$Z,'0227 4度C'!$A:$A,"新豐1線",'0227 4度C'!$B:$B,"平均")</f>
        <v>0</v>
      </c>
      <c r="J19" s="89">
        <f>SUMIFS('0227 4度C'!$Z:$Z,'0227 4度C'!$A:$A,"新豐10線",'0227 4度C'!$B:$B,"平均")</f>
        <v>0</v>
      </c>
      <c r="K19" s="90">
        <f>SUMIFS('0227 4度C'!$Z:$Z,'0227 4度C'!$A:$A,"新豐8線",'0227 4度C'!$B:$B,"平均")</f>
        <v>0</v>
      </c>
      <c r="L19" s="88">
        <f>SUMIFS('0227 4度C'!$Z:$Z,'0227 4度C'!$A:$A,"新豐9線",'0227 4度C'!$B:$B,"平均")</f>
        <v>0</v>
      </c>
      <c r="M19" s="89">
        <f>SUMIFS('0227 4度C'!$Z:$Z,'0227 4度C'!$A:$A,"新豐4線",'0227 4度C'!$B:$B,"平均")</f>
        <v>0</v>
      </c>
    </row>
    <row r="20" spans="2:13" ht="17.25" customHeight="1">
      <c r="B20" s="103" t="s">
        <v>2426</v>
      </c>
      <c r="C20" s="86" t="s">
        <v>2424</v>
      </c>
      <c r="D20" s="87">
        <f>SUMIFS('0227 4度C'!$AC:$AC,'0227 4度C'!$A:$A,"新豐6線",'0227 4度C'!$B:$B,"平均")</f>
        <v>5</v>
      </c>
      <c r="E20" s="88">
        <f>SUMIFS('0227 4度C'!$AC:$AC,'0227 4度C'!$A:$A,"新豐2線",'0227 4度C'!$B:$B,"平均")</f>
        <v>2</v>
      </c>
      <c r="F20" s="88">
        <f>SUMIFS('0227 4度C'!$AC:$AC,'0227 4度C'!$A:$A,"新豐5線",'0227 4度C'!$B:$B,"平均")</f>
        <v>4</v>
      </c>
      <c r="G20" s="88">
        <f>SUMIFS('0227 4度C'!$AC:$AC,'0227 4度C'!$A:$A,"新豐7線",'0227 4度C'!$B:$B,"平均")</f>
        <v>5</v>
      </c>
      <c r="H20" s="88">
        <f>SUMIFS('0227 4度C'!$AC:$AC,'0227 4度C'!$A:$A,"新豐3線",'0227 4度C'!$B:$B,"平均")</f>
        <v>8</v>
      </c>
      <c r="I20" s="88">
        <f>SUMIFS('0227 4度C'!$AC:$AC,'0227 4度C'!$A:$A,"新豐1線",'0227 4度C'!$B:$B,"平均")</f>
        <v>8</v>
      </c>
      <c r="J20" s="89">
        <f>SUMIFS('0227 4度C'!$AC:$AC,'0227 4度C'!$A:$A,"新豐10線",'0227 4度C'!$B:$B,"平均")</f>
        <v>6</v>
      </c>
      <c r="K20" s="90">
        <f>SUMIFS('0227 4度C'!$AC:$AC,'0227 4度C'!$A:$A,"新豐8線",'0227 4度C'!$B:$B,"平均")</f>
        <v>5</v>
      </c>
      <c r="L20" s="88">
        <f>SUMIFS('0227 4度C'!$AC:$AC,'0227 4度C'!$A:$A,"新豐9線",'0227 4度C'!$B:$B,"平均")</f>
        <v>5</v>
      </c>
      <c r="M20" s="89">
        <f>SUMIFS('0227 4度C'!$AC:$AC,'0227 4度C'!$A:$A,"新豐4線",'0227 4度C'!$B:$B,"平均")</f>
        <v>5</v>
      </c>
    </row>
    <row r="21" spans="2:13" ht="17.25" customHeight="1">
      <c r="B21" s="104"/>
      <c r="C21" s="86" t="s">
        <v>2427</v>
      </c>
      <c r="D21" s="87">
        <f>SUMIFS('0227 4度C'!$AD:$AD,'0227 4度C'!$A:$A,"新豐6線",'0227 4度C'!$B:$B,"平均")</f>
        <v>0</v>
      </c>
      <c r="E21" s="88">
        <f>SUMIFS('0227 4度C'!$AD:$AD,'0227 4度C'!$A:$A,"新豐2線",'0227 4度C'!$B:$B,"平均")</f>
        <v>0</v>
      </c>
      <c r="F21" s="88">
        <f>SUMIFS('0227 4度C'!$AD:$AD,'0227 4度C'!$A:$A,"新豐5線",'0227 4度C'!$B:$B,"平均")</f>
        <v>0</v>
      </c>
      <c r="G21" s="88">
        <f>SUMIFS('0227 4度C'!$AD:$AD,'0227 4度C'!$A:$A,"新豐7線",'0227 4度C'!$B:$B,"平均")</f>
        <v>0</v>
      </c>
      <c r="H21" s="88">
        <f>SUMIFS('0227 4度C'!$AD:$AD,'0227 4度C'!$A:$A,"新豐3線",'0227 4度C'!$B:$B,"平均")</f>
        <v>0</v>
      </c>
      <c r="I21" s="88">
        <f>SUMIFS('0227 4度C'!$AD:$AD,'0227 4度C'!$A:$A,"新豐1線",'0227 4度C'!$B:$B,"平均")</f>
        <v>0</v>
      </c>
      <c r="J21" s="89">
        <f>SUMIFS('0227 4度C'!$AD:$AD,'0227 4度C'!$A:$A,"新豐10線",'0227 4度C'!$B:$B,"平均")</f>
        <v>0</v>
      </c>
      <c r="K21" s="90">
        <f>SUMIFS('0227 4度C'!$AD:$AD,'0227 4度C'!$A:$A,"新豐8線",'0227 4度C'!$B:$B,"平均")</f>
        <v>0</v>
      </c>
      <c r="L21" s="88">
        <f>SUMIFS('0227 4度C'!$AD:$AD,'0227 4度C'!$A:$A,"新豐9線",'0227 4度C'!$B:$B,"平均")</f>
        <v>0</v>
      </c>
      <c r="M21" s="89">
        <f>SUMIFS('0227 4度C'!$AD:$AD,'0227 4度C'!$A:$A,"新豐4線",'0227 4度C'!$B:$B,"平均")</f>
        <v>0</v>
      </c>
    </row>
    <row r="22" spans="2:13" ht="17.25" customHeight="1">
      <c r="B22" s="105" t="s">
        <v>2428</v>
      </c>
      <c r="C22" s="106"/>
      <c r="D22" s="91">
        <f>SUMIFS('0227 4度C'!$I:$I,'0227 4度C'!$A:$A,"新豐6線",'0227 4度C'!$B:$B,"平均")</f>
        <v>17.8</v>
      </c>
      <c r="E22" s="92">
        <f>SUMIFS('0227 4度C'!$I:$I,'0227 4度C'!$A:$A,"新豐2線",'0227 4度C'!$B:$B,"平均")</f>
        <v>18</v>
      </c>
      <c r="F22" s="92">
        <f>SUMIFS('0227 4度C'!$I:$I,'0227 4度C'!$A:$A,"新豐5線",'0227 4度C'!$B:$B,"平均")</f>
        <v>18</v>
      </c>
      <c r="G22" s="92">
        <f>SUMIFS('0227 4度C'!$I:$I,'0227 4度C'!$A:$A,"新豐7線",'0227 4度C'!$B:$B,"平均")</f>
        <v>14.8</v>
      </c>
      <c r="H22" s="92">
        <f>SUMIFS('0227 4度C'!$I:$I,'0227 4度C'!$A:$A,"新豐3線",'0227 4度C'!$B:$B,"平均")</f>
        <v>9.875</v>
      </c>
      <c r="I22" s="92">
        <f>SUMIFS('0227 4度C'!$I:$I,'0227 4度C'!$A:$A,"新豐1線",'0227 4度C'!$B:$B,"平均")</f>
        <v>18.875</v>
      </c>
      <c r="J22" s="93">
        <f>SUMIFS('0227 4度C'!$I:$I,'0227 4度C'!$A:$A,"新豐10線",'0227 4度C'!$B:$B,"平均")</f>
        <v>10.5</v>
      </c>
      <c r="K22" s="91">
        <f>SUMIFS('0227 4度C'!$I:$I,'0227 4度C'!$A:$A,"新豐8線",'0227 4度C'!$B:$B,"平均")</f>
        <v>18.399999999999999</v>
      </c>
      <c r="L22" s="92">
        <f>SUMIFS('0227 4度C'!$I:$I,'0227 4度C'!$A:$A,"新豐9線",'0227 4度C'!$B:$B,"平均")</f>
        <v>17.600000000000001</v>
      </c>
      <c r="M22" s="93">
        <f>SUMIFS('0227 4度C'!$I:$I,'0227 4度C'!$A:$A,"新豐4線",'0227 4度C'!$B:$B,"平均")</f>
        <v>16.600000000000001</v>
      </c>
    </row>
    <row r="23" spans="2:13" ht="17.25" customHeight="1">
      <c r="B23" s="105" t="s">
        <v>2429</v>
      </c>
      <c r="C23" s="106"/>
      <c r="D23" s="94" t="s">
        <v>191</v>
      </c>
      <c r="E23" s="95" t="s">
        <v>192</v>
      </c>
      <c r="F23" s="95" t="s">
        <v>2430</v>
      </c>
      <c r="G23" s="95" t="s">
        <v>2430</v>
      </c>
      <c r="H23" s="95" t="s">
        <v>194</v>
      </c>
      <c r="I23" s="95" t="s">
        <v>191</v>
      </c>
      <c r="J23" s="96" t="s">
        <v>194</v>
      </c>
      <c r="K23" s="94" t="s">
        <v>2431</v>
      </c>
      <c r="L23" s="95" t="s">
        <v>2432</v>
      </c>
      <c r="M23" s="96" t="s">
        <v>2432</v>
      </c>
    </row>
    <row r="24" spans="2:13" ht="17.25" customHeight="1">
      <c r="B24" s="105" t="s">
        <v>2433</v>
      </c>
      <c r="C24" s="106"/>
      <c r="D24" s="94"/>
      <c r="E24" s="95"/>
      <c r="F24" s="95" t="s">
        <v>2434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2435</v>
      </c>
      <c r="C25" s="108"/>
      <c r="D25" s="97"/>
      <c r="E25" s="98" t="s">
        <v>2436</v>
      </c>
      <c r="F25" s="101" t="s">
        <v>2437</v>
      </c>
      <c r="G25" s="102"/>
      <c r="H25" s="98" t="s">
        <v>201</v>
      </c>
      <c r="I25" s="98" t="s">
        <v>2438</v>
      </c>
      <c r="J25" s="99" t="s">
        <v>2439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6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68"/>
  <sheetViews>
    <sheetView zoomScale="80" zoomScaleNormal="80" workbookViewId="0">
      <pane ySplit="4" topLeftCell="A5" activePane="bottomLeft" state="frozen"/>
      <selection activeCell="G5" sqref="G5:H5"/>
      <selection pane="bottomLeft" activeCell="H14" sqref="H14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SUM(F5:F67)</f>
        <v>119463</v>
      </c>
      <c r="E1" s="4" t="s">
        <v>2</v>
      </c>
      <c r="F1" s="1">
        <f>SUM(G5:G67)</f>
        <v>4109978.4299999997</v>
      </c>
      <c r="G1" s="1" t="s">
        <v>3</v>
      </c>
      <c r="H1" s="5">
        <f>L10+L13+L45+L54+L18+L61+L30+L36+L24+L67</f>
        <v>160.44999999999999</v>
      </c>
      <c r="I1" s="214" t="s">
        <v>4</v>
      </c>
      <c r="J1" s="214"/>
      <c r="K1" s="214"/>
      <c r="L1" s="214" t="s">
        <v>5</v>
      </c>
      <c r="M1" s="214"/>
      <c r="N1" s="214"/>
      <c r="O1" s="214" t="s">
        <v>6</v>
      </c>
      <c r="P1" s="214"/>
      <c r="Q1" s="214"/>
      <c r="R1" s="214"/>
      <c r="S1" s="214" t="s">
        <v>250</v>
      </c>
      <c r="T1" s="214"/>
      <c r="U1" s="214"/>
      <c r="V1" s="214"/>
      <c r="W1" s="214"/>
      <c r="X1" s="214"/>
      <c r="Y1" s="6" t="s">
        <v>8</v>
      </c>
      <c r="Z1" s="7" t="s">
        <v>9</v>
      </c>
      <c r="AA1" s="215" t="s">
        <v>356</v>
      </c>
      <c r="AB1" s="215"/>
      <c r="AC1" s="8" t="s">
        <v>8</v>
      </c>
      <c r="AD1" s="7" t="s">
        <v>2440</v>
      </c>
      <c r="AE1" s="214" t="s">
        <v>12</v>
      </c>
      <c r="AF1" s="216"/>
      <c r="AG1" s="216"/>
    </row>
    <row r="2" spans="1:33" ht="26.25" customHeight="1">
      <c r="A2" s="35">
        <v>46080</v>
      </c>
      <c r="B2" s="36" t="s">
        <v>619</v>
      </c>
      <c r="C2" s="2" t="s">
        <v>13</v>
      </c>
      <c r="D2" s="10">
        <f>AVERAGE(N10,N13,N45,N54,N18,N61,N24,N30,N36,N67)</f>
        <v>139.33386409678548</v>
      </c>
      <c r="E2" s="11" t="s">
        <v>14</v>
      </c>
      <c r="F2" s="12">
        <f>F1/D1</f>
        <v>34.403777152758593</v>
      </c>
      <c r="G2" s="1" t="s">
        <v>256</v>
      </c>
      <c r="H2" s="13">
        <f>COUNT(H5:H67)</f>
        <v>2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SUM(Y10+Y13+Y18+Y24+Y30+Y36+Y45+Y54+Y61+Y67)</f>
        <v>0</v>
      </c>
      <c r="Z2" s="14">
        <f>SUM(Z10+Z13+Z18+Z24+Z30+Z36+Z45+Z54+Z61+Z67)</f>
        <v>0</v>
      </c>
      <c r="AA2" s="215"/>
      <c r="AB2" s="215"/>
      <c r="AC2" s="14">
        <v>53</v>
      </c>
      <c r="AD2" s="14">
        <f>SUM(AD10+AD13+AD18+AD24+AD30+AD36+AD45+AD54+AD61+AD67)</f>
        <v>0</v>
      </c>
      <c r="AE2" s="216"/>
      <c r="AF2" s="216"/>
      <c r="AG2" s="216"/>
    </row>
    <row r="3" spans="1:33" ht="40.5" customHeight="1">
      <c r="A3" s="164" t="s">
        <v>16</v>
      </c>
      <c r="B3" s="164" t="s">
        <v>257</v>
      </c>
      <c r="C3" s="164" t="s">
        <v>364</v>
      </c>
      <c r="D3" s="164"/>
      <c r="E3" s="212" t="s">
        <v>258</v>
      </c>
      <c r="F3" s="164" t="s">
        <v>20</v>
      </c>
      <c r="G3" s="212" t="s">
        <v>21</v>
      </c>
      <c r="H3" s="206" t="s">
        <v>261</v>
      </c>
      <c r="I3" s="204" t="s">
        <v>262</v>
      </c>
      <c r="J3" s="201" t="s">
        <v>24</v>
      </c>
      <c r="K3" s="211" t="s">
        <v>13</v>
      </c>
      <c r="L3" s="204" t="s">
        <v>262</v>
      </c>
      <c r="M3" s="201" t="s">
        <v>24</v>
      </c>
      <c r="N3" s="211" t="s">
        <v>13</v>
      </c>
      <c r="O3" s="204" t="s">
        <v>262</v>
      </c>
      <c r="P3" s="211" t="s">
        <v>13</v>
      </c>
      <c r="Q3" s="202" t="s">
        <v>28</v>
      </c>
      <c r="R3" s="182" t="s">
        <v>373</v>
      </c>
      <c r="S3" s="164" t="s">
        <v>30</v>
      </c>
      <c r="T3" s="164"/>
      <c r="U3" s="206" t="s">
        <v>31</v>
      </c>
      <c r="V3" s="206" t="s">
        <v>2441</v>
      </c>
      <c r="W3" s="164" t="s">
        <v>2442</v>
      </c>
      <c r="X3" s="164"/>
      <c r="Y3" s="207" t="s">
        <v>2443</v>
      </c>
      <c r="Z3" s="168"/>
      <c r="AA3" s="208" t="s">
        <v>2444</v>
      </c>
      <c r="AB3" s="209"/>
      <c r="AC3" s="207" t="s">
        <v>2445</v>
      </c>
      <c r="AD3" s="168"/>
      <c r="AE3" s="201" t="s">
        <v>2446</v>
      </c>
      <c r="AF3" s="202" t="s">
        <v>2447</v>
      </c>
      <c r="AG3" s="182" t="s">
        <v>373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2448</v>
      </c>
      <c r="X4" s="4" t="s">
        <v>2449</v>
      </c>
      <c r="Y4" s="15" t="s">
        <v>2450</v>
      </c>
      <c r="Z4" s="15" t="s">
        <v>2451</v>
      </c>
      <c r="AA4" s="210"/>
      <c r="AB4" s="209"/>
      <c r="AC4" s="15" t="s">
        <v>2452</v>
      </c>
      <c r="AD4" s="15" t="s">
        <v>2453</v>
      </c>
      <c r="AE4" s="201"/>
      <c r="AF4" s="202"/>
      <c r="AG4" s="182"/>
    </row>
    <row r="5" spans="1:33">
      <c r="A5" s="203" t="s">
        <v>2454</v>
      </c>
      <c r="B5" s="37" t="s">
        <v>78</v>
      </c>
      <c r="C5" s="205" t="s">
        <v>79</v>
      </c>
      <c r="D5" s="205"/>
      <c r="E5" s="37">
        <v>50.67</v>
      </c>
      <c r="F5" s="4">
        <v>1399</v>
      </c>
      <c r="G5" s="4">
        <f t="shared" ref="G5:G9" si="0">E5*F5</f>
        <v>70887.33</v>
      </c>
      <c r="H5" s="22" t="s">
        <v>139</v>
      </c>
      <c r="I5" s="16">
        <v>17</v>
      </c>
      <c r="J5" s="18">
        <v>2000</v>
      </c>
      <c r="K5" s="17">
        <f t="shared" ref="K5:K67" si="1">J5/I5</f>
        <v>117.64705882352941</v>
      </c>
      <c r="L5" s="16">
        <v>17</v>
      </c>
      <c r="M5" s="18">
        <f t="shared" ref="M5:M9" si="2">F5/V5*60</f>
        <v>1907.7272727272727</v>
      </c>
      <c r="N5" s="17">
        <f t="shared" ref="N5:N67" si="3">M5/L5</f>
        <v>112.2192513368984</v>
      </c>
      <c r="O5" s="19">
        <f t="shared" ref="O5:O67" si="4">L5-I5</f>
        <v>0</v>
      </c>
      <c r="P5" s="20">
        <f t="shared" ref="P5:P67" si="5">N5-K5</f>
        <v>-5.4278074866310106</v>
      </c>
      <c r="Q5" s="21">
        <f t="shared" ref="Q5:Q67" si="6">N5/K5</f>
        <v>0.95386363636363636</v>
      </c>
      <c r="R5" s="172">
        <f>Q10</f>
        <v>0.96899919113058219</v>
      </c>
      <c r="S5" s="28">
        <v>0.70833333333333337</v>
      </c>
      <c r="T5" s="28">
        <v>0.73888888888888893</v>
      </c>
      <c r="U5" s="4"/>
      <c r="V5" s="22">
        <f t="shared" ref="V5:V9" si="7">(T5-S5)*24*60</f>
        <v>44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3" si="8">M5-J5</f>
        <v>-92.272727272727252</v>
      </c>
      <c r="AF5" s="21">
        <f t="shared" ref="AF5:AF67" si="9">M5/J5</f>
        <v>0.95386363636363636</v>
      </c>
      <c r="AG5" s="172">
        <f>AF10</f>
        <v>0.96899919113058219</v>
      </c>
    </row>
    <row r="6" spans="1:33">
      <c r="A6" s="204" t="s">
        <v>46</v>
      </c>
      <c r="B6" s="37" t="s">
        <v>78</v>
      </c>
      <c r="C6" s="205" t="s">
        <v>80</v>
      </c>
      <c r="D6" s="205"/>
      <c r="E6" s="37">
        <v>54.09</v>
      </c>
      <c r="F6" s="4">
        <v>1220</v>
      </c>
      <c r="G6" s="4">
        <f t="shared" si="0"/>
        <v>65989.8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1926.3157894736828</v>
      </c>
      <c r="N6" s="17">
        <f t="shared" si="3"/>
        <v>101.38504155124646</v>
      </c>
      <c r="O6" s="19">
        <f t="shared" si="4"/>
        <v>0</v>
      </c>
      <c r="P6" s="20">
        <f t="shared" si="5"/>
        <v>-3.878116343490376</v>
      </c>
      <c r="Q6" s="21">
        <f t="shared" si="6"/>
        <v>0.96315789473684144</v>
      </c>
      <c r="R6" s="172"/>
      <c r="S6" s="28">
        <v>0.74305555555555558</v>
      </c>
      <c r="T6" s="28">
        <v>0.76944444444444449</v>
      </c>
      <c r="U6" s="4">
        <f t="shared" ref="U6:U9" si="10">IF(S6=TIME(17,0,0),"",(S6-T5)*24*60)</f>
        <v>5.9999999999999787</v>
      </c>
      <c r="V6" s="22">
        <f t="shared" si="7"/>
        <v>38.000000000000028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-73.684210526317202</v>
      </c>
      <c r="AF6" s="21">
        <f t="shared" si="9"/>
        <v>0.96315789473684144</v>
      </c>
      <c r="AG6" s="172"/>
    </row>
    <row r="7" spans="1:33">
      <c r="A7" s="204" t="s">
        <v>46</v>
      </c>
      <c r="B7" s="37" t="s">
        <v>78</v>
      </c>
      <c r="C7" s="196" t="s">
        <v>81</v>
      </c>
      <c r="D7" s="197"/>
      <c r="E7" s="37">
        <v>50.29</v>
      </c>
      <c r="F7" s="4">
        <v>499</v>
      </c>
      <c r="G7" s="4">
        <f t="shared" si="0"/>
        <v>25094.71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1996.0000000000073</v>
      </c>
      <c r="N7" s="17">
        <f t="shared" si="3"/>
        <v>124.75000000000045</v>
      </c>
      <c r="O7" s="19">
        <f t="shared" si="4"/>
        <v>0</v>
      </c>
      <c r="P7" s="20">
        <f t="shared" si="5"/>
        <v>-0.24999999999954525</v>
      </c>
      <c r="Q7" s="21">
        <f t="shared" si="6"/>
        <v>0.99800000000000366</v>
      </c>
      <c r="R7" s="172"/>
      <c r="S7" s="28">
        <v>0.77500000000000002</v>
      </c>
      <c r="T7" s="28">
        <v>0.78541666666666665</v>
      </c>
      <c r="U7" s="4">
        <f t="shared" si="10"/>
        <v>7.9999999999999716</v>
      </c>
      <c r="V7" s="22">
        <f t="shared" si="7"/>
        <v>14.999999999999947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-3.999999999992724</v>
      </c>
      <c r="AF7" s="21">
        <f t="shared" si="9"/>
        <v>0.99800000000000366</v>
      </c>
      <c r="AG7" s="172"/>
    </row>
    <row r="8" spans="1:33">
      <c r="A8" s="204" t="s">
        <v>46</v>
      </c>
      <c r="B8" s="37" t="s">
        <v>78</v>
      </c>
      <c r="C8" s="196" t="s">
        <v>83</v>
      </c>
      <c r="D8" s="197"/>
      <c r="E8" s="37">
        <v>50.67</v>
      </c>
      <c r="F8" s="4">
        <v>543</v>
      </c>
      <c r="G8" s="4">
        <f t="shared" si="0"/>
        <v>27513.81</v>
      </c>
      <c r="H8" s="22" t="s">
        <v>139</v>
      </c>
      <c r="I8" s="16">
        <v>21</v>
      </c>
      <c r="J8" s="18">
        <v>2000</v>
      </c>
      <c r="K8" s="17">
        <f t="shared" si="1"/>
        <v>95.238095238095241</v>
      </c>
      <c r="L8" s="16">
        <v>21</v>
      </c>
      <c r="M8" s="18">
        <f t="shared" si="2"/>
        <v>1916.470588235301</v>
      </c>
      <c r="N8" s="17">
        <f t="shared" si="3"/>
        <v>91.260504201681002</v>
      </c>
      <c r="O8" s="19">
        <f t="shared" si="4"/>
        <v>0</v>
      </c>
      <c r="P8" s="20">
        <f t="shared" si="5"/>
        <v>-3.9775910364142391</v>
      </c>
      <c r="Q8" s="21">
        <f t="shared" si="6"/>
        <v>0.95823529411765052</v>
      </c>
      <c r="R8" s="172"/>
      <c r="S8" s="28">
        <v>0.79027777777777775</v>
      </c>
      <c r="T8" s="28">
        <v>0.80208333333333326</v>
      </c>
      <c r="U8" s="4">
        <f t="shared" si="10"/>
        <v>6.9999999999999751</v>
      </c>
      <c r="V8" s="22">
        <f t="shared" si="7"/>
        <v>16.99999999999994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-83.529411764699034</v>
      </c>
      <c r="AF8" s="21">
        <f t="shared" si="9"/>
        <v>0.95823529411765052</v>
      </c>
      <c r="AG8" s="172"/>
    </row>
    <row r="9" spans="1:33">
      <c r="A9" s="204" t="s">
        <v>46</v>
      </c>
      <c r="B9" s="37" t="s">
        <v>78</v>
      </c>
      <c r="C9" s="196" t="s">
        <v>98</v>
      </c>
      <c r="D9" s="197"/>
      <c r="E9" s="37">
        <v>50.67</v>
      </c>
      <c r="F9" s="4">
        <v>745</v>
      </c>
      <c r="G9" s="4">
        <f t="shared" si="0"/>
        <v>37749.15</v>
      </c>
      <c r="H9" s="22" t="s">
        <v>139</v>
      </c>
      <c r="I9" s="16">
        <v>16</v>
      </c>
      <c r="J9" s="18">
        <v>2000</v>
      </c>
      <c r="K9" s="17">
        <f t="shared" si="1"/>
        <v>125</v>
      </c>
      <c r="L9" s="16">
        <v>16</v>
      </c>
      <c r="M9" s="18">
        <f t="shared" si="2"/>
        <v>1943.4782608695587</v>
      </c>
      <c r="N9" s="17">
        <f t="shared" si="3"/>
        <v>121.46739130434742</v>
      </c>
      <c r="O9" s="19">
        <f t="shared" si="4"/>
        <v>0</v>
      </c>
      <c r="P9" s="20">
        <f t="shared" si="5"/>
        <v>-3.5326086956525842</v>
      </c>
      <c r="Q9" s="21">
        <f t="shared" si="6"/>
        <v>0.97173913043477933</v>
      </c>
      <c r="R9" s="172"/>
      <c r="S9" s="28">
        <v>0.8076388888888888</v>
      </c>
      <c r="T9" s="28">
        <v>0.82361111111111107</v>
      </c>
      <c r="U9" s="4">
        <f t="shared" si="10"/>
        <v>7.9999999999999716</v>
      </c>
      <c r="V9" s="22">
        <f t="shared" si="7"/>
        <v>23.000000000000078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-56.521739130441347</v>
      </c>
      <c r="AF9" s="21">
        <f t="shared" si="9"/>
        <v>0.97173913043477933</v>
      </c>
      <c r="AG9" s="172"/>
    </row>
    <row r="10" spans="1:33">
      <c r="A10" s="204" t="s">
        <v>46</v>
      </c>
      <c r="B10" s="37" t="s">
        <v>2455</v>
      </c>
      <c r="C10" s="177"/>
      <c r="D10" s="177"/>
      <c r="E10" s="38"/>
      <c r="F10" s="17"/>
      <c r="G10" s="17"/>
      <c r="H10" s="4"/>
      <c r="I10" s="30">
        <v>17.8</v>
      </c>
      <c r="J10" s="18">
        <v>2000</v>
      </c>
      <c r="K10" s="17">
        <f t="shared" si="1"/>
        <v>112.35955056179775</v>
      </c>
      <c r="L10" s="30">
        <v>17.8</v>
      </c>
      <c r="M10" s="18">
        <f>AVERAGE(M5:M9)</f>
        <v>1937.9983822611644</v>
      </c>
      <c r="N10" s="17">
        <f t="shared" si="3"/>
        <v>108.87631361017777</v>
      </c>
      <c r="O10" s="19">
        <f t="shared" si="4"/>
        <v>0</v>
      </c>
      <c r="P10" s="20">
        <f t="shared" si="5"/>
        <v>-3.4832369516199719</v>
      </c>
      <c r="Q10" s="21">
        <f t="shared" si="6"/>
        <v>0.96899919113058219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8"/>
        <v>-62.001617738835648</v>
      </c>
      <c r="AF10" s="21">
        <f t="shared" si="9"/>
        <v>0.96899919113058219</v>
      </c>
      <c r="AG10" s="172"/>
    </row>
    <row r="11" spans="1:33" ht="15.75" customHeight="1">
      <c r="A11" s="200" t="s">
        <v>2456</v>
      </c>
      <c r="B11" s="37" t="s">
        <v>84</v>
      </c>
      <c r="C11" s="196" t="s">
        <v>85</v>
      </c>
      <c r="D11" s="197"/>
      <c r="E11" s="37">
        <v>39.619999999999997</v>
      </c>
      <c r="F11" s="4">
        <v>2928</v>
      </c>
      <c r="G11" s="4">
        <f t="shared" ref="G11:G12" si="11">E11*F11</f>
        <v>116007.35999999999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1440</v>
      </c>
      <c r="N11" s="17">
        <f t="shared" si="3"/>
        <v>75.78947368421052</v>
      </c>
      <c r="O11" s="19">
        <f t="shared" si="4"/>
        <v>0</v>
      </c>
      <c r="P11" s="20">
        <f t="shared" si="5"/>
        <v>-3.1578947368421098</v>
      </c>
      <c r="Q11" s="21">
        <f t="shared" si="6"/>
        <v>0.96</v>
      </c>
      <c r="R11" s="172">
        <f>Q13</f>
        <v>0.95643564356435651</v>
      </c>
      <c r="S11" s="28">
        <v>0.20833333333333334</v>
      </c>
      <c r="T11" s="28">
        <v>0.29305555555555557</v>
      </c>
      <c r="U11" s="4"/>
      <c r="V11" s="22">
        <f t="shared" ref="V11:V12" si="13">(T11-S11)*24*60</f>
        <v>122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-60</v>
      </c>
      <c r="AF11" s="21">
        <f t="shared" si="9"/>
        <v>0.96</v>
      </c>
      <c r="AG11" s="172">
        <f>AF13</f>
        <v>0.9564356435643564</v>
      </c>
    </row>
    <row r="12" spans="1:33" ht="15.75" customHeight="1">
      <c r="A12" s="200" t="s">
        <v>49</v>
      </c>
      <c r="B12" s="37" t="s">
        <v>84</v>
      </c>
      <c r="C12" s="196" t="s">
        <v>86</v>
      </c>
      <c r="D12" s="197"/>
      <c r="E12" s="37">
        <v>39.799999999999997</v>
      </c>
      <c r="F12" s="4">
        <v>4812</v>
      </c>
      <c r="G12" s="4">
        <f t="shared" si="11"/>
        <v>191517.59999999998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1429.3069306930695</v>
      </c>
      <c r="N12" s="17">
        <f t="shared" si="3"/>
        <v>84.076878276062914</v>
      </c>
      <c r="O12" s="19">
        <f t="shared" si="4"/>
        <v>0</v>
      </c>
      <c r="P12" s="20">
        <f t="shared" si="5"/>
        <v>-4.1584158415841443</v>
      </c>
      <c r="Q12" s="21">
        <f t="shared" si="6"/>
        <v>0.95287128712871305</v>
      </c>
      <c r="R12" s="172"/>
      <c r="S12" s="28">
        <v>0.2986111111111111</v>
      </c>
      <c r="T12" s="28">
        <v>0.43888888888888888</v>
      </c>
      <c r="U12" s="4">
        <f t="shared" ref="U12" si="14">IF(S12=TIME(17,0,0),"",(S12-T11)*24*60)</f>
        <v>7.9999999999999716</v>
      </c>
      <c r="V12" s="22">
        <f t="shared" si="13"/>
        <v>202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-70.693069306930511</v>
      </c>
      <c r="AF12" s="21">
        <f t="shared" si="9"/>
        <v>0.95287128712871294</v>
      </c>
      <c r="AG12" s="172"/>
    </row>
    <row r="13" spans="1:33" ht="16.5" customHeight="1">
      <c r="A13" s="200" t="s">
        <v>49</v>
      </c>
      <c r="B13" s="37" t="s">
        <v>2455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1434.6534653465346</v>
      </c>
      <c r="N13" s="17">
        <f t="shared" si="3"/>
        <v>79.702970297029708</v>
      </c>
      <c r="O13" s="19">
        <f t="shared" si="4"/>
        <v>0</v>
      </c>
      <c r="P13" s="20">
        <f t="shared" si="5"/>
        <v>-3.6303630363036206</v>
      </c>
      <c r="Q13" s="21">
        <f t="shared" si="6"/>
        <v>0.95643564356435651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8"/>
        <v>-65.346534653465369</v>
      </c>
      <c r="AF13" s="21">
        <f t="shared" si="9"/>
        <v>0.9564356435643564</v>
      </c>
      <c r="AG13" s="172"/>
    </row>
    <row r="14" spans="1:33" ht="16.5" customHeight="1">
      <c r="A14" s="198" t="s">
        <v>52</v>
      </c>
      <c r="B14" s="4" t="s">
        <v>87</v>
      </c>
      <c r="C14" s="190" t="s">
        <v>88</v>
      </c>
      <c r="D14" s="190"/>
      <c r="E14" s="37">
        <v>41</v>
      </c>
      <c r="F14" s="4">
        <v>2091</v>
      </c>
      <c r="G14" s="4">
        <f t="shared" ref="G14:G17" si="15">E14*F14</f>
        <v>85731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17" si="16">F14/V14*60</f>
        <v>1442.0689655172418</v>
      </c>
      <c r="N14" s="17">
        <f t="shared" si="3"/>
        <v>55.464190981432381</v>
      </c>
      <c r="O14" s="19">
        <f t="shared" si="4"/>
        <v>0</v>
      </c>
      <c r="P14" s="20">
        <f t="shared" si="5"/>
        <v>-2.2281167108753124</v>
      </c>
      <c r="Q14" s="21">
        <f t="shared" si="6"/>
        <v>0.96137931034482793</v>
      </c>
      <c r="R14" s="172">
        <f>Q18</f>
        <v>0.95905026837316965</v>
      </c>
      <c r="S14" s="28">
        <v>0.20833333333333334</v>
      </c>
      <c r="T14" s="28">
        <v>0.26874999999999999</v>
      </c>
      <c r="U14" s="4"/>
      <c r="V14" s="22">
        <f t="shared" ref="V14:V17" si="17">(T14-S14)*24*60</f>
        <v>86.999999999999972</v>
      </c>
      <c r="W14" s="28"/>
      <c r="X14" s="28"/>
      <c r="Y14" s="28"/>
      <c r="Z14" s="28"/>
      <c r="AA14" s="164"/>
      <c r="AB14" s="164"/>
      <c r="AC14" s="25">
        <v>4</v>
      </c>
      <c r="AD14" s="25"/>
      <c r="AE14" s="19">
        <f t="shared" si="8"/>
        <v>-57.93103448275815</v>
      </c>
      <c r="AF14" s="21">
        <f t="shared" si="9"/>
        <v>0.96137931034482793</v>
      </c>
      <c r="AG14" s="172">
        <f>AF18</f>
        <v>0.95905026837316953</v>
      </c>
    </row>
    <row r="15" spans="1:33" ht="16.5" customHeight="1">
      <c r="A15" s="199" t="s">
        <v>52</v>
      </c>
      <c r="B15" s="4" t="s">
        <v>78</v>
      </c>
      <c r="C15" s="190" t="s">
        <v>91</v>
      </c>
      <c r="D15" s="190"/>
      <c r="E15" s="37">
        <v>50.98</v>
      </c>
      <c r="F15" s="4">
        <v>2189</v>
      </c>
      <c r="G15" s="4">
        <f t="shared" si="15"/>
        <v>111595.21999999999</v>
      </c>
      <c r="H15" s="22" t="s">
        <v>139</v>
      </c>
      <c r="I15" s="16">
        <v>16</v>
      </c>
      <c r="J15" s="18">
        <v>2000</v>
      </c>
      <c r="K15" s="17">
        <f t="shared" si="1"/>
        <v>125</v>
      </c>
      <c r="L15" s="16">
        <v>16</v>
      </c>
      <c r="M15" s="18">
        <f t="shared" si="16"/>
        <v>1931.4705882352964</v>
      </c>
      <c r="N15" s="17">
        <f t="shared" si="3"/>
        <v>120.71691176470603</v>
      </c>
      <c r="O15" s="19">
        <f t="shared" si="4"/>
        <v>0</v>
      </c>
      <c r="P15" s="20">
        <f t="shared" si="5"/>
        <v>-4.2830882352939739</v>
      </c>
      <c r="Q15" s="21">
        <f t="shared" si="6"/>
        <v>0.96573529411764825</v>
      </c>
      <c r="R15" s="172"/>
      <c r="S15" s="28">
        <v>0.70833333333333337</v>
      </c>
      <c r="T15" s="28">
        <v>0.75555555555555554</v>
      </c>
      <c r="U15" s="4" t="str">
        <f t="shared" ref="U15:U17" si="18">IF(S15=TIME(17,0,0),"",(S15-T14)*24*60)</f>
        <v/>
      </c>
      <c r="V15" s="22">
        <f t="shared" si="17"/>
        <v>67.999999999999915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-68.529411764703582</v>
      </c>
      <c r="AF15" s="21">
        <f t="shared" si="9"/>
        <v>0.96573529411764825</v>
      </c>
      <c r="AG15" s="172"/>
    </row>
    <row r="16" spans="1:33" ht="16.5" customHeight="1">
      <c r="A16" s="199" t="s">
        <v>52</v>
      </c>
      <c r="B16" s="4" t="s">
        <v>78</v>
      </c>
      <c r="C16" s="190" t="s">
        <v>92</v>
      </c>
      <c r="D16" s="190"/>
      <c r="E16" s="37">
        <v>50.92</v>
      </c>
      <c r="F16" s="4">
        <v>2134</v>
      </c>
      <c r="G16" s="4">
        <f t="shared" si="15"/>
        <v>108663.28</v>
      </c>
      <c r="H16" s="22" t="s">
        <v>139</v>
      </c>
      <c r="I16" s="16">
        <v>15</v>
      </c>
      <c r="J16" s="18">
        <v>2000</v>
      </c>
      <c r="K16" s="17">
        <f t="shared" si="1"/>
        <v>133.33333333333334</v>
      </c>
      <c r="L16" s="16">
        <v>15</v>
      </c>
      <c r="M16" s="18">
        <f t="shared" si="16"/>
        <v>1911.0447761194055</v>
      </c>
      <c r="N16" s="17">
        <f t="shared" si="3"/>
        <v>127.40298507462703</v>
      </c>
      <c r="O16" s="19">
        <f t="shared" si="4"/>
        <v>0</v>
      </c>
      <c r="P16" s="20">
        <f t="shared" si="5"/>
        <v>-5.9303482587063172</v>
      </c>
      <c r="Q16" s="21">
        <f t="shared" si="6"/>
        <v>0.95552238805970258</v>
      </c>
      <c r="R16" s="172"/>
      <c r="S16" s="28">
        <v>0.75972222222222219</v>
      </c>
      <c r="T16" s="28">
        <v>0.80624999999999991</v>
      </c>
      <c r="U16" s="4">
        <f t="shared" si="18"/>
        <v>5.9999999999999787</v>
      </c>
      <c r="V16" s="22">
        <f t="shared" si="17"/>
        <v>66.999999999999915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-88.955223880594531</v>
      </c>
      <c r="AF16" s="21">
        <f t="shared" si="9"/>
        <v>0.95552238805970269</v>
      </c>
      <c r="AG16" s="172"/>
    </row>
    <row r="17" spans="1:33" ht="16.5" customHeight="1">
      <c r="A17" s="199" t="s">
        <v>52</v>
      </c>
      <c r="B17" s="4" t="s">
        <v>78</v>
      </c>
      <c r="C17" s="190" t="s">
        <v>93</v>
      </c>
      <c r="D17" s="190"/>
      <c r="E17" s="37">
        <v>50.67</v>
      </c>
      <c r="F17" s="4">
        <v>1304</v>
      </c>
      <c r="G17" s="4">
        <f t="shared" si="15"/>
        <v>66073.680000000008</v>
      </c>
      <c r="H17" s="22" t="s">
        <v>139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1908.2926829268285</v>
      </c>
      <c r="N17" s="17">
        <f t="shared" si="3"/>
        <v>127.21951219512191</v>
      </c>
      <c r="O17" s="19">
        <f t="shared" si="4"/>
        <v>0</v>
      </c>
      <c r="P17" s="20">
        <f t="shared" si="5"/>
        <v>-6.1138211382114349</v>
      </c>
      <c r="Q17" s="21">
        <f t="shared" si="6"/>
        <v>0.95414634146341426</v>
      </c>
      <c r="R17" s="172"/>
      <c r="S17" s="28">
        <v>0.80972222222222212</v>
      </c>
      <c r="T17" s="28">
        <v>0.83819444444444435</v>
      </c>
      <c r="U17" s="4">
        <f t="shared" si="18"/>
        <v>4.9999999999999822</v>
      </c>
      <c r="V17" s="22">
        <f t="shared" si="17"/>
        <v>41.000000000000014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-91.707317073171453</v>
      </c>
      <c r="AF17" s="21">
        <f t="shared" si="9"/>
        <v>0.95414634146341426</v>
      </c>
      <c r="AG17" s="172"/>
    </row>
    <row r="18" spans="1:33" ht="16.5" customHeight="1">
      <c r="A18" s="199" t="s">
        <v>52</v>
      </c>
      <c r="B18" s="37" t="s">
        <v>48</v>
      </c>
      <c r="C18" s="177"/>
      <c r="D18" s="177"/>
      <c r="E18" s="38"/>
      <c r="F18" s="17"/>
      <c r="G18" s="17"/>
      <c r="H18" s="4"/>
      <c r="I18" s="30">
        <v>18</v>
      </c>
      <c r="J18" s="18">
        <v>1875</v>
      </c>
      <c r="K18" s="17">
        <f t="shared" si="1"/>
        <v>104.16666666666667</v>
      </c>
      <c r="L18" s="30">
        <v>18</v>
      </c>
      <c r="M18" s="18">
        <f>AVERAGE(M14:M17)</f>
        <v>1798.219253199693</v>
      </c>
      <c r="N18" s="17">
        <f t="shared" si="3"/>
        <v>99.901069622205171</v>
      </c>
      <c r="O18" s="19">
        <f t="shared" si="4"/>
        <v>0</v>
      </c>
      <c r="P18" s="20">
        <f t="shared" si="5"/>
        <v>-4.2655970444615008</v>
      </c>
      <c r="Q18" s="21">
        <f t="shared" si="6"/>
        <v>0.95905026837316965</v>
      </c>
      <c r="R18" s="172"/>
      <c r="S18" s="28"/>
      <c r="T18" s="28"/>
      <c r="U18" s="4"/>
      <c r="V18" s="22"/>
      <c r="W18" s="17"/>
      <c r="X18" s="17"/>
      <c r="Y18" s="31">
        <f>SUM(Y14:Y17)</f>
        <v>0</v>
      </c>
      <c r="Z18" s="31">
        <f>SUM(Z14:Z17)</f>
        <v>0</v>
      </c>
      <c r="AA18" s="168"/>
      <c r="AB18" s="168"/>
      <c r="AC18" s="31">
        <v>4</v>
      </c>
      <c r="AD18" s="31">
        <f>SUM(AD14:AD17)</f>
        <v>0</v>
      </c>
      <c r="AE18" s="19">
        <f t="shared" si="8"/>
        <v>-76.780746800307043</v>
      </c>
      <c r="AF18" s="21">
        <f t="shared" si="9"/>
        <v>0.95905026837316953</v>
      </c>
      <c r="AG18" s="172"/>
    </row>
    <row r="19" spans="1:33" ht="15.75" customHeight="1">
      <c r="A19" s="194" t="s">
        <v>58</v>
      </c>
      <c r="B19" s="37" t="s">
        <v>78</v>
      </c>
      <c r="C19" s="190" t="s">
        <v>95</v>
      </c>
      <c r="D19" s="190"/>
      <c r="E19" s="37">
        <v>57.73</v>
      </c>
      <c r="F19" s="4">
        <v>2350</v>
      </c>
      <c r="G19" s="4">
        <f t="shared" ref="G19:G23" si="19">E19*F19</f>
        <v>135665.5</v>
      </c>
      <c r="H19" s="22" t="s">
        <v>139</v>
      </c>
      <c r="I19" s="16">
        <v>14</v>
      </c>
      <c r="J19" s="18">
        <v>2000</v>
      </c>
      <c r="K19" s="17">
        <f t="shared" si="1"/>
        <v>142.85714285714286</v>
      </c>
      <c r="L19" s="16">
        <v>14</v>
      </c>
      <c r="M19" s="18">
        <f t="shared" ref="M19:M23" si="20">F19/V19*60</f>
        <v>1905.405405405405</v>
      </c>
      <c r="N19" s="17">
        <f t="shared" si="3"/>
        <v>136.10038610038606</v>
      </c>
      <c r="O19" s="19">
        <f t="shared" si="4"/>
        <v>0</v>
      </c>
      <c r="P19" s="20">
        <f t="shared" si="5"/>
        <v>-6.7567567567568005</v>
      </c>
      <c r="Q19" s="21">
        <f t="shared" si="6"/>
        <v>0.95270270270270241</v>
      </c>
      <c r="R19" s="172">
        <f>Q24</f>
        <v>0.96155735354940919</v>
      </c>
      <c r="S19" s="28">
        <v>0.20833333333333334</v>
      </c>
      <c r="T19" s="28">
        <v>0.25972222222222224</v>
      </c>
      <c r="U19" s="4"/>
      <c r="V19" s="22">
        <f t="shared" ref="V19:V23" si="21">(T19-S19)*24*60</f>
        <v>74.000000000000014</v>
      </c>
      <c r="W19" s="28"/>
      <c r="X19" s="28"/>
      <c r="Y19" s="28"/>
      <c r="Z19" s="28"/>
      <c r="AA19" s="164"/>
      <c r="AB19" s="164"/>
      <c r="AC19" s="25">
        <v>5</v>
      </c>
      <c r="AD19" s="25"/>
      <c r="AE19" s="19">
        <f t="shared" si="8"/>
        <v>-94.594594594595037</v>
      </c>
      <c r="AF19" s="21">
        <f t="shared" si="9"/>
        <v>0.95270270270270252</v>
      </c>
      <c r="AG19" s="172">
        <f>AF24</f>
        <v>0.96155735354940919</v>
      </c>
    </row>
    <row r="20" spans="1:33" ht="15.75" customHeight="1">
      <c r="A20" s="195" t="s">
        <v>58</v>
      </c>
      <c r="B20" s="37" t="s">
        <v>78</v>
      </c>
      <c r="C20" s="190" t="s">
        <v>96</v>
      </c>
      <c r="D20" s="190"/>
      <c r="E20" s="37">
        <v>53.68</v>
      </c>
      <c r="F20" s="4">
        <v>1257</v>
      </c>
      <c r="G20" s="4">
        <f t="shared" si="19"/>
        <v>67475.759999999995</v>
      </c>
      <c r="H20" s="22" t="s">
        <v>139</v>
      </c>
      <c r="I20" s="16">
        <v>16</v>
      </c>
      <c r="J20" s="18">
        <v>2000</v>
      </c>
      <c r="K20" s="17">
        <f t="shared" si="1"/>
        <v>125</v>
      </c>
      <c r="L20" s="16">
        <v>16</v>
      </c>
      <c r="M20" s="18">
        <f t="shared" si="20"/>
        <v>1933.8461538461527</v>
      </c>
      <c r="N20" s="17">
        <f t="shared" si="3"/>
        <v>120.86538461538454</v>
      </c>
      <c r="O20" s="19">
        <f t="shared" si="4"/>
        <v>0</v>
      </c>
      <c r="P20" s="20">
        <f t="shared" si="5"/>
        <v>-4.1346153846154579</v>
      </c>
      <c r="Q20" s="21">
        <f t="shared" si="6"/>
        <v>0.96692307692307633</v>
      </c>
      <c r="R20" s="172"/>
      <c r="S20" s="28">
        <v>0.26527777777777778</v>
      </c>
      <c r="T20" s="28">
        <v>0.29236111111111113</v>
      </c>
      <c r="U20" s="4">
        <f t="shared" ref="U20:U23" si="22">IF(S20=TIME(17,0,0),"",(S20-T19)*24*60)</f>
        <v>7.9999999999999716</v>
      </c>
      <c r="V20" s="22">
        <f t="shared" si="21"/>
        <v>39.000000000000021</v>
      </c>
      <c r="W20" s="23"/>
      <c r="X20" s="4"/>
      <c r="Y20" s="4"/>
      <c r="Z20" s="4"/>
      <c r="AA20" s="164"/>
      <c r="AB20" s="164"/>
      <c r="AC20" s="25"/>
      <c r="AD20" s="25"/>
      <c r="AE20" s="19">
        <f t="shared" si="8"/>
        <v>-66.153846153847326</v>
      </c>
      <c r="AF20" s="21">
        <f t="shared" si="9"/>
        <v>0.96692307692307633</v>
      </c>
      <c r="AG20" s="172"/>
    </row>
    <row r="21" spans="1:33" ht="15.75" customHeight="1">
      <c r="A21" s="195" t="s">
        <v>58</v>
      </c>
      <c r="B21" s="37" t="s">
        <v>78</v>
      </c>
      <c r="C21" s="190" t="s">
        <v>97</v>
      </c>
      <c r="D21" s="190"/>
      <c r="E21" s="37">
        <v>50.49</v>
      </c>
      <c r="F21" s="4">
        <v>1684</v>
      </c>
      <c r="G21" s="4">
        <f t="shared" si="19"/>
        <v>85025.16</v>
      </c>
      <c r="H21" s="22" t="s">
        <v>139</v>
      </c>
      <c r="I21" s="16">
        <v>15</v>
      </c>
      <c r="J21" s="18">
        <v>2000</v>
      </c>
      <c r="K21" s="17">
        <f t="shared" si="1"/>
        <v>133.33333333333334</v>
      </c>
      <c r="L21" s="16">
        <v>15</v>
      </c>
      <c r="M21" s="18">
        <f t="shared" si="20"/>
        <v>1906.4150943396237</v>
      </c>
      <c r="N21" s="17">
        <f t="shared" si="3"/>
        <v>127.09433962264158</v>
      </c>
      <c r="O21" s="19">
        <f t="shared" si="4"/>
        <v>0</v>
      </c>
      <c r="P21" s="20">
        <f t="shared" si="5"/>
        <v>-6.2389937106917586</v>
      </c>
      <c r="Q21" s="21">
        <f t="shared" si="6"/>
        <v>0.95320754716981182</v>
      </c>
      <c r="R21" s="172"/>
      <c r="S21" s="28">
        <v>0.70833333333333337</v>
      </c>
      <c r="T21" s="28">
        <v>0.74513888888888891</v>
      </c>
      <c r="U21" s="4" t="str">
        <f t="shared" si="22"/>
        <v/>
      </c>
      <c r="V21" s="22">
        <f t="shared" si="21"/>
        <v>52.999999999999972</v>
      </c>
      <c r="W21" s="23"/>
      <c r="X21" s="4"/>
      <c r="Y21" s="4"/>
      <c r="Z21" s="4"/>
      <c r="AA21" s="164"/>
      <c r="AB21" s="164"/>
      <c r="AC21" s="25"/>
      <c r="AD21" s="25"/>
      <c r="AE21" s="19">
        <f t="shared" si="8"/>
        <v>-93.584905660376307</v>
      </c>
      <c r="AF21" s="21">
        <f t="shared" si="9"/>
        <v>0.95320754716981182</v>
      </c>
      <c r="AG21" s="172"/>
    </row>
    <row r="22" spans="1:33" ht="15.75" customHeight="1">
      <c r="A22" s="195" t="s">
        <v>58</v>
      </c>
      <c r="B22" s="37" t="s">
        <v>78</v>
      </c>
      <c r="C22" s="190" t="s">
        <v>94</v>
      </c>
      <c r="D22" s="190"/>
      <c r="E22" s="37">
        <v>57.3</v>
      </c>
      <c r="F22" s="4">
        <v>1457</v>
      </c>
      <c r="G22" s="4">
        <f t="shared" si="19"/>
        <v>83486.099999999991</v>
      </c>
      <c r="H22" s="22" t="s">
        <v>139</v>
      </c>
      <c r="I22" s="16">
        <v>13</v>
      </c>
      <c r="J22" s="18">
        <v>2000</v>
      </c>
      <c r="K22" s="17">
        <f t="shared" si="1"/>
        <v>153.84615384615384</v>
      </c>
      <c r="L22" s="16">
        <v>13</v>
      </c>
      <c r="M22" s="18">
        <f t="shared" si="20"/>
        <v>1942.6666666666667</v>
      </c>
      <c r="N22" s="17">
        <f t="shared" si="3"/>
        <v>149.43589743589743</v>
      </c>
      <c r="O22" s="19">
        <f t="shared" si="4"/>
        <v>0</v>
      </c>
      <c r="P22" s="20">
        <f t="shared" si="5"/>
        <v>-4.4102564102564088</v>
      </c>
      <c r="Q22" s="21">
        <f t="shared" si="6"/>
        <v>0.97133333333333338</v>
      </c>
      <c r="R22" s="172"/>
      <c r="S22" s="28">
        <v>0.75069444444444444</v>
      </c>
      <c r="T22" s="28">
        <v>0.78194444444444444</v>
      </c>
      <c r="U22" s="4">
        <f t="shared" si="22"/>
        <v>7.9999999999999716</v>
      </c>
      <c r="V22" s="22">
        <f t="shared" si="21"/>
        <v>45</v>
      </c>
      <c r="W22" s="23"/>
      <c r="X22" s="4"/>
      <c r="Y22" s="4"/>
      <c r="Z22" s="4"/>
      <c r="AA22" s="164"/>
      <c r="AB22" s="164"/>
      <c r="AC22" s="25"/>
      <c r="AD22" s="25"/>
      <c r="AE22" s="19">
        <f t="shared" si="8"/>
        <v>-57.333333333333258</v>
      </c>
      <c r="AF22" s="21">
        <f t="shared" si="9"/>
        <v>0.97133333333333338</v>
      </c>
      <c r="AG22" s="172"/>
    </row>
    <row r="23" spans="1:33" ht="15.75" customHeight="1">
      <c r="A23" s="195" t="s">
        <v>58</v>
      </c>
      <c r="B23" s="37" t="s">
        <v>78</v>
      </c>
      <c r="C23" s="190" t="s">
        <v>99</v>
      </c>
      <c r="D23" s="190"/>
      <c r="E23" s="37">
        <v>53.68</v>
      </c>
      <c r="F23" s="4">
        <v>1567</v>
      </c>
      <c r="G23" s="4">
        <f t="shared" si="19"/>
        <v>84116.56</v>
      </c>
      <c r="H23" s="22" t="s">
        <v>139</v>
      </c>
      <c r="I23" s="16">
        <v>16</v>
      </c>
      <c r="J23" s="18">
        <v>1500</v>
      </c>
      <c r="K23" s="17">
        <f t="shared" si="1"/>
        <v>93.75</v>
      </c>
      <c r="L23" s="16">
        <v>16</v>
      </c>
      <c r="M23" s="18">
        <f t="shared" si="20"/>
        <v>1446.4615384615402</v>
      </c>
      <c r="N23" s="17">
        <f t="shared" si="3"/>
        <v>90.40384615384626</v>
      </c>
      <c r="O23" s="19">
        <f t="shared" si="4"/>
        <v>0</v>
      </c>
      <c r="P23" s="20">
        <f t="shared" si="5"/>
        <v>-3.3461538461537401</v>
      </c>
      <c r="Q23" s="21">
        <f t="shared" si="6"/>
        <v>0.96430769230769342</v>
      </c>
      <c r="R23" s="172"/>
      <c r="S23" s="28">
        <v>0.78611111111111109</v>
      </c>
      <c r="T23" s="28">
        <v>0.83124999999999993</v>
      </c>
      <c r="U23" s="4">
        <f t="shared" si="22"/>
        <v>5.9999999999999787</v>
      </c>
      <c r="V23" s="22">
        <f t="shared" si="21"/>
        <v>64.999999999999929</v>
      </c>
      <c r="W23" s="23"/>
      <c r="X23" s="23"/>
      <c r="Y23" s="4"/>
      <c r="Z23" s="4"/>
      <c r="AA23" s="164"/>
      <c r="AB23" s="164"/>
      <c r="AC23" s="25"/>
      <c r="AD23" s="25"/>
      <c r="AE23" s="19">
        <f t="shared" si="8"/>
        <v>-53.538461538459842</v>
      </c>
      <c r="AF23" s="21">
        <f t="shared" si="9"/>
        <v>0.96430769230769342</v>
      </c>
      <c r="AG23" s="172"/>
    </row>
    <row r="24" spans="1:33" ht="15.75" customHeight="1">
      <c r="A24" s="195" t="s">
        <v>2457</v>
      </c>
      <c r="B24" s="37" t="s">
        <v>48</v>
      </c>
      <c r="C24" s="177"/>
      <c r="D24" s="177"/>
      <c r="E24" s="38"/>
      <c r="F24" s="4"/>
      <c r="G24" s="4"/>
      <c r="H24" s="4"/>
      <c r="I24" s="30">
        <v>14.8</v>
      </c>
      <c r="J24" s="18">
        <v>1900</v>
      </c>
      <c r="K24" s="17">
        <f t="shared" si="1"/>
        <v>128.37837837837839</v>
      </c>
      <c r="L24" s="30">
        <v>14.8</v>
      </c>
      <c r="M24" s="18">
        <f>AVERAGE(M19:M23)</f>
        <v>1826.9589717438776</v>
      </c>
      <c r="N24" s="17">
        <f t="shared" si="3"/>
        <v>123.44317376647821</v>
      </c>
      <c r="O24" s="19">
        <f t="shared" si="4"/>
        <v>0</v>
      </c>
      <c r="P24" s="20">
        <f t="shared" si="5"/>
        <v>-4.9352046119001756</v>
      </c>
      <c r="Q24" s="21">
        <f t="shared" si="6"/>
        <v>0.96155735354940919</v>
      </c>
      <c r="R24" s="172"/>
      <c r="S24" s="28"/>
      <c r="T24" s="28"/>
      <c r="U24" s="17"/>
      <c r="V24" s="22"/>
      <c r="W24" s="17"/>
      <c r="X24" s="17"/>
      <c r="Y24" s="31">
        <f>SUM(Y19:Y23)</f>
        <v>0</v>
      </c>
      <c r="Z24" s="31">
        <f>SUM(Z19:Z23)</f>
        <v>0</v>
      </c>
      <c r="AA24" s="168"/>
      <c r="AB24" s="168"/>
      <c r="AC24" s="31">
        <v>5</v>
      </c>
      <c r="AD24" s="31">
        <f>SUM(AD19:AD23)</f>
        <v>0</v>
      </c>
      <c r="AE24" s="19">
        <f t="shared" si="8"/>
        <v>-73.041028256122445</v>
      </c>
      <c r="AF24" s="21">
        <f t="shared" si="9"/>
        <v>0.96155735354940919</v>
      </c>
      <c r="AG24" s="172"/>
    </row>
    <row r="25" spans="1:33" ht="15.75" customHeight="1">
      <c r="A25" s="193" t="s">
        <v>61</v>
      </c>
      <c r="B25" s="37" t="s">
        <v>100</v>
      </c>
      <c r="C25" s="190" t="s">
        <v>101</v>
      </c>
      <c r="D25" s="190"/>
      <c r="E25" s="37">
        <v>31.29</v>
      </c>
      <c r="F25" s="4">
        <v>6968</v>
      </c>
      <c r="G25" s="4">
        <f t="shared" ref="G25:G29" si="23">E25*F25</f>
        <v>218028.72</v>
      </c>
      <c r="H25" s="22" t="s">
        <v>139</v>
      </c>
      <c r="I25" s="16">
        <v>18</v>
      </c>
      <c r="J25" s="18">
        <v>2400</v>
      </c>
      <c r="K25" s="17">
        <f t="shared" si="1"/>
        <v>133.33333333333334</v>
      </c>
      <c r="L25" s="16">
        <v>18</v>
      </c>
      <c r="M25" s="18">
        <f t="shared" ref="M25:M29" si="24">F25/V25*60</f>
        <v>2297.1428571428569</v>
      </c>
      <c r="N25" s="17">
        <f t="shared" si="3"/>
        <v>127.61904761904761</v>
      </c>
      <c r="O25" s="19">
        <f t="shared" si="4"/>
        <v>0</v>
      </c>
      <c r="P25" s="20">
        <f t="shared" si="5"/>
        <v>-5.7142857142857366</v>
      </c>
      <c r="Q25" s="21">
        <f t="shared" si="6"/>
        <v>0.95714285714285696</v>
      </c>
      <c r="R25" s="172">
        <f>Q30</f>
        <v>0.95848465861623733</v>
      </c>
      <c r="S25" s="28">
        <v>0.125</v>
      </c>
      <c r="T25" s="28">
        <v>0.25138888888888888</v>
      </c>
      <c r="U25" s="4"/>
      <c r="V25" s="22">
        <f t="shared" ref="V25:V29" si="25">(T25-S25)*24*60</f>
        <v>182</v>
      </c>
      <c r="W25" s="23">
        <f>T25</f>
        <v>0.25138888888888888</v>
      </c>
      <c r="X25" s="23">
        <f>S26</f>
        <v>0.26944444444444443</v>
      </c>
      <c r="Y25" s="23"/>
      <c r="Z25" s="23"/>
      <c r="AA25" s="164"/>
      <c r="AB25" s="164"/>
      <c r="AC25" s="25">
        <v>5</v>
      </c>
      <c r="AD25" s="25"/>
      <c r="AE25" s="19">
        <f t="shared" si="8"/>
        <v>-102.85714285714312</v>
      </c>
      <c r="AF25" s="21">
        <f t="shared" si="9"/>
        <v>0.95714285714285707</v>
      </c>
      <c r="AG25" s="172">
        <f>AF30</f>
        <v>0.95848465861623733</v>
      </c>
    </row>
    <row r="26" spans="1:33" ht="15.75" customHeight="1">
      <c r="A26" s="193" t="s">
        <v>2458</v>
      </c>
      <c r="B26" s="37" t="s">
        <v>100</v>
      </c>
      <c r="C26" s="190" t="s">
        <v>105</v>
      </c>
      <c r="D26" s="190"/>
      <c r="E26" s="37">
        <v>25.98</v>
      </c>
      <c r="F26" s="4">
        <v>2188</v>
      </c>
      <c r="G26" s="4">
        <f t="shared" si="23"/>
        <v>56844.24</v>
      </c>
      <c r="H26" s="22" t="s">
        <v>139</v>
      </c>
      <c r="I26" s="16">
        <v>21</v>
      </c>
      <c r="J26" s="18">
        <v>2400</v>
      </c>
      <c r="K26" s="17">
        <f t="shared" si="1"/>
        <v>114.28571428571429</v>
      </c>
      <c r="L26" s="16">
        <v>21</v>
      </c>
      <c r="M26" s="18">
        <f t="shared" si="24"/>
        <v>2303.1578947368407</v>
      </c>
      <c r="N26" s="17">
        <f t="shared" si="3"/>
        <v>109.67418546365909</v>
      </c>
      <c r="O26" s="19">
        <f t="shared" si="4"/>
        <v>0</v>
      </c>
      <c r="P26" s="20">
        <f t="shared" si="5"/>
        <v>-4.611528822055206</v>
      </c>
      <c r="Q26" s="21">
        <f t="shared" si="6"/>
        <v>0.95964912280701697</v>
      </c>
      <c r="R26" s="172"/>
      <c r="S26" s="28">
        <v>0.26944444444444443</v>
      </c>
      <c r="T26" s="28">
        <v>0.30902777777777779</v>
      </c>
      <c r="U26" s="4">
        <f t="shared" ref="U26:U29" si="26">(S26-T25)*24*60</f>
        <v>25.999999999999986</v>
      </c>
      <c r="V26" s="22">
        <f t="shared" si="25"/>
        <v>57.000000000000036</v>
      </c>
      <c r="W26" s="23"/>
      <c r="X26" s="23"/>
      <c r="Y26" s="23"/>
      <c r="Z26" s="23"/>
      <c r="AA26" s="164"/>
      <c r="AB26" s="164"/>
      <c r="AC26" s="25"/>
      <c r="AD26" s="25"/>
      <c r="AE26" s="19">
        <f t="shared" si="8"/>
        <v>-96.842105263159283</v>
      </c>
      <c r="AF26" s="21">
        <f t="shared" si="9"/>
        <v>0.95964912280701697</v>
      </c>
      <c r="AG26" s="172"/>
    </row>
    <row r="27" spans="1:33" ht="15.75" customHeight="1">
      <c r="A27" s="193" t="s">
        <v>61</v>
      </c>
      <c r="B27" s="37" t="s">
        <v>100</v>
      </c>
      <c r="C27" s="190" t="s">
        <v>102</v>
      </c>
      <c r="D27" s="190"/>
      <c r="E27" s="37">
        <v>26.2</v>
      </c>
      <c r="F27" s="4">
        <v>3803</v>
      </c>
      <c r="G27" s="4">
        <f t="shared" si="23"/>
        <v>99638.599999999991</v>
      </c>
      <c r="H27" s="22" t="s">
        <v>139</v>
      </c>
      <c r="I27" s="16">
        <v>20</v>
      </c>
      <c r="J27" s="18">
        <v>2400</v>
      </c>
      <c r="K27" s="17">
        <f t="shared" si="1"/>
        <v>120</v>
      </c>
      <c r="L27" s="16">
        <v>20</v>
      </c>
      <c r="M27" s="18">
        <f t="shared" si="24"/>
        <v>2304.8484848484854</v>
      </c>
      <c r="N27" s="17">
        <f t="shared" si="3"/>
        <v>115.24242424242428</v>
      </c>
      <c r="O27" s="19">
        <f t="shared" si="4"/>
        <v>0</v>
      </c>
      <c r="P27" s="20">
        <f t="shared" si="5"/>
        <v>-4.7575757575757223</v>
      </c>
      <c r="Q27" s="21">
        <f t="shared" si="6"/>
        <v>0.96035353535353563</v>
      </c>
      <c r="R27" s="172"/>
      <c r="S27" s="28">
        <v>0.3125</v>
      </c>
      <c r="T27" s="28">
        <v>0.38124999999999998</v>
      </c>
      <c r="U27" s="4">
        <f t="shared" si="26"/>
        <v>4.9999999999999822</v>
      </c>
      <c r="V27" s="22">
        <f t="shared" si="25"/>
        <v>98.999999999999972</v>
      </c>
      <c r="W27" s="23"/>
      <c r="X27" s="23"/>
      <c r="Y27" s="23"/>
      <c r="Z27" s="23"/>
      <c r="AA27" s="164"/>
      <c r="AB27" s="164"/>
      <c r="AC27" s="25"/>
      <c r="AD27" s="25"/>
      <c r="AE27" s="19">
        <f t="shared" si="8"/>
        <v>-95.151515151514559</v>
      </c>
      <c r="AF27" s="21">
        <f t="shared" si="9"/>
        <v>0.96035353535353563</v>
      </c>
      <c r="AG27" s="172"/>
    </row>
    <row r="28" spans="1:33" ht="15.75" customHeight="1">
      <c r="A28" s="193" t="s">
        <v>61</v>
      </c>
      <c r="B28" s="37" t="s">
        <v>100</v>
      </c>
      <c r="C28" s="190" t="s">
        <v>103</v>
      </c>
      <c r="D28" s="190"/>
      <c r="E28" s="37">
        <v>25.99</v>
      </c>
      <c r="F28" s="4">
        <v>3096</v>
      </c>
      <c r="G28" s="4">
        <f t="shared" si="23"/>
        <v>80465.039999999994</v>
      </c>
      <c r="H28" s="22" t="s">
        <v>139</v>
      </c>
      <c r="I28" s="16">
        <v>14</v>
      </c>
      <c r="J28" s="18">
        <v>2400</v>
      </c>
      <c r="K28" s="17">
        <f t="shared" si="1"/>
        <v>171.42857142857142</v>
      </c>
      <c r="L28" s="16">
        <v>14</v>
      </c>
      <c r="M28" s="18">
        <f t="shared" si="24"/>
        <v>2293.3333333333326</v>
      </c>
      <c r="N28" s="17">
        <f t="shared" si="3"/>
        <v>163.80952380952377</v>
      </c>
      <c r="O28" s="19">
        <f t="shared" si="4"/>
        <v>0</v>
      </c>
      <c r="P28" s="20">
        <f t="shared" si="5"/>
        <v>-7.6190476190476488</v>
      </c>
      <c r="Q28" s="21">
        <f t="shared" si="6"/>
        <v>0.95555555555555538</v>
      </c>
      <c r="R28" s="172"/>
      <c r="S28" s="28">
        <v>0.38541666666666663</v>
      </c>
      <c r="T28" s="28">
        <v>0.44166666666666665</v>
      </c>
      <c r="U28" s="4">
        <f t="shared" si="26"/>
        <v>5.9999999999999787</v>
      </c>
      <c r="V28" s="22">
        <f t="shared" si="25"/>
        <v>81.000000000000028</v>
      </c>
      <c r="W28" s="23"/>
      <c r="X28" s="23"/>
      <c r="Y28" s="23"/>
      <c r="Z28" s="23"/>
      <c r="AA28" s="164"/>
      <c r="AB28" s="164"/>
      <c r="AC28" s="25"/>
      <c r="AD28" s="25"/>
      <c r="AE28" s="19">
        <f t="shared" si="8"/>
        <v>-106.66666666666742</v>
      </c>
      <c r="AF28" s="21">
        <f t="shared" si="9"/>
        <v>0.95555555555555527</v>
      </c>
      <c r="AG28" s="172"/>
    </row>
    <row r="29" spans="1:33" ht="15.75" customHeight="1">
      <c r="A29" s="193" t="s">
        <v>61</v>
      </c>
      <c r="B29" s="37" t="s">
        <v>100</v>
      </c>
      <c r="C29" s="190" t="s">
        <v>107</v>
      </c>
      <c r="D29" s="190"/>
      <c r="E29" s="37">
        <v>26.18</v>
      </c>
      <c r="F29" s="4">
        <v>1382</v>
      </c>
      <c r="G29" s="4">
        <f t="shared" si="23"/>
        <v>36180.76</v>
      </c>
      <c r="H29" s="22" t="s">
        <v>139</v>
      </c>
      <c r="I29" s="16">
        <v>19</v>
      </c>
      <c r="J29" s="18">
        <v>2400</v>
      </c>
      <c r="K29" s="17">
        <f t="shared" si="1"/>
        <v>126.31578947368421</v>
      </c>
      <c r="L29" s="16">
        <v>19</v>
      </c>
      <c r="M29" s="18">
        <f t="shared" si="24"/>
        <v>2303.3333333333312</v>
      </c>
      <c r="N29" s="17">
        <f t="shared" si="3"/>
        <v>121.22807017543849</v>
      </c>
      <c r="O29" s="19">
        <f t="shared" si="4"/>
        <v>0</v>
      </c>
      <c r="P29" s="20">
        <f t="shared" si="5"/>
        <v>-5.087719298245716</v>
      </c>
      <c r="Q29" s="21">
        <f t="shared" si="6"/>
        <v>0.95972222222222137</v>
      </c>
      <c r="R29" s="172"/>
      <c r="S29" s="28">
        <v>0.44652777777777775</v>
      </c>
      <c r="T29" s="28">
        <v>0.47152777777777777</v>
      </c>
      <c r="U29" s="4">
        <f t="shared" si="26"/>
        <v>6.9999999999999751</v>
      </c>
      <c r="V29" s="22">
        <f t="shared" si="25"/>
        <v>36.000000000000028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8"/>
        <v>-96.666666666668789</v>
      </c>
      <c r="AF29" s="21">
        <f t="shared" si="9"/>
        <v>0.95972222222222137</v>
      </c>
      <c r="AG29" s="172"/>
    </row>
    <row r="30" spans="1:33" ht="15.75" customHeight="1">
      <c r="A30" s="193" t="s">
        <v>61</v>
      </c>
      <c r="B30" s="37" t="s">
        <v>48</v>
      </c>
      <c r="C30" s="177"/>
      <c r="D30" s="177"/>
      <c r="E30" s="38"/>
      <c r="F30" s="4"/>
      <c r="G30" s="4"/>
      <c r="H30" s="4"/>
      <c r="I30" s="30">
        <v>18.399999999999999</v>
      </c>
      <c r="J30" s="18">
        <v>2400</v>
      </c>
      <c r="K30" s="17">
        <f t="shared" si="1"/>
        <v>130.43478260869566</v>
      </c>
      <c r="L30" s="30">
        <v>18.399999999999999</v>
      </c>
      <c r="M30" s="18">
        <f>AVERAGE(M25:M29)</f>
        <v>2300.3631806789695</v>
      </c>
      <c r="N30" s="17">
        <f t="shared" si="3"/>
        <v>125.01973808037879</v>
      </c>
      <c r="O30" s="19">
        <f t="shared" si="4"/>
        <v>0</v>
      </c>
      <c r="P30" s="20">
        <f t="shared" si="5"/>
        <v>-5.4150445283168693</v>
      </c>
      <c r="Q30" s="21">
        <f t="shared" si="6"/>
        <v>0.95848465861623733</v>
      </c>
      <c r="R30" s="172"/>
      <c r="S30" s="28"/>
      <c r="T30" s="28"/>
      <c r="U30" s="4"/>
      <c r="V30" s="22"/>
      <c r="W30" s="4"/>
      <c r="X30" s="4"/>
      <c r="Y30" s="31">
        <f>SUM(Y25:Y29)</f>
        <v>0</v>
      </c>
      <c r="Z30" s="31">
        <f>SUM(Z25:Z29)</f>
        <v>0</v>
      </c>
      <c r="AA30" s="168"/>
      <c r="AB30" s="168"/>
      <c r="AC30" s="31">
        <v>5</v>
      </c>
      <c r="AD30" s="31">
        <f>SUM(AD25:AD29)</f>
        <v>0</v>
      </c>
      <c r="AE30" s="19">
        <f t="shared" si="8"/>
        <v>-99.636819321030544</v>
      </c>
      <c r="AF30" s="21">
        <f t="shared" si="9"/>
        <v>0.95848465861623733</v>
      </c>
      <c r="AG30" s="172"/>
    </row>
    <row r="31" spans="1:33" ht="15.75" customHeight="1">
      <c r="A31" s="191" t="s">
        <v>64</v>
      </c>
      <c r="B31" s="37" t="s">
        <v>100</v>
      </c>
      <c r="C31" s="165" t="s">
        <v>106</v>
      </c>
      <c r="D31" s="165"/>
      <c r="E31" s="37">
        <v>26.2</v>
      </c>
      <c r="F31" s="4">
        <v>5045</v>
      </c>
      <c r="G31" s="4">
        <f t="shared" ref="G31:G35" si="27">E31*F31</f>
        <v>132179</v>
      </c>
      <c r="H31" s="22" t="s">
        <v>139</v>
      </c>
      <c r="I31" s="16">
        <v>18</v>
      </c>
      <c r="J31" s="18">
        <v>2400</v>
      </c>
      <c r="K31" s="17">
        <f t="shared" si="1"/>
        <v>133.33333333333334</v>
      </c>
      <c r="L31" s="16">
        <v>18</v>
      </c>
      <c r="M31" s="18">
        <f t="shared" ref="M31:M35" si="28">F31/V31*60</f>
        <v>2293.181818181818</v>
      </c>
      <c r="N31" s="17">
        <f t="shared" si="3"/>
        <v>127.3989898989899</v>
      </c>
      <c r="O31" s="19">
        <f t="shared" si="4"/>
        <v>0</v>
      </c>
      <c r="P31" s="20">
        <f t="shared" si="5"/>
        <v>-5.9343434343434467</v>
      </c>
      <c r="Q31" s="21">
        <f t="shared" si="6"/>
        <v>0.9554924242424242</v>
      </c>
      <c r="R31" s="172">
        <f>Q36</f>
        <v>0.95861341816785361</v>
      </c>
      <c r="S31" s="28">
        <v>0.125</v>
      </c>
      <c r="T31" s="28">
        <v>0.21666666666666667</v>
      </c>
      <c r="U31" s="4"/>
      <c r="V31" s="22">
        <f t="shared" ref="V31:V35" si="29">(T31-S31)*24*60</f>
        <v>132</v>
      </c>
      <c r="W31" s="28">
        <f>T31</f>
        <v>0.21666666666666667</v>
      </c>
      <c r="X31" s="28">
        <f>S32</f>
        <v>0.23750000000000002</v>
      </c>
      <c r="Y31" s="28"/>
      <c r="Z31" s="28"/>
      <c r="AA31" s="164"/>
      <c r="AB31" s="164"/>
      <c r="AC31" s="25">
        <v>5</v>
      </c>
      <c r="AD31" s="25"/>
      <c r="AE31" s="19">
        <f t="shared" si="8"/>
        <v>-106.81818181818198</v>
      </c>
      <c r="AF31" s="21">
        <f t="shared" si="9"/>
        <v>0.9554924242424242</v>
      </c>
      <c r="AG31" s="172">
        <f>AF36</f>
        <v>0.95861341816785361</v>
      </c>
    </row>
    <row r="32" spans="1:33" ht="15.75" customHeight="1">
      <c r="A32" s="191" t="s">
        <v>64</v>
      </c>
      <c r="B32" s="37" t="s">
        <v>100</v>
      </c>
      <c r="C32" s="165" t="s">
        <v>104</v>
      </c>
      <c r="D32" s="165"/>
      <c r="E32" s="37">
        <v>20.52</v>
      </c>
      <c r="F32" s="4">
        <v>2865</v>
      </c>
      <c r="G32" s="4">
        <f t="shared" si="27"/>
        <v>58789.799999999996</v>
      </c>
      <c r="H32" s="22" t="s">
        <v>139</v>
      </c>
      <c r="I32" s="16">
        <v>18</v>
      </c>
      <c r="J32" s="18">
        <v>2400</v>
      </c>
      <c r="K32" s="17">
        <f t="shared" si="1"/>
        <v>133.33333333333334</v>
      </c>
      <c r="L32" s="16">
        <v>18</v>
      </c>
      <c r="M32" s="18">
        <f t="shared" si="28"/>
        <v>2291.9999999999995</v>
      </c>
      <c r="N32" s="17">
        <f t="shared" si="3"/>
        <v>127.33333333333331</v>
      </c>
      <c r="O32" s="19">
        <f t="shared" si="4"/>
        <v>0</v>
      </c>
      <c r="P32" s="20">
        <f t="shared" si="5"/>
        <v>-6.0000000000000284</v>
      </c>
      <c r="Q32" s="21">
        <f t="shared" si="6"/>
        <v>0.95499999999999974</v>
      </c>
      <c r="R32" s="172"/>
      <c r="S32" s="28">
        <v>0.23750000000000002</v>
      </c>
      <c r="T32" s="28">
        <v>0.28958333333333336</v>
      </c>
      <c r="U32" s="4">
        <f t="shared" ref="U32:U35" si="30">(S32-T31)*24*60</f>
        <v>30.000000000000014</v>
      </c>
      <c r="V32" s="22">
        <f t="shared" si="29"/>
        <v>75.000000000000014</v>
      </c>
      <c r="W32" s="4"/>
      <c r="X32" s="4"/>
      <c r="Y32" s="4"/>
      <c r="Z32" s="4"/>
      <c r="AA32" s="164"/>
      <c r="AB32" s="164"/>
      <c r="AC32" s="25"/>
      <c r="AD32" s="25"/>
      <c r="AE32" s="19">
        <f t="shared" si="8"/>
        <v>-108.00000000000045</v>
      </c>
      <c r="AF32" s="21">
        <f t="shared" si="9"/>
        <v>0.95499999999999985</v>
      </c>
      <c r="AG32" s="172"/>
    </row>
    <row r="33" spans="1:33">
      <c r="A33" s="192" t="s">
        <v>64</v>
      </c>
      <c r="B33" s="37" t="s">
        <v>100</v>
      </c>
      <c r="C33" s="165" t="s">
        <v>108</v>
      </c>
      <c r="D33" s="165"/>
      <c r="E33" s="37">
        <v>26.39</v>
      </c>
      <c r="F33" s="4">
        <v>4293</v>
      </c>
      <c r="G33" s="4">
        <f t="shared" si="27"/>
        <v>113292.27</v>
      </c>
      <c r="H33" s="22" t="s">
        <v>139</v>
      </c>
      <c r="I33" s="16">
        <v>19</v>
      </c>
      <c r="J33" s="18">
        <v>2400</v>
      </c>
      <c r="K33" s="17">
        <f t="shared" si="1"/>
        <v>126.31578947368421</v>
      </c>
      <c r="L33" s="16">
        <v>19</v>
      </c>
      <c r="M33" s="18">
        <f t="shared" si="28"/>
        <v>2299.8214285714289</v>
      </c>
      <c r="N33" s="17">
        <f t="shared" si="3"/>
        <v>121.04323308270678</v>
      </c>
      <c r="O33" s="19">
        <f t="shared" si="4"/>
        <v>0</v>
      </c>
      <c r="P33" s="20">
        <f t="shared" si="5"/>
        <v>-5.272556390977428</v>
      </c>
      <c r="Q33" s="21">
        <f t="shared" si="6"/>
        <v>0.95825892857142869</v>
      </c>
      <c r="R33" s="172"/>
      <c r="S33" s="28">
        <v>0.29444444444444445</v>
      </c>
      <c r="T33" s="28">
        <v>0.37222222222222223</v>
      </c>
      <c r="U33" s="4">
        <f t="shared" si="30"/>
        <v>6.9999999999999751</v>
      </c>
      <c r="V33" s="22">
        <f t="shared" si="29"/>
        <v>112</v>
      </c>
      <c r="W33" s="4"/>
      <c r="X33" s="4"/>
      <c r="Y33" s="4"/>
      <c r="Z33" s="4"/>
      <c r="AA33" s="164"/>
      <c r="AB33" s="164"/>
      <c r="AC33" s="25"/>
      <c r="AD33" s="25"/>
      <c r="AE33" s="19">
        <f t="shared" si="8"/>
        <v>-100.1785714285711</v>
      </c>
      <c r="AF33" s="21">
        <f t="shared" si="9"/>
        <v>0.95825892857142869</v>
      </c>
      <c r="AG33" s="172"/>
    </row>
    <row r="34" spans="1:33">
      <c r="A34" s="192" t="s">
        <v>64</v>
      </c>
      <c r="B34" s="37" t="s">
        <v>100</v>
      </c>
      <c r="C34" s="165" t="s">
        <v>137</v>
      </c>
      <c r="D34" s="165"/>
      <c r="E34" s="37">
        <v>20.21</v>
      </c>
      <c r="F34" s="4">
        <v>2536</v>
      </c>
      <c r="G34" s="4">
        <f t="shared" si="27"/>
        <v>51252.560000000005</v>
      </c>
      <c r="H34" s="22" t="s">
        <v>139</v>
      </c>
      <c r="I34" s="16">
        <v>15</v>
      </c>
      <c r="J34" s="18">
        <v>2400</v>
      </c>
      <c r="K34" s="17">
        <f t="shared" si="1"/>
        <v>160</v>
      </c>
      <c r="L34" s="16">
        <v>15</v>
      </c>
      <c r="M34" s="18">
        <f t="shared" si="28"/>
        <v>2305.4545454545455</v>
      </c>
      <c r="N34" s="17">
        <f t="shared" si="3"/>
        <v>153.69696969696969</v>
      </c>
      <c r="O34" s="19">
        <f t="shared" si="4"/>
        <v>0</v>
      </c>
      <c r="P34" s="20">
        <f t="shared" si="5"/>
        <v>-6.3030303030303116</v>
      </c>
      <c r="Q34" s="21">
        <f t="shared" si="6"/>
        <v>0.96060606060606057</v>
      </c>
      <c r="R34" s="172"/>
      <c r="S34" s="28">
        <v>0.37708333333333333</v>
      </c>
      <c r="T34" s="28">
        <v>0.42291666666666666</v>
      </c>
      <c r="U34" s="4">
        <f t="shared" si="30"/>
        <v>6.9999999999999751</v>
      </c>
      <c r="V34" s="22">
        <f t="shared" si="29"/>
        <v>66</v>
      </c>
      <c r="W34" s="23"/>
      <c r="X34" s="23"/>
      <c r="Y34" s="23"/>
      <c r="Z34" s="23"/>
      <c r="AA34" s="164"/>
      <c r="AB34" s="164"/>
      <c r="AC34" s="25"/>
      <c r="AD34" s="25"/>
      <c r="AE34" s="19">
        <f t="shared" si="8"/>
        <v>-94.545454545454504</v>
      </c>
      <c r="AF34" s="21">
        <f t="shared" si="9"/>
        <v>0.96060606060606057</v>
      </c>
      <c r="AG34" s="172"/>
    </row>
    <row r="35" spans="1:33">
      <c r="A35" s="192" t="s">
        <v>64</v>
      </c>
      <c r="B35" s="37" t="s">
        <v>100</v>
      </c>
      <c r="C35" s="165" t="s">
        <v>134</v>
      </c>
      <c r="D35" s="165"/>
      <c r="E35" s="37">
        <v>20.52</v>
      </c>
      <c r="F35" s="4">
        <v>2390</v>
      </c>
      <c r="G35" s="4">
        <f t="shared" si="27"/>
        <v>49042.799999999996</v>
      </c>
      <c r="H35" s="22" t="s">
        <v>139</v>
      </c>
      <c r="I35" s="16">
        <v>18</v>
      </c>
      <c r="J35" s="18">
        <v>2400</v>
      </c>
      <c r="K35" s="17">
        <f t="shared" si="1"/>
        <v>133.33333333333334</v>
      </c>
      <c r="L35" s="16">
        <v>18</v>
      </c>
      <c r="M35" s="18">
        <f t="shared" si="28"/>
        <v>2312.9032258064508</v>
      </c>
      <c r="N35" s="17">
        <f t="shared" si="3"/>
        <v>128.49462365591393</v>
      </c>
      <c r="O35" s="19">
        <f t="shared" si="4"/>
        <v>0</v>
      </c>
      <c r="P35" s="20">
        <f t="shared" si="5"/>
        <v>-4.8387096774194163</v>
      </c>
      <c r="Q35" s="21">
        <f t="shared" si="6"/>
        <v>0.96370967741935443</v>
      </c>
      <c r="R35" s="172"/>
      <c r="S35" s="28">
        <v>0.42638888888888887</v>
      </c>
      <c r="T35" s="28">
        <v>0.46944444444444444</v>
      </c>
      <c r="U35" s="4">
        <f t="shared" si="30"/>
        <v>4.9999999999999822</v>
      </c>
      <c r="V35" s="22">
        <f t="shared" si="29"/>
        <v>62.000000000000021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8"/>
        <v>-87.096774193549209</v>
      </c>
      <c r="AF35" s="21">
        <f t="shared" si="9"/>
        <v>0.96370967741935454</v>
      </c>
      <c r="AG35" s="172"/>
    </row>
    <row r="36" spans="1:33">
      <c r="A36" s="192" t="s">
        <v>64</v>
      </c>
      <c r="B36" s="17" t="s">
        <v>48</v>
      </c>
      <c r="C36" s="177"/>
      <c r="D36" s="177"/>
      <c r="E36" s="38"/>
      <c r="F36" s="17"/>
      <c r="G36" s="17"/>
      <c r="H36" s="4"/>
      <c r="I36" s="30">
        <v>17.600000000000001</v>
      </c>
      <c r="J36" s="18">
        <v>2400</v>
      </c>
      <c r="K36" s="17">
        <f t="shared" si="1"/>
        <v>136.36363636363635</v>
      </c>
      <c r="L36" s="30">
        <v>17.600000000000001</v>
      </c>
      <c r="M36" s="18">
        <f>AVERAGE(M31:M35)</f>
        <v>2300.6722036028486</v>
      </c>
      <c r="N36" s="17">
        <f t="shared" si="3"/>
        <v>130.72001156834366</v>
      </c>
      <c r="O36" s="19">
        <f t="shared" si="4"/>
        <v>0</v>
      </c>
      <c r="P36" s="20">
        <f t="shared" si="5"/>
        <v>-5.6436247952926806</v>
      </c>
      <c r="Q36" s="21">
        <f t="shared" si="6"/>
        <v>0.95861341816785361</v>
      </c>
      <c r="R36" s="172"/>
      <c r="S36" s="28"/>
      <c r="T36" s="28"/>
      <c r="U36" s="17"/>
      <c r="V36" s="22"/>
      <c r="W36" s="17"/>
      <c r="X36" s="17"/>
      <c r="Y36" s="31">
        <f>SUM(Y31:Y35)</f>
        <v>0</v>
      </c>
      <c r="Z36" s="31">
        <f>SUM(Z31:Z35)</f>
        <v>0</v>
      </c>
      <c r="AA36" s="168"/>
      <c r="AB36" s="168"/>
      <c r="AC36" s="31">
        <v>5</v>
      </c>
      <c r="AD36" s="31">
        <f>SUM(AD31:AD35)</f>
        <v>0</v>
      </c>
      <c r="AE36" s="19">
        <f t="shared" si="8"/>
        <v>-99.32779639715136</v>
      </c>
      <c r="AF36" s="21">
        <f t="shared" si="9"/>
        <v>0.95861341816785361</v>
      </c>
      <c r="AG36" s="172"/>
    </row>
    <row r="37" spans="1:33" ht="15.75" customHeight="1">
      <c r="A37" s="184" t="s">
        <v>68</v>
      </c>
      <c r="B37" s="37" t="s">
        <v>111</v>
      </c>
      <c r="C37" s="173" t="s">
        <v>403</v>
      </c>
      <c r="D37" s="174"/>
      <c r="E37" s="37">
        <v>34.36</v>
      </c>
      <c r="F37" s="4">
        <v>1965</v>
      </c>
      <c r="G37" s="4">
        <f t="shared" ref="G37:G44" si="31">E37*F37</f>
        <v>67517.399999999994</v>
      </c>
      <c r="H37" s="22" t="s">
        <v>139</v>
      </c>
      <c r="I37" s="16">
        <v>10</v>
      </c>
      <c r="J37" s="18">
        <v>3000</v>
      </c>
      <c r="K37" s="17">
        <f t="shared" si="1"/>
        <v>300</v>
      </c>
      <c r="L37" s="16">
        <v>10</v>
      </c>
      <c r="M37" s="18">
        <f t="shared" ref="M37:M44" si="32">F37/V37*60</f>
        <v>2875.60975609756</v>
      </c>
      <c r="N37" s="18">
        <f t="shared" si="3"/>
        <v>287.56097560975599</v>
      </c>
      <c r="O37" s="19">
        <f t="shared" si="4"/>
        <v>0</v>
      </c>
      <c r="P37" s="20">
        <f t="shared" si="5"/>
        <v>-12.439024390244015</v>
      </c>
      <c r="Q37" s="21">
        <f t="shared" si="6"/>
        <v>0.95853658536585329</v>
      </c>
      <c r="R37" s="187">
        <f>Q45</f>
        <v>0.96121586585486873</v>
      </c>
      <c r="S37" s="28">
        <v>0.20833333333333334</v>
      </c>
      <c r="T37" s="28">
        <v>0.23680555555555557</v>
      </c>
      <c r="U37" s="28"/>
      <c r="V37" s="22">
        <f t="shared" ref="V37:V44" si="33">(T37-S37)*24*60</f>
        <v>41.000000000000014</v>
      </c>
      <c r="W37" s="23"/>
      <c r="X37" s="23"/>
      <c r="Y37" s="26"/>
      <c r="Z37" s="26"/>
      <c r="AA37" s="175"/>
      <c r="AB37" s="176"/>
      <c r="AC37" s="25">
        <v>8</v>
      </c>
      <c r="AD37" s="25"/>
      <c r="AE37" s="19">
        <f t="shared" si="8"/>
        <v>-124.39024390244003</v>
      </c>
      <c r="AF37" s="21">
        <f t="shared" si="9"/>
        <v>0.95853658536585329</v>
      </c>
      <c r="AG37" s="187">
        <f>AF45</f>
        <v>0.96121586585486896</v>
      </c>
    </row>
    <row r="38" spans="1:33" ht="15.75" customHeight="1">
      <c r="A38" s="185" t="s">
        <v>68</v>
      </c>
      <c r="B38" s="37" t="s">
        <v>111</v>
      </c>
      <c r="C38" s="173" t="s">
        <v>114</v>
      </c>
      <c r="D38" s="174"/>
      <c r="E38" s="37">
        <v>35.119999999999997</v>
      </c>
      <c r="F38" s="4">
        <v>3300</v>
      </c>
      <c r="G38" s="4">
        <f t="shared" si="31"/>
        <v>115895.99999999999</v>
      </c>
      <c r="H38" s="22">
        <v>2</v>
      </c>
      <c r="I38" s="16">
        <v>10</v>
      </c>
      <c r="J38" s="18">
        <v>3000</v>
      </c>
      <c r="K38" s="17">
        <f t="shared" si="1"/>
        <v>300</v>
      </c>
      <c r="L38" s="16">
        <v>10</v>
      </c>
      <c r="M38" s="18">
        <f t="shared" si="32"/>
        <v>2869.5652173913045</v>
      </c>
      <c r="N38" s="18">
        <f t="shared" si="3"/>
        <v>286.95652173913044</v>
      </c>
      <c r="O38" s="19">
        <f t="shared" si="4"/>
        <v>0</v>
      </c>
      <c r="P38" s="20">
        <f t="shared" si="5"/>
        <v>-13.043478260869563</v>
      </c>
      <c r="Q38" s="21">
        <f t="shared" si="6"/>
        <v>0.95652173913043481</v>
      </c>
      <c r="R38" s="188"/>
      <c r="S38" s="28">
        <v>0.2416666666666667</v>
      </c>
      <c r="T38" s="28">
        <v>0.28958333333333336</v>
      </c>
      <c r="U38" s="4">
        <f t="shared" ref="U38:U44" si="34">(S38-T37)*24*60</f>
        <v>7.0000000000000151</v>
      </c>
      <c r="V38" s="22">
        <f t="shared" si="33"/>
        <v>69</v>
      </c>
      <c r="W38" s="23"/>
      <c r="X38" s="23"/>
      <c r="Y38" s="26"/>
      <c r="Z38" s="26"/>
      <c r="AA38" s="175"/>
      <c r="AB38" s="176"/>
      <c r="AC38" s="25"/>
      <c r="AD38" s="25"/>
      <c r="AE38" s="19">
        <f t="shared" si="8"/>
        <v>-130.43478260869551</v>
      </c>
      <c r="AF38" s="21">
        <f t="shared" si="9"/>
        <v>0.95652173913043481</v>
      </c>
      <c r="AG38" s="188"/>
    </row>
    <row r="39" spans="1:33" ht="15.75" customHeight="1">
      <c r="A39" s="185" t="s">
        <v>68</v>
      </c>
      <c r="B39" s="37" t="s">
        <v>111</v>
      </c>
      <c r="C39" s="173" t="s">
        <v>115</v>
      </c>
      <c r="D39" s="174"/>
      <c r="E39" s="37">
        <v>26.78</v>
      </c>
      <c r="F39" s="4">
        <v>2309</v>
      </c>
      <c r="G39" s="4">
        <f t="shared" si="31"/>
        <v>61835.020000000004</v>
      </c>
      <c r="H39" s="22" t="s">
        <v>139</v>
      </c>
      <c r="I39" s="16">
        <v>10</v>
      </c>
      <c r="J39" s="18">
        <v>3000</v>
      </c>
      <c r="K39" s="17">
        <f t="shared" si="1"/>
        <v>300</v>
      </c>
      <c r="L39" s="16">
        <v>10</v>
      </c>
      <c r="M39" s="18">
        <f t="shared" si="32"/>
        <v>2886.2500000000009</v>
      </c>
      <c r="N39" s="18">
        <f t="shared" si="3"/>
        <v>288.62500000000011</v>
      </c>
      <c r="O39" s="19">
        <f t="shared" si="4"/>
        <v>0</v>
      </c>
      <c r="P39" s="20">
        <f t="shared" si="5"/>
        <v>-11.374999999999886</v>
      </c>
      <c r="Q39" s="21">
        <f t="shared" si="6"/>
        <v>0.96208333333333373</v>
      </c>
      <c r="R39" s="188"/>
      <c r="S39" s="28">
        <v>0.29305555555555557</v>
      </c>
      <c r="T39" s="28">
        <v>0.3263888888888889</v>
      </c>
      <c r="U39" s="4">
        <f t="shared" si="34"/>
        <v>4.9999999999999822</v>
      </c>
      <c r="V39" s="22">
        <f t="shared" si="33"/>
        <v>47.999999999999986</v>
      </c>
      <c r="W39" s="23"/>
      <c r="X39" s="23"/>
      <c r="Y39" s="26"/>
      <c r="Z39" s="26"/>
      <c r="AA39" s="175"/>
      <c r="AB39" s="176"/>
      <c r="AC39" s="25"/>
      <c r="AD39" s="25"/>
      <c r="AE39" s="19">
        <f t="shared" si="8"/>
        <v>-113.74999999999909</v>
      </c>
      <c r="AF39" s="21">
        <f t="shared" si="9"/>
        <v>0.96208333333333362</v>
      </c>
      <c r="AG39" s="188"/>
    </row>
    <row r="40" spans="1:33" ht="15.75" customHeight="1">
      <c r="A40" s="185" t="s">
        <v>68</v>
      </c>
      <c r="B40" s="37" t="s">
        <v>111</v>
      </c>
      <c r="C40" s="173" t="s">
        <v>112</v>
      </c>
      <c r="D40" s="174"/>
      <c r="E40" s="37">
        <v>21.13</v>
      </c>
      <c r="F40" s="4">
        <v>4282</v>
      </c>
      <c r="G40" s="4">
        <f t="shared" si="31"/>
        <v>90478.659999999989</v>
      </c>
      <c r="H40" s="22" t="s">
        <v>139</v>
      </c>
      <c r="I40" s="16">
        <v>10</v>
      </c>
      <c r="J40" s="18">
        <v>3000</v>
      </c>
      <c r="K40" s="17">
        <f t="shared" si="1"/>
        <v>300</v>
      </c>
      <c r="L40" s="16">
        <v>10</v>
      </c>
      <c r="M40" s="18">
        <f t="shared" si="32"/>
        <v>2854.6666666666665</v>
      </c>
      <c r="N40" s="18">
        <f t="shared" si="3"/>
        <v>285.46666666666664</v>
      </c>
      <c r="O40" s="19">
        <f t="shared" si="4"/>
        <v>0</v>
      </c>
      <c r="P40" s="20">
        <f t="shared" si="5"/>
        <v>-14.53333333333336</v>
      </c>
      <c r="Q40" s="21">
        <f t="shared" si="6"/>
        <v>0.95155555555555549</v>
      </c>
      <c r="R40" s="188"/>
      <c r="S40" s="28">
        <v>0.33055555555555555</v>
      </c>
      <c r="T40" s="28">
        <v>0.39305555555555555</v>
      </c>
      <c r="U40" s="4">
        <f t="shared" si="34"/>
        <v>5.9999999999999787</v>
      </c>
      <c r="V40" s="22">
        <f t="shared" si="33"/>
        <v>90</v>
      </c>
      <c r="W40" s="23"/>
      <c r="X40" s="23"/>
      <c r="Y40" s="26"/>
      <c r="Z40" s="26"/>
      <c r="AA40" s="175"/>
      <c r="AB40" s="176"/>
      <c r="AC40" s="25"/>
      <c r="AD40" s="25"/>
      <c r="AE40" s="19">
        <f t="shared" si="8"/>
        <v>-145.33333333333348</v>
      </c>
      <c r="AF40" s="21">
        <f t="shared" si="9"/>
        <v>0.95155555555555549</v>
      </c>
      <c r="AG40" s="188"/>
    </row>
    <row r="41" spans="1:33" ht="15.75" customHeight="1">
      <c r="A41" s="185" t="s">
        <v>68</v>
      </c>
      <c r="B41" s="37" t="s">
        <v>111</v>
      </c>
      <c r="C41" s="173" t="s">
        <v>113</v>
      </c>
      <c r="D41" s="174"/>
      <c r="E41" s="37">
        <v>27.17</v>
      </c>
      <c r="F41" s="4">
        <v>3500</v>
      </c>
      <c r="G41" s="4">
        <f t="shared" si="31"/>
        <v>95095</v>
      </c>
      <c r="H41" s="22">
        <v>2</v>
      </c>
      <c r="I41" s="16">
        <v>10</v>
      </c>
      <c r="J41" s="18">
        <v>3000</v>
      </c>
      <c r="K41" s="17">
        <f t="shared" si="1"/>
        <v>300</v>
      </c>
      <c r="L41" s="16">
        <v>10</v>
      </c>
      <c r="M41" s="18">
        <f t="shared" si="32"/>
        <v>2876.7123287671238</v>
      </c>
      <c r="N41" s="18">
        <f t="shared" si="3"/>
        <v>287.67123287671239</v>
      </c>
      <c r="O41" s="19">
        <f t="shared" si="4"/>
        <v>0</v>
      </c>
      <c r="P41" s="20">
        <f t="shared" si="5"/>
        <v>-12.328767123287605</v>
      </c>
      <c r="Q41" s="21">
        <f t="shared" si="6"/>
        <v>0.95890410958904126</v>
      </c>
      <c r="R41" s="188"/>
      <c r="S41" s="28">
        <v>0.3972222222222222</v>
      </c>
      <c r="T41" s="28">
        <v>0.44791666666666663</v>
      </c>
      <c r="U41" s="4">
        <f t="shared" si="34"/>
        <v>5.9999999999999787</v>
      </c>
      <c r="V41" s="22">
        <f t="shared" si="33"/>
        <v>72.999999999999986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8"/>
        <v>-123.28767123287616</v>
      </c>
      <c r="AF41" s="21">
        <f t="shared" si="9"/>
        <v>0.95890410958904126</v>
      </c>
      <c r="AG41" s="188"/>
    </row>
    <row r="42" spans="1:33" ht="15.75" customHeight="1">
      <c r="A42" s="185" t="s">
        <v>2459</v>
      </c>
      <c r="B42" s="37" t="s">
        <v>111</v>
      </c>
      <c r="C42" s="173" t="s">
        <v>116</v>
      </c>
      <c r="D42" s="174"/>
      <c r="E42" s="37">
        <v>35.869999999999997</v>
      </c>
      <c r="F42" s="4">
        <v>3327</v>
      </c>
      <c r="G42" s="4">
        <f t="shared" si="31"/>
        <v>119339.48999999999</v>
      </c>
      <c r="H42" s="22" t="s">
        <v>139</v>
      </c>
      <c r="I42" s="16">
        <v>9</v>
      </c>
      <c r="J42" s="18">
        <v>3000</v>
      </c>
      <c r="K42" s="17">
        <f t="shared" si="1"/>
        <v>333.33333333333331</v>
      </c>
      <c r="L42" s="16">
        <v>9</v>
      </c>
      <c r="M42" s="18">
        <f t="shared" si="32"/>
        <v>2893.0434782608695</v>
      </c>
      <c r="N42" s="18">
        <f t="shared" si="3"/>
        <v>321.44927536231882</v>
      </c>
      <c r="O42" s="19">
        <f t="shared" si="4"/>
        <v>0</v>
      </c>
      <c r="P42" s="20">
        <f t="shared" si="5"/>
        <v>-11.884057971014499</v>
      </c>
      <c r="Q42" s="21">
        <f t="shared" si="6"/>
        <v>0.96434782608695646</v>
      </c>
      <c r="R42" s="188"/>
      <c r="S42" s="28">
        <v>0.45138888888888884</v>
      </c>
      <c r="T42" s="28">
        <v>0.4993055555555555</v>
      </c>
      <c r="U42" s="4">
        <f t="shared" si="34"/>
        <v>4.9999999999999822</v>
      </c>
      <c r="V42" s="22">
        <f t="shared" si="33"/>
        <v>69</v>
      </c>
      <c r="W42" s="23">
        <f>T42</f>
        <v>0.4993055555555555</v>
      </c>
      <c r="X42" s="23">
        <f>S43</f>
        <v>0.54097222222222219</v>
      </c>
      <c r="Y42" s="26"/>
      <c r="Z42" s="26"/>
      <c r="AA42" s="175"/>
      <c r="AB42" s="176"/>
      <c r="AC42" s="25"/>
      <c r="AD42" s="25"/>
      <c r="AE42" s="19">
        <f t="shared" si="8"/>
        <v>-106.95652173913049</v>
      </c>
      <c r="AF42" s="21">
        <f t="shared" si="9"/>
        <v>0.96434782608695646</v>
      </c>
      <c r="AG42" s="188"/>
    </row>
    <row r="43" spans="1:33" ht="15.75" customHeight="1">
      <c r="A43" s="185" t="s">
        <v>68</v>
      </c>
      <c r="B43" s="37" t="s">
        <v>111</v>
      </c>
      <c r="C43" s="173" t="s">
        <v>113</v>
      </c>
      <c r="D43" s="174"/>
      <c r="E43" s="37">
        <v>27.17</v>
      </c>
      <c r="F43" s="4">
        <v>2182</v>
      </c>
      <c r="G43" s="4">
        <f t="shared" si="31"/>
        <v>59284.94</v>
      </c>
      <c r="H43" s="22" t="s">
        <v>139</v>
      </c>
      <c r="I43" s="16">
        <v>10</v>
      </c>
      <c r="J43" s="18">
        <v>3000</v>
      </c>
      <c r="K43" s="17">
        <f t="shared" si="1"/>
        <v>300</v>
      </c>
      <c r="L43" s="16">
        <v>10</v>
      </c>
      <c r="M43" s="18">
        <f t="shared" si="32"/>
        <v>2909.333333333333</v>
      </c>
      <c r="N43" s="18">
        <f t="shared" si="3"/>
        <v>290.93333333333328</v>
      </c>
      <c r="O43" s="19">
        <f t="shared" si="4"/>
        <v>0</v>
      </c>
      <c r="P43" s="20">
        <f t="shared" si="5"/>
        <v>-9.0666666666667197</v>
      </c>
      <c r="Q43" s="21">
        <f t="shared" si="6"/>
        <v>0.96977777777777763</v>
      </c>
      <c r="R43" s="188"/>
      <c r="S43" s="28">
        <v>0.54097222222222219</v>
      </c>
      <c r="T43" s="28">
        <v>0.57222222222222219</v>
      </c>
      <c r="U43" s="4">
        <f t="shared" si="34"/>
        <v>60.000000000000028</v>
      </c>
      <c r="V43" s="22">
        <f t="shared" si="33"/>
        <v>45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8"/>
        <v>-90.66666666666697</v>
      </c>
      <c r="AF43" s="21">
        <f t="shared" si="9"/>
        <v>0.96977777777777763</v>
      </c>
      <c r="AG43" s="188"/>
    </row>
    <row r="44" spans="1:33" ht="15.75" customHeight="1">
      <c r="A44" s="185" t="s">
        <v>68</v>
      </c>
      <c r="B44" s="37" t="s">
        <v>111</v>
      </c>
      <c r="C44" s="173" t="s">
        <v>114</v>
      </c>
      <c r="D44" s="174"/>
      <c r="E44" s="37">
        <v>35.119999999999997</v>
      </c>
      <c r="F44" s="4">
        <v>1694</v>
      </c>
      <c r="G44" s="4">
        <f t="shared" si="31"/>
        <v>59493.279999999999</v>
      </c>
      <c r="H44" s="22" t="s">
        <v>139</v>
      </c>
      <c r="I44" s="16">
        <v>10</v>
      </c>
      <c r="J44" s="18">
        <v>3000</v>
      </c>
      <c r="K44" s="17">
        <f t="shared" si="1"/>
        <v>300</v>
      </c>
      <c r="L44" s="16">
        <v>10</v>
      </c>
      <c r="M44" s="18">
        <f t="shared" si="32"/>
        <v>2903.9999999999968</v>
      </c>
      <c r="N44" s="18">
        <f t="shared" si="3"/>
        <v>290.39999999999969</v>
      </c>
      <c r="O44" s="19">
        <f t="shared" si="4"/>
        <v>0</v>
      </c>
      <c r="P44" s="20">
        <f t="shared" si="5"/>
        <v>-9.600000000000307</v>
      </c>
      <c r="Q44" s="21">
        <f t="shared" si="6"/>
        <v>0.96799999999999897</v>
      </c>
      <c r="R44" s="188"/>
      <c r="S44" s="28">
        <v>0.57777777777777772</v>
      </c>
      <c r="T44" s="28">
        <v>0.6020833333333333</v>
      </c>
      <c r="U44" s="4">
        <f t="shared" si="34"/>
        <v>7.9999999999999716</v>
      </c>
      <c r="V44" s="22">
        <f t="shared" si="33"/>
        <v>35.000000000000036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-96.000000000003183</v>
      </c>
      <c r="AF44" s="21">
        <f t="shared" si="9"/>
        <v>0.96799999999999897</v>
      </c>
      <c r="AG44" s="188"/>
    </row>
    <row r="45" spans="1:33" ht="15.75" customHeight="1">
      <c r="A45" s="186" t="s">
        <v>68</v>
      </c>
      <c r="B45" s="37" t="s">
        <v>48</v>
      </c>
      <c r="C45" s="166"/>
      <c r="D45" s="167"/>
      <c r="E45" s="41"/>
      <c r="F45" s="4"/>
      <c r="G45" s="4"/>
      <c r="H45" s="4"/>
      <c r="I45" s="30">
        <v>9.875</v>
      </c>
      <c r="J45" s="18">
        <v>3000</v>
      </c>
      <c r="K45" s="17">
        <f t="shared" si="1"/>
        <v>303.79746835443041</v>
      </c>
      <c r="L45" s="30">
        <v>9.875</v>
      </c>
      <c r="M45" s="18">
        <f>AVERAGE(M37:M44)</f>
        <v>2883.6475975646067</v>
      </c>
      <c r="N45" s="17">
        <f t="shared" si="3"/>
        <v>292.01494658882092</v>
      </c>
      <c r="O45" s="19">
        <f t="shared" si="4"/>
        <v>0</v>
      </c>
      <c r="P45" s="20">
        <f t="shared" si="5"/>
        <v>-11.782521765609488</v>
      </c>
      <c r="Q45" s="21">
        <f t="shared" si="6"/>
        <v>0.96121586585486873</v>
      </c>
      <c r="R45" s="189"/>
      <c r="S45" s="28"/>
      <c r="T45" s="28"/>
      <c r="U45" s="4"/>
      <c r="V45" s="22"/>
      <c r="W45" s="23"/>
      <c r="X45" s="23"/>
      <c r="Y45" s="31">
        <f>SUM(Y37:Y44)</f>
        <v>0</v>
      </c>
      <c r="Z45" s="31">
        <f>SUM(Z37:Z44)</f>
        <v>0</v>
      </c>
      <c r="AA45" s="180"/>
      <c r="AB45" s="181"/>
      <c r="AC45" s="31">
        <v>8</v>
      </c>
      <c r="AD45" s="31">
        <f>SUM(AD37:AD44)</f>
        <v>0</v>
      </c>
      <c r="AE45" s="19">
        <f t="shared" si="8"/>
        <v>-116.35240243539329</v>
      </c>
      <c r="AF45" s="21">
        <f t="shared" si="9"/>
        <v>0.96121586585486896</v>
      </c>
      <c r="AG45" s="189"/>
    </row>
    <row r="46" spans="1:33" ht="15.75" customHeight="1">
      <c r="A46" s="182" t="s">
        <v>72</v>
      </c>
      <c r="B46" s="37" t="s">
        <v>84</v>
      </c>
      <c r="C46" s="165" t="s">
        <v>119</v>
      </c>
      <c r="D46" s="165"/>
      <c r="E46" s="37">
        <v>46</v>
      </c>
      <c r="F46" s="42">
        <v>1304</v>
      </c>
      <c r="G46" s="4">
        <f t="shared" ref="G46:G53" si="35">E46*F46</f>
        <v>59984</v>
      </c>
      <c r="H46" s="22" t="s">
        <v>139</v>
      </c>
      <c r="I46" s="16">
        <v>17</v>
      </c>
      <c r="J46" s="18">
        <v>2000</v>
      </c>
      <c r="K46" s="17">
        <f t="shared" si="1"/>
        <v>117.64705882352941</v>
      </c>
      <c r="L46" s="16">
        <v>17</v>
      </c>
      <c r="M46" s="18">
        <f t="shared" ref="M46:M53" si="36">F46/V46*60</f>
        <v>1908.2926829268285</v>
      </c>
      <c r="N46" s="18">
        <f t="shared" si="3"/>
        <v>112.25251076040168</v>
      </c>
      <c r="O46" s="19">
        <f t="shared" si="4"/>
        <v>0</v>
      </c>
      <c r="P46" s="20">
        <f t="shared" si="5"/>
        <v>-5.3945480631277292</v>
      </c>
      <c r="Q46" s="21">
        <f t="shared" si="6"/>
        <v>0.95414634146341426</v>
      </c>
      <c r="R46" s="172">
        <f>Q54</f>
        <v>0.9470790252753053</v>
      </c>
      <c r="S46" s="28">
        <v>0.20833333333333334</v>
      </c>
      <c r="T46" s="28">
        <v>0.23680555555555557</v>
      </c>
      <c r="U46" s="28"/>
      <c r="V46" s="22">
        <f t="shared" ref="V46:V53" si="37">(T46-S46)*24*60</f>
        <v>41.000000000000014</v>
      </c>
      <c r="W46" s="28"/>
      <c r="X46" s="28"/>
      <c r="Y46" s="28"/>
      <c r="Z46" s="28"/>
      <c r="AA46" s="164"/>
      <c r="AB46" s="164"/>
      <c r="AC46" s="25">
        <v>8</v>
      </c>
      <c r="AD46" s="25"/>
      <c r="AE46" s="19">
        <f t="shared" si="8"/>
        <v>-91.707317073171453</v>
      </c>
      <c r="AF46" s="21">
        <f t="shared" si="9"/>
        <v>0.95414634146341426</v>
      </c>
      <c r="AG46" s="172">
        <f>AF54</f>
        <v>0.9470790252753053</v>
      </c>
    </row>
    <row r="47" spans="1:33" ht="15.75" customHeight="1">
      <c r="A47" s="182" t="s">
        <v>72</v>
      </c>
      <c r="B47" s="37" t="s">
        <v>78</v>
      </c>
      <c r="C47" s="165" t="s">
        <v>120</v>
      </c>
      <c r="D47" s="165"/>
      <c r="E47" s="37">
        <v>56.43</v>
      </c>
      <c r="F47" s="42">
        <v>1620</v>
      </c>
      <c r="G47" s="4">
        <f t="shared" si="35"/>
        <v>91416.6</v>
      </c>
      <c r="H47" s="22" t="s">
        <v>139</v>
      </c>
      <c r="I47" s="16">
        <v>22</v>
      </c>
      <c r="J47" s="18">
        <v>2000</v>
      </c>
      <c r="K47" s="17">
        <f t="shared" si="1"/>
        <v>90.909090909090907</v>
      </c>
      <c r="L47" s="16">
        <v>22</v>
      </c>
      <c r="M47" s="18">
        <f t="shared" si="36"/>
        <v>1833.9622641509443</v>
      </c>
      <c r="N47" s="18">
        <f t="shared" si="3"/>
        <v>83.361921097770193</v>
      </c>
      <c r="O47" s="19">
        <f t="shared" si="4"/>
        <v>0</v>
      </c>
      <c r="P47" s="20">
        <f t="shared" si="5"/>
        <v>-7.547169811320714</v>
      </c>
      <c r="Q47" s="21">
        <f t="shared" si="6"/>
        <v>0.91698113207547216</v>
      </c>
      <c r="R47" s="172"/>
      <c r="S47" s="28">
        <v>0.24097222222222225</v>
      </c>
      <c r="T47" s="28">
        <v>0.27777777777777779</v>
      </c>
      <c r="U47" s="4">
        <f t="shared" ref="U47:U53" si="38">IF(S47=TIME(17,0,0),"",(S47-T46)*24*60)</f>
        <v>6.0000000000000187</v>
      </c>
      <c r="V47" s="22">
        <f t="shared" si="37"/>
        <v>52.999999999999972</v>
      </c>
      <c r="W47" s="23"/>
      <c r="X47" s="23"/>
      <c r="Y47" s="23"/>
      <c r="Z47" s="23"/>
      <c r="AA47" s="164"/>
      <c r="AB47" s="164"/>
      <c r="AC47" s="25"/>
      <c r="AD47" s="25"/>
      <c r="AE47" s="19">
        <f t="shared" si="8"/>
        <v>-166.03773584905571</v>
      </c>
      <c r="AF47" s="21">
        <f t="shared" si="9"/>
        <v>0.91698113207547216</v>
      </c>
      <c r="AG47" s="172"/>
    </row>
    <row r="48" spans="1:33" ht="15.75" customHeight="1">
      <c r="A48" s="182" t="s">
        <v>72</v>
      </c>
      <c r="B48" s="37" t="s">
        <v>78</v>
      </c>
      <c r="C48" s="173" t="s">
        <v>121</v>
      </c>
      <c r="D48" s="174"/>
      <c r="E48" s="37">
        <v>51.75</v>
      </c>
      <c r="F48" s="42">
        <v>1327</v>
      </c>
      <c r="G48" s="4">
        <f t="shared" si="35"/>
        <v>68672.25</v>
      </c>
      <c r="H48" s="22" t="s">
        <v>139</v>
      </c>
      <c r="I48" s="16">
        <v>25</v>
      </c>
      <c r="J48" s="18">
        <v>2000</v>
      </c>
      <c r="K48" s="17">
        <f t="shared" si="1"/>
        <v>80</v>
      </c>
      <c r="L48" s="16">
        <v>25</v>
      </c>
      <c r="M48" s="18">
        <f t="shared" si="36"/>
        <v>1809.5454545454545</v>
      </c>
      <c r="N48" s="18">
        <f t="shared" si="3"/>
        <v>72.381818181818176</v>
      </c>
      <c r="O48" s="19">
        <f t="shared" si="4"/>
        <v>0</v>
      </c>
      <c r="P48" s="20">
        <f t="shared" si="5"/>
        <v>-7.6181818181818244</v>
      </c>
      <c r="Q48" s="21">
        <f t="shared" si="6"/>
        <v>0.90477272727272717</v>
      </c>
      <c r="R48" s="172"/>
      <c r="S48" s="28">
        <v>0.28125</v>
      </c>
      <c r="T48" s="28">
        <v>0.31180555555555556</v>
      </c>
      <c r="U48" s="4">
        <f t="shared" si="38"/>
        <v>4.9999999999999822</v>
      </c>
      <c r="V48" s="22">
        <f t="shared" si="37"/>
        <v>44</v>
      </c>
      <c r="W48" s="23"/>
      <c r="X48" s="23"/>
      <c r="Y48" s="26"/>
      <c r="Z48" s="26"/>
      <c r="AA48" s="164"/>
      <c r="AB48" s="164"/>
      <c r="AC48" s="25"/>
      <c r="AD48" s="25"/>
      <c r="AE48" s="19">
        <f t="shared" si="8"/>
        <v>-190.4545454545455</v>
      </c>
      <c r="AF48" s="21">
        <f t="shared" si="9"/>
        <v>0.90477272727272728</v>
      </c>
      <c r="AG48" s="172"/>
    </row>
    <row r="49" spans="1:33" ht="15.75" customHeight="1">
      <c r="A49" s="182" t="s">
        <v>72</v>
      </c>
      <c r="B49" s="37" t="s">
        <v>78</v>
      </c>
      <c r="C49" s="43" t="s">
        <v>122</v>
      </c>
      <c r="D49" s="44"/>
      <c r="E49" s="37">
        <v>54.09</v>
      </c>
      <c r="F49" s="42">
        <v>1712</v>
      </c>
      <c r="G49" s="4">
        <f t="shared" si="35"/>
        <v>92602.08</v>
      </c>
      <c r="H49" s="22" t="s">
        <v>139</v>
      </c>
      <c r="I49" s="16">
        <v>19</v>
      </c>
      <c r="J49" s="18">
        <v>2000</v>
      </c>
      <c r="K49" s="17">
        <f t="shared" si="1"/>
        <v>105.26315789473684</v>
      </c>
      <c r="L49" s="16">
        <v>19</v>
      </c>
      <c r="M49" s="18">
        <f t="shared" si="36"/>
        <v>1867.6363636363649</v>
      </c>
      <c r="N49" s="18">
        <f t="shared" si="3"/>
        <v>98.296650717703415</v>
      </c>
      <c r="O49" s="19">
        <f t="shared" si="4"/>
        <v>0</v>
      </c>
      <c r="P49" s="20">
        <f t="shared" si="5"/>
        <v>-6.9665071770334208</v>
      </c>
      <c r="Q49" s="21">
        <f t="shared" si="6"/>
        <v>0.93381818181818255</v>
      </c>
      <c r="R49" s="172"/>
      <c r="S49" s="28">
        <v>0.31666666666666665</v>
      </c>
      <c r="T49" s="28">
        <v>0.35486111111111107</v>
      </c>
      <c r="U49" s="4">
        <f t="shared" si="38"/>
        <v>6.9999999999999751</v>
      </c>
      <c r="V49" s="22">
        <f t="shared" si="37"/>
        <v>54.999999999999964</v>
      </c>
      <c r="W49" s="23"/>
      <c r="X49" s="23"/>
      <c r="Y49" s="26"/>
      <c r="Z49" s="26"/>
      <c r="AA49" s="164"/>
      <c r="AB49" s="164"/>
      <c r="AC49" s="25"/>
      <c r="AD49" s="25"/>
      <c r="AE49" s="19">
        <f t="shared" si="8"/>
        <v>-132.36363636363512</v>
      </c>
      <c r="AF49" s="21">
        <f t="shared" si="9"/>
        <v>0.93381818181818244</v>
      </c>
      <c r="AG49" s="172"/>
    </row>
    <row r="50" spans="1:33" ht="15.75" customHeight="1">
      <c r="A50" s="182" t="s">
        <v>72</v>
      </c>
      <c r="B50" s="37" t="s">
        <v>78</v>
      </c>
      <c r="C50" s="43" t="s">
        <v>123</v>
      </c>
      <c r="D50" s="44"/>
      <c r="E50" s="37">
        <v>55.56</v>
      </c>
      <c r="F50" s="42">
        <v>1802</v>
      </c>
      <c r="G50" s="4">
        <f t="shared" si="35"/>
        <v>100119.12000000001</v>
      </c>
      <c r="H50" s="22" t="s">
        <v>139</v>
      </c>
      <c r="I50" s="16">
        <v>17</v>
      </c>
      <c r="J50" s="18">
        <v>2000</v>
      </c>
      <c r="K50" s="17">
        <f t="shared" si="1"/>
        <v>117.64705882352941</v>
      </c>
      <c r="L50" s="16">
        <v>17</v>
      </c>
      <c r="M50" s="18">
        <f t="shared" si="36"/>
        <v>1930.7142857142871</v>
      </c>
      <c r="N50" s="18">
        <f t="shared" si="3"/>
        <v>113.57142857142865</v>
      </c>
      <c r="O50" s="19">
        <f t="shared" si="4"/>
        <v>0</v>
      </c>
      <c r="P50" s="20">
        <f t="shared" si="5"/>
        <v>-4.0756302521007512</v>
      </c>
      <c r="Q50" s="21">
        <f t="shared" si="6"/>
        <v>0.96535714285714358</v>
      </c>
      <c r="R50" s="172"/>
      <c r="S50" s="28">
        <v>0.70833333333333337</v>
      </c>
      <c r="T50" s="28">
        <v>0.74722222222222223</v>
      </c>
      <c r="U50" s="4" t="str">
        <f t="shared" si="38"/>
        <v/>
      </c>
      <c r="V50" s="22">
        <f t="shared" si="37"/>
        <v>55.999999999999957</v>
      </c>
      <c r="W50" s="23"/>
      <c r="X50" s="23"/>
      <c r="Y50" s="26"/>
      <c r="Z50" s="26"/>
      <c r="AA50" s="164"/>
      <c r="AB50" s="164"/>
      <c r="AC50" s="25"/>
      <c r="AD50" s="25"/>
      <c r="AE50" s="19">
        <f t="shared" si="8"/>
        <v>-69.285714285712857</v>
      </c>
      <c r="AF50" s="21">
        <f t="shared" si="9"/>
        <v>0.96535714285714358</v>
      </c>
      <c r="AG50" s="172"/>
    </row>
    <row r="51" spans="1:33" ht="15.75" customHeight="1">
      <c r="A51" s="182" t="s">
        <v>72</v>
      </c>
      <c r="B51" s="37" t="s">
        <v>78</v>
      </c>
      <c r="C51" s="173" t="s">
        <v>124</v>
      </c>
      <c r="D51" s="174"/>
      <c r="E51" s="37">
        <v>55.32</v>
      </c>
      <c r="F51" s="42">
        <v>1266</v>
      </c>
      <c r="G51" s="4">
        <f t="shared" si="35"/>
        <v>70035.12</v>
      </c>
      <c r="H51" s="22" t="s">
        <v>139</v>
      </c>
      <c r="I51" s="16">
        <v>15</v>
      </c>
      <c r="J51" s="18">
        <v>2000</v>
      </c>
      <c r="K51" s="17">
        <f t="shared" si="1"/>
        <v>133.33333333333334</v>
      </c>
      <c r="L51" s="16">
        <v>15</v>
      </c>
      <c r="M51" s="18">
        <f t="shared" si="36"/>
        <v>1947.6923076923067</v>
      </c>
      <c r="N51" s="18">
        <f t="shared" si="3"/>
        <v>129.84615384615378</v>
      </c>
      <c r="O51" s="19">
        <f t="shared" si="4"/>
        <v>0</v>
      </c>
      <c r="P51" s="20">
        <f t="shared" si="5"/>
        <v>-3.4871794871795601</v>
      </c>
      <c r="Q51" s="21">
        <f t="shared" si="6"/>
        <v>0.97384615384615325</v>
      </c>
      <c r="R51" s="172"/>
      <c r="S51" s="28">
        <v>0.75138888888888888</v>
      </c>
      <c r="T51" s="28">
        <v>0.77847222222222223</v>
      </c>
      <c r="U51" s="4">
        <f t="shared" si="38"/>
        <v>5.9999999999999787</v>
      </c>
      <c r="V51" s="22">
        <f t="shared" si="37"/>
        <v>39.000000000000021</v>
      </c>
      <c r="W51" s="23"/>
      <c r="X51" s="23"/>
      <c r="Y51" s="26"/>
      <c r="Z51" s="26"/>
      <c r="AA51" s="175"/>
      <c r="AB51" s="176"/>
      <c r="AC51" s="25"/>
      <c r="AD51" s="25"/>
      <c r="AE51" s="19">
        <f t="shared" si="8"/>
        <v>-52.307692307693287</v>
      </c>
      <c r="AF51" s="21">
        <f t="shared" si="9"/>
        <v>0.97384615384615336</v>
      </c>
      <c r="AG51" s="172"/>
    </row>
    <row r="52" spans="1:33" ht="15.75" customHeight="1">
      <c r="A52" s="182" t="s">
        <v>2460</v>
      </c>
      <c r="B52" s="37" t="s">
        <v>78</v>
      </c>
      <c r="C52" s="173" t="s">
        <v>125</v>
      </c>
      <c r="D52" s="174"/>
      <c r="E52" s="37">
        <v>54.29</v>
      </c>
      <c r="F52" s="42">
        <v>1346</v>
      </c>
      <c r="G52" s="4">
        <f t="shared" si="35"/>
        <v>73074.34</v>
      </c>
      <c r="H52" s="22" t="s">
        <v>139</v>
      </c>
      <c r="I52" s="16">
        <v>20</v>
      </c>
      <c r="J52" s="18">
        <v>2000</v>
      </c>
      <c r="K52" s="17">
        <f t="shared" si="1"/>
        <v>100</v>
      </c>
      <c r="L52" s="16">
        <v>20</v>
      </c>
      <c r="M52" s="18">
        <f t="shared" si="36"/>
        <v>1922.8571428571422</v>
      </c>
      <c r="N52" s="18">
        <f t="shared" si="3"/>
        <v>96.14285714285711</v>
      </c>
      <c r="O52" s="19">
        <f t="shared" si="4"/>
        <v>0</v>
      </c>
      <c r="P52" s="20">
        <f t="shared" si="5"/>
        <v>-3.8571428571428896</v>
      </c>
      <c r="Q52" s="21">
        <f t="shared" si="6"/>
        <v>0.96142857142857108</v>
      </c>
      <c r="R52" s="172"/>
      <c r="S52" s="28">
        <v>0.78194444444444444</v>
      </c>
      <c r="T52" s="28">
        <v>0.81111111111111112</v>
      </c>
      <c r="U52" s="4">
        <f t="shared" si="38"/>
        <v>4.9999999999999822</v>
      </c>
      <c r="V52" s="22">
        <f t="shared" si="37"/>
        <v>42.000000000000014</v>
      </c>
      <c r="W52" s="23"/>
      <c r="X52" s="23"/>
      <c r="Y52" s="26"/>
      <c r="Z52" s="26"/>
      <c r="AA52" s="175"/>
      <c r="AB52" s="176"/>
      <c r="AC52" s="25"/>
      <c r="AD52" s="25"/>
      <c r="AE52" s="19">
        <f t="shared" si="8"/>
        <v>-77.142857142857792</v>
      </c>
      <c r="AF52" s="21">
        <f t="shared" si="9"/>
        <v>0.96142857142857108</v>
      </c>
      <c r="AG52" s="172"/>
    </row>
    <row r="53" spans="1:33" ht="15.75" customHeight="1">
      <c r="A53" s="182" t="s">
        <v>72</v>
      </c>
      <c r="B53" s="37" t="s">
        <v>78</v>
      </c>
      <c r="C53" s="173" t="s">
        <v>126</v>
      </c>
      <c r="D53" s="174"/>
      <c r="E53" s="37">
        <v>57.73</v>
      </c>
      <c r="F53" s="42">
        <v>997</v>
      </c>
      <c r="G53" s="4">
        <f t="shared" si="35"/>
        <v>57556.81</v>
      </c>
      <c r="H53" s="22" t="s">
        <v>139</v>
      </c>
      <c r="I53" s="16">
        <v>16</v>
      </c>
      <c r="J53" s="18">
        <v>1500</v>
      </c>
      <c r="K53" s="17">
        <f t="shared" si="1"/>
        <v>93.75</v>
      </c>
      <c r="L53" s="16">
        <v>16</v>
      </c>
      <c r="M53" s="18">
        <f t="shared" si="36"/>
        <v>1459.024390243902</v>
      </c>
      <c r="N53" s="18">
        <f t="shared" si="3"/>
        <v>91.189024390243873</v>
      </c>
      <c r="O53" s="19">
        <f t="shared" si="4"/>
        <v>0</v>
      </c>
      <c r="P53" s="20">
        <f t="shared" si="5"/>
        <v>-2.5609756097561274</v>
      </c>
      <c r="Q53" s="21">
        <f t="shared" si="6"/>
        <v>0.97268292682926794</v>
      </c>
      <c r="R53" s="172"/>
      <c r="S53" s="28">
        <v>0.81597222222222221</v>
      </c>
      <c r="T53" s="28">
        <v>0.84444444444444444</v>
      </c>
      <c r="U53" s="4">
        <f t="shared" si="38"/>
        <v>6.9999999999999751</v>
      </c>
      <c r="V53" s="22">
        <f t="shared" si="37"/>
        <v>41.000000000000014</v>
      </c>
      <c r="W53" s="23"/>
      <c r="X53" s="23"/>
      <c r="Y53" s="26"/>
      <c r="Z53" s="26"/>
      <c r="AA53" s="175"/>
      <c r="AB53" s="176"/>
      <c r="AC53" s="25"/>
      <c r="AD53" s="25"/>
      <c r="AE53" s="19">
        <f t="shared" si="8"/>
        <v>-40.975609756098038</v>
      </c>
      <c r="AF53" s="21">
        <f t="shared" si="9"/>
        <v>0.97268292682926794</v>
      </c>
      <c r="AG53" s="172"/>
    </row>
    <row r="54" spans="1:33">
      <c r="A54" s="183" t="s">
        <v>72</v>
      </c>
      <c r="B54" s="37" t="s">
        <v>48</v>
      </c>
      <c r="C54" s="177"/>
      <c r="D54" s="177"/>
      <c r="E54" s="38"/>
      <c r="F54" s="17"/>
      <c r="G54" s="17"/>
      <c r="H54" s="4"/>
      <c r="I54" s="30">
        <v>18.875</v>
      </c>
      <c r="J54" s="18">
        <v>1937.5</v>
      </c>
      <c r="K54" s="17">
        <f t="shared" si="1"/>
        <v>102.64900662251655</v>
      </c>
      <c r="L54" s="30">
        <v>18.875</v>
      </c>
      <c r="M54" s="18">
        <f>AVERAGE(M46:M53)</f>
        <v>1834.9656114709039</v>
      </c>
      <c r="N54" s="17">
        <f t="shared" si="3"/>
        <v>97.216721137531337</v>
      </c>
      <c r="O54" s="19">
        <f t="shared" si="4"/>
        <v>0</v>
      </c>
      <c r="P54" s="20">
        <f t="shared" si="5"/>
        <v>-5.4322854849852149</v>
      </c>
      <c r="Q54" s="21">
        <f t="shared" si="6"/>
        <v>0.9470790252753053</v>
      </c>
      <c r="R54" s="172"/>
      <c r="S54" s="28"/>
      <c r="T54" s="28"/>
      <c r="U54" s="4"/>
      <c r="V54" s="22"/>
      <c r="W54" s="17"/>
      <c r="X54" s="17"/>
      <c r="Y54" s="31">
        <f>SUM(Y46:Y53)</f>
        <v>0</v>
      </c>
      <c r="Z54" s="31">
        <f>SUM(Z46:Z53)</f>
        <v>0</v>
      </c>
      <c r="AA54" s="168"/>
      <c r="AB54" s="168"/>
      <c r="AC54" s="31">
        <v>8</v>
      </c>
      <c r="AD54" s="31">
        <f>SUM(AD46:AD53)</f>
        <v>0</v>
      </c>
      <c r="AE54" s="19">
        <f>M54-J54</f>
        <v>-102.53438852909608</v>
      </c>
      <c r="AF54" s="21">
        <f t="shared" si="9"/>
        <v>0.9470790252753053</v>
      </c>
      <c r="AG54" s="172"/>
    </row>
    <row r="55" spans="1:33" ht="15.75" customHeight="1">
      <c r="A55" s="178" t="s">
        <v>73</v>
      </c>
      <c r="B55" s="4" t="s">
        <v>84</v>
      </c>
      <c r="C55" s="165" t="s">
        <v>127</v>
      </c>
      <c r="D55" s="165"/>
      <c r="E55" s="37">
        <v>26.97</v>
      </c>
      <c r="F55" s="42">
        <v>2266</v>
      </c>
      <c r="G55" s="4">
        <f t="shared" ref="G55:G60" si="39">E55*F55</f>
        <v>61114.02</v>
      </c>
      <c r="H55" s="22" t="s">
        <v>139</v>
      </c>
      <c r="I55" s="16">
        <v>8</v>
      </c>
      <c r="J55" s="18">
        <v>1500</v>
      </c>
      <c r="K55" s="17">
        <f t="shared" si="1"/>
        <v>187.5</v>
      </c>
      <c r="L55" s="16">
        <v>8</v>
      </c>
      <c r="M55" s="18">
        <f t="shared" ref="M55:M60" si="40">F55/V55*60</f>
        <v>1431.1578947368416</v>
      </c>
      <c r="N55" s="17">
        <f t="shared" si="3"/>
        <v>178.8947368421052</v>
      </c>
      <c r="O55" s="19">
        <f t="shared" si="4"/>
        <v>0</v>
      </c>
      <c r="P55" s="20">
        <f t="shared" si="5"/>
        <v>-8.6052631578947967</v>
      </c>
      <c r="Q55" s="21">
        <f t="shared" si="6"/>
        <v>0.95410526315789446</v>
      </c>
      <c r="R55" s="172">
        <f>Q61</f>
        <v>0.96039405614628226</v>
      </c>
      <c r="S55" s="28">
        <v>0.20833333333333334</v>
      </c>
      <c r="T55" s="28">
        <v>0.27430555555555558</v>
      </c>
      <c r="U55" s="4"/>
      <c r="V55" s="22">
        <f t="shared" ref="V55:V60" si="41">(T55-S55)*24*60</f>
        <v>95.000000000000028</v>
      </c>
      <c r="W55" s="28"/>
      <c r="X55" s="28"/>
      <c r="Y55" s="28"/>
      <c r="Z55" s="28"/>
      <c r="AA55" s="164"/>
      <c r="AB55" s="164"/>
      <c r="AC55" s="25">
        <v>6</v>
      </c>
      <c r="AD55" s="25"/>
      <c r="AE55" s="19">
        <f t="shared" ref="AE55:AE67" si="42">M55-J55</f>
        <v>-68.842105263158373</v>
      </c>
      <c r="AF55" s="21">
        <f t="shared" si="9"/>
        <v>0.95410526315789446</v>
      </c>
      <c r="AG55" s="172">
        <f>AF61</f>
        <v>0.96039405614628226</v>
      </c>
    </row>
    <row r="56" spans="1:33" ht="15.75" customHeight="1">
      <c r="A56" s="178" t="s">
        <v>73</v>
      </c>
      <c r="B56" s="4" t="s">
        <v>84</v>
      </c>
      <c r="C56" s="165" t="s">
        <v>128</v>
      </c>
      <c r="D56" s="165"/>
      <c r="E56" s="37">
        <v>27.4</v>
      </c>
      <c r="F56" s="42">
        <v>612</v>
      </c>
      <c r="G56" s="4">
        <f t="shared" si="39"/>
        <v>16768.8</v>
      </c>
      <c r="H56" s="22" t="s">
        <v>139</v>
      </c>
      <c r="I56" s="16">
        <v>10</v>
      </c>
      <c r="J56" s="18">
        <v>1500</v>
      </c>
      <c r="K56" s="17">
        <f t="shared" si="1"/>
        <v>150</v>
      </c>
      <c r="L56" s="16">
        <v>10</v>
      </c>
      <c r="M56" s="18">
        <f t="shared" si="40"/>
        <v>1468.8000000000004</v>
      </c>
      <c r="N56" s="17">
        <f t="shared" si="3"/>
        <v>146.88000000000005</v>
      </c>
      <c r="O56" s="19">
        <f t="shared" si="4"/>
        <v>0</v>
      </c>
      <c r="P56" s="20">
        <f t="shared" si="5"/>
        <v>-3.1199999999999477</v>
      </c>
      <c r="Q56" s="21">
        <f t="shared" si="6"/>
        <v>0.9792000000000004</v>
      </c>
      <c r="R56" s="172"/>
      <c r="S56" s="28">
        <v>0.27986111111111112</v>
      </c>
      <c r="T56" s="28">
        <v>0.29722222222222222</v>
      </c>
      <c r="U56" s="4">
        <f t="shared" ref="U56:U60" si="43">(S56-T55)*24*60</f>
        <v>7.9999999999999716</v>
      </c>
      <c r="V56" s="22">
        <f t="shared" si="41"/>
        <v>24.999999999999993</v>
      </c>
      <c r="W56" s="4"/>
      <c r="X56" s="4"/>
      <c r="Y56" s="4"/>
      <c r="Z56" s="4"/>
      <c r="AA56" s="164"/>
      <c r="AB56" s="164"/>
      <c r="AC56" s="25"/>
      <c r="AD56" s="25"/>
      <c r="AE56" s="19">
        <f t="shared" si="42"/>
        <v>-31.199999999999591</v>
      </c>
      <c r="AF56" s="21">
        <f t="shared" si="9"/>
        <v>0.97920000000000029</v>
      </c>
      <c r="AG56" s="172"/>
    </row>
    <row r="57" spans="1:33" ht="15.75" customHeight="1">
      <c r="A57" s="178" t="s">
        <v>2461</v>
      </c>
      <c r="B57" s="4" t="s">
        <v>111</v>
      </c>
      <c r="C57" s="165" t="s">
        <v>129</v>
      </c>
      <c r="D57" s="165"/>
      <c r="E57" s="37">
        <v>31</v>
      </c>
      <c r="F57" s="42">
        <v>470</v>
      </c>
      <c r="G57" s="4">
        <f t="shared" si="39"/>
        <v>14570</v>
      </c>
      <c r="H57" s="22" t="s">
        <v>139</v>
      </c>
      <c r="I57" s="16">
        <v>13</v>
      </c>
      <c r="J57" s="18">
        <v>2000</v>
      </c>
      <c r="K57" s="17">
        <f t="shared" si="1"/>
        <v>153.84615384615384</v>
      </c>
      <c r="L57" s="16">
        <v>13</v>
      </c>
      <c r="M57" s="18">
        <f t="shared" si="40"/>
        <v>1879.9999999999968</v>
      </c>
      <c r="N57" s="17">
        <f t="shared" si="3"/>
        <v>144.61538461538436</v>
      </c>
      <c r="O57" s="19">
        <f t="shared" si="4"/>
        <v>0</v>
      </c>
      <c r="P57" s="20">
        <f t="shared" si="5"/>
        <v>-9.2307692307694822</v>
      </c>
      <c r="Q57" s="21">
        <f t="shared" si="6"/>
        <v>0.93999999999999839</v>
      </c>
      <c r="R57" s="172"/>
      <c r="S57" s="28">
        <v>0.30069444444444443</v>
      </c>
      <c r="T57" s="28">
        <v>0.31111111111111112</v>
      </c>
      <c r="U57" s="4">
        <f t="shared" si="43"/>
        <v>4.9999999999999822</v>
      </c>
      <c r="V57" s="22">
        <f t="shared" si="41"/>
        <v>15.000000000000027</v>
      </c>
      <c r="W57" s="4"/>
      <c r="X57" s="4"/>
      <c r="Y57" s="4"/>
      <c r="Z57" s="4"/>
      <c r="AA57" s="164"/>
      <c r="AB57" s="164"/>
      <c r="AC57" s="25"/>
      <c r="AD57" s="25"/>
      <c r="AE57" s="19">
        <f t="shared" si="42"/>
        <v>-120.00000000000318</v>
      </c>
      <c r="AF57" s="21">
        <f t="shared" si="9"/>
        <v>0.93999999999999839</v>
      </c>
      <c r="AG57" s="172"/>
    </row>
    <row r="58" spans="1:33" ht="15.75" customHeight="1">
      <c r="A58" s="178" t="s">
        <v>73</v>
      </c>
      <c r="B58" s="4" t="s">
        <v>111</v>
      </c>
      <c r="C58" s="165" t="s">
        <v>130</v>
      </c>
      <c r="D58" s="165"/>
      <c r="E58" s="37">
        <v>37.85</v>
      </c>
      <c r="F58" s="42">
        <v>1653</v>
      </c>
      <c r="G58" s="4">
        <f t="shared" si="39"/>
        <v>62566.05</v>
      </c>
      <c r="H58" s="22" t="s">
        <v>139</v>
      </c>
      <c r="I58" s="16">
        <v>12</v>
      </c>
      <c r="J58" s="18">
        <v>2000</v>
      </c>
      <c r="K58" s="17">
        <f t="shared" si="1"/>
        <v>166.66666666666666</v>
      </c>
      <c r="L58" s="16">
        <v>12</v>
      </c>
      <c r="M58" s="18">
        <f t="shared" si="40"/>
        <v>1907.3076923076933</v>
      </c>
      <c r="N58" s="17">
        <f t="shared" si="3"/>
        <v>158.94230769230776</v>
      </c>
      <c r="O58" s="19">
        <f t="shared" si="4"/>
        <v>0</v>
      </c>
      <c r="P58" s="20">
        <f t="shared" si="5"/>
        <v>-7.7243589743588927</v>
      </c>
      <c r="Q58" s="21">
        <f t="shared" si="6"/>
        <v>0.95365384615384663</v>
      </c>
      <c r="R58" s="172"/>
      <c r="S58" s="28">
        <v>0.31388888888888888</v>
      </c>
      <c r="T58" s="28">
        <v>0.35</v>
      </c>
      <c r="U58" s="4">
        <f t="shared" si="43"/>
        <v>3.9999999999999858</v>
      </c>
      <c r="V58" s="22">
        <f t="shared" si="41"/>
        <v>51.999999999999972</v>
      </c>
      <c r="W58" s="4"/>
      <c r="X58" s="4"/>
      <c r="Y58" s="4"/>
      <c r="Z58" s="4"/>
      <c r="AA58" s="164"/>
      <c r="AB58" s="164"/>
      <c r="AC58" s="25"/>
      <c r="AD58" s="25"/>
      <c r="AE58" s="19">
        <f t="shared" si="42"/>
        <v>-92.692307692306713</v>
      </c>
      <c r="AF58" s="21">
        <f t="shared" si="9"/>
        <v>0.95365384615384663</v>
      </c>
      <c r="AG58" s="172"/>
    </row>
    <row r="59" spans="1:33">
      <c r="A59" s="179" t="s">
        <v>73</v>
      </c>
      <c r="B59" s="4" t="s">
        <v>111</v>
      </c>
      <c r="C59" s="165" t="s">
        <v>131</v>
      </c>
      <c r="D59" s="165"/>
      <c r="E59" s="37">
        <v>34.36</v>
      </c>
      <c r="F59" s="42">
        <v>1350</v>
      </c>
      <c r="G59" s="4">
        <f t="shared" si="39"/>
        <v>46386</v>
      </c>
      <c r="H59" s="22" t="s">
        <v>139</v>
      </c>
      <c r="I59" s="16">
        <v>10</v>
      </c>
      <c r="J59" s="18">
        <v>3000</v>
      </c>
      <c r="K59" s="17">
        <f t="shared" si="1"/>
        <v>300</v>
      </c>
      <c r="L59" s="16">
        <v>10</v>
      </c>
      <c r="M59" s="18">
        <f t="shared" si="40"/>
        <v>2892.8571428571449</v>
      </c>
      <c r="N59" s="17">
        <f t="shared" si="3"/>
        <v>289.2857142857145</v>
      </c>
      <c r="O59" s="19">
        <f t="shared" si="4"/>
        <v>0</v>
      </c>
      <c r="P59" s="20">
        <f t="shared" si="5"/>
        <v>-10.714285714285495</v>
      </c>
      <c r="Q59" s="21">
        <f t="shared" si="6"/>
        <v>0.96428571428571497</v>
      </c>
      <c r="R59" s="172"/>
      <c r="S59" s="28">
        <v>0.35416666666666663</v>
      </c>
      <c r="T59" s="28">
        <v>0.37361111111111106</v>
      </c>
      <c r="U59" s="4">
        <f t="shared" si="43"/>
        <v>5.9999999999999787</v>
      </c>
      <c r="V59" s="22">
        <f t="shared" si="41"/>
        <v>27.999999999999979</v>
      </c>
      <c r="W59" s="23"/>
      <c r="X59" s="23"/>
      <c r="Y59" s="23"/>
      <c r="Z59" s="23"/>
      <c r="AA59" s="164"/>
      <c r="AB59" s="164"/>
      <c r="AC59" s="25"/>
      <c r="AD59" s="25"/>
      <c r="AE59" s="19">
        <f t="shared" si="42"/>
        <v>-107.14285714285506</v>
      </c>
      <c r="AF59" s="21">
        <f t="shared" si="9"/>
        <v>0.96428571428571497</v>
      </c>
      <c r="AG59" s="172"/>
    </row>
    <row r="60" spans="1:33" ht="15" customHeight="1">
      <c r="A60" s="179" t="s">
        <v>73</v>
      </c>
      <c r="B60" s="4" t="s">
        <v>111</v>
      </c>
      <c r="C60" s="173" t="s">
        <v>117</v>
      </c>
      <c r="D60" s="174"/>
      <c r="E60" s="37">
        <v>44.03</v>
      </c>
      <c r="F60" s="42">
        <v>581</v>
      </c>
      <c r="G60" s="4">
        <f t="shared" si="39"/>
        <v>25581.43</v>
      </c>
      <c r="H60" s="22" t="s">
        <v>139</v>
      </c>
      <c r="I60" s="16">
        <v>10</v>
      </c>
      <c r="J60" s="18">
        <v>3000</v>
      </c>
      <c r="K60" s="17">
        <f t="shared" si="1"/>
        <v>300</v>
      </c>
      <c r="L60" s="16">
        <v>10</v>
      </c>
      <c r="M60" s="18">
        <f t="shared" si="40"/>
        <v>2904.9999999999909</v>
      </c>
      <c r="N60" s="17">
        <f t="shared" si="3"/>
        <v>290.49999999999909</v>
      </c>
      <c r="O60" s="19">
        <f t="shared" si="4"/>
        <v>0</v>
      </c>
      <c r="P60" s="20">
        <f t="shared" si="5"/>
        <v>-9.5000000000009095</v>
      </c>
      <c r="Q60" s="21">
        <f t="shared" si="6"/>
        <v>0.96833333333333027</v>
      </c>
      <c r="R60" s="172"/>
      <c r="S60" s="28">
        <v>0.3791666666666666</v>
      </c>
      <c r="T60" s="28">
        <v>0.38749999999999996</v>
      </c>
      <c r="U60" s="4">
        <f t="shared" si="43"/>
        <v>7.9999999999999716</v>
      </c>
      <c r="V60" s="22">
        <f t="shared" si="41"/>
        <v>12.000000000000037</v>
      </c>
      <c r="W60" s="4"/>
      <c r="X60" s="4"/>
      <c r="Y60" s="32"/>
      <c r="Z60" s="32"/>
      <c r="AA60" s="175"/>
      <c r="AB60" s="176"/>
      <c r="AC60" s="25"/>
      <c r="AD60" s="25"/>
      <c r="AE60" s="19">
        <f t="shared" si="42"/>
        <v>-95.000000000009095</v>
      </c>
      <c r="AF60" s="21">
        <f t="shared" si="9"/>
        <v>0.96833333333333027</v>
      </c>
      <c r="AG60" s="172"/>
    </row>
    <row r="61" spans="1:33">
      <c r="A61" s="179" t="s">
        <v>73</v>
      </c>
      <c r="B61" s="37" t="s">
        <v>48</v>
      </c>
      <c r="C61" s="177"/>
      <c r="D61" s="177"/>
      <c r="E61" s="38"/>
      <c r="F61" s="17"/>
      <c r="G61" s="17"/>
      <c r="H61" s="4"/>
      <c r="I61" s="30">
        <v>10.5</v>
      </c>
      <c r="J61" s="18">
        <v>2166.6666666666665</v>
      </c>
      <c r="K61" s="17">
        <f t="shared" si="1"/>
        <v>206.34920634920633</v>
      </c>
      <c r="L61" s="30">
        <v>10.5</v>
      </c>
      <c r="M61" s="18">
        <f>AVERAGE(M55:M60)</f>
        <v>2080.8537883169447</v>
      </c>
      <c r="N61" s="17">
        <f t="shared" si="3"/>
        <v>198.17655126828043</v>
      </c>
      <c r="O61" s="19">
        <f t="shared" si="4"/>
        <v>0</v>
      </c>
      <c r="P61" s="20">
        <f t="shared" si="5"/>
        <v>-8.1726550809258924</v>
      </c>
      <c r="Q61" s="21">
        <f t="shared" si="6"/>
        <v>0.96039405614628226</v>
      </c>
      <c r="R61" s="172"/>
      <c r="S61" s="28"/>
      <c r="T61" s="28"/>
      <c r="U61" s="17"/>
      <c r="V61" s="22"/>
      <c r="W61" s="17"/>
      <c r="X61" s="17"/>
      <c r="Y61" s="31">
        <f>SUM(Y55:Y60)</f>
        <v>0</v>
      </c>
      <c r="Z61" s="31">
        <f>SUM(Z55:Z60)</f>
        <v>0</v>
      </c>
      <c r="AA61" s="168"/>
      <c r="AB61" s="168"/>
      <c r="AC61" s="31">
        <v>6</v>
      </c>
      <c r="AD61" s="31">
        <f>SUM(AD55:AD60)</f>
        <v>0</v>
      </c>
      <c r="AE61" s="19">
        <f t="shared" si="42"/>
        <v>-85.812878349721814</v>
      </c>
      <c r="AF61" s="21">
        <f t="shared" si="9"/>
        <v>0.96039405614628226</v>
      </c>
      <c r="AG61" s="172"/>
    </row>
    <row r="62" spans="1:33" ht="15.75" customHeight="1">
      <c r="A62" s="169" t="s">
        <v>76</v>
      </c>
      <c r="B62" s="4" t="s">
        <v>100</v>
      </c>
      <c r="C62" s="165" t="s">
        <v>133</v>
      </c>
      <c r="D62" s="165"/>
      <c r="E62" s="37">
        <v>20.2</v>
      </c>
      <c r="F62" s="4">
        <v>1494</v>
      </c>
      <c r="G62" s="4">
        <f t="shared" ref="G62:G66" si="44">E62*F62</f>
        <v>30178.799999999999</v>
      </c>
      <c r="H62" s="22" t="s">
        <v>139</v>
      </c>
      <c r="I62" s="16">
        <v>19</v>
      </c>
      <c r="J62" s="18">
        <v>2400</v>
      </c>
      <c r="K62" s="17">
        <f t="shared" si="1"/>
        <v>126.31578947368421</v>
      </c>
      <c r="L62" s="16">
        <v>19</v>
      </c>
      <c r="M62" s="18">
        <f t="shared" ref="M62:M66" si="45">F62/V62*60</f>
        <v>2298.4615384615372</v>
      </c>
      <c r="N62" s="17">
        <f t="shared" si="3"/>
        <v>120.97165991902827</v>
      </c>
      <c r="O62" s="19">
        <f t="shared" si="4"/>
        <v>0</v>
      </c>
      <c r="P62" s="20">
        <f t="shared" si="5"/>
        <v>-5.344129554655936</v>
      </c>
      <c r="Q62" s="21">
        <f t="shared" si="6"/>
        <v>0.95769230769230718</v>
      </c>
      <c r="R62" s="172">
        <f>Q67</f>
        <v>0.95634775311454301</v>
      </c>
      <c r="S62" s="28">
        <v>0.125</v>
      </c>
      <c r="T62" s="28">
        <v>0.15208333333333335</v>
      </c>
      <c r="U62" s="28"/>
      <c r="V62" s="22">
        <f t="shared" ref="V62:V66" si="46">(T62-S62)*24*60</f>
        <v>39.000000000000021</v>
      </c>
      <c r="W62" s="23">
        <f>T62</f>
        <v>0.15208333333333335</v>
      </c>
      <c r="X62" s="23">
        <f>S63</f>
        <v>0.17083333333333334</v>
      </c>
      <c r="Y62" s="23"/>
      <c r="Z62" s="23"/>
      <c r="AA62" s="164"/>
      <c r="AB62" s="164"/>
      <c r="AC62" s="25">
        <v>5</v>
      </c>
      <c r="AD62" s="25"/>
      <c r="AE62" s="19">
        <f t="shared" si="42"/>
        <v>-101.5384615384628</v>
      </c>
      <c r="AF62" s="21">
        <f t="shared" si="9"/>
        <v>0.95769230769230718</v>
      </c>
      <c r="AG62" s="172">
        <f>AF67</f>
        <v>0.9563477531145429</v>
      </c>
    </row>
    <row r="63" spans="1:33" ht="15.75" customHeight="1">
      <c r="A63" s="170" t="s">
        <v>2462</v>
      </c>
      <c r="B63" s="4" t="s">
        <v>100</v>
      </c>
      <c r="C63" s="165" t="s">
        <v>109</v>
      </c>
      <c r="D63" s="165"/>
      <c r="E63" s="37">
        <v>24.45</v>
      </c>
      <c r="F63" s="4">
        <v>2083</v>
      </c>
      <c r="G63" s="4">
        <f t="shared" si="44"/>
        <v>50929.35</v>
      </c>
      <c r="H63" s="22" t="s">
        <v>139</v>
      </c>
      <c r="I63" s="16">
        <v>20</v>
      </c>
      <c r="J63" s="18">
        <v>2400</v>
      </c>
      <c r="K63" s="17">
        <f t="shared" si="1"/>
        <v>120</v>
      </c>
      <c r="L63" s="16">
        <v>20</v>
      </c>
      <c r="M63" s="18">
        <f t="shared" si="45"/>
        <v>2314.4444444444443</v>
      </c>
      <c r="N63" s="17">
        <f t="shared" si="3"/>
        <v>115.72222222222221</v>
      </c>
      <c r="O63" s="19">
        <f t="shared" si="4"/>
        <v>0</v>
      </c>
      <c r="P63" s="20">
        <f t="shared" si="5"/>
        <v>-4.2777777777777857</v>
      </c>
      <c r="Q63" s="21">
        <f t="shared" si="6"/>
        <v>0.96435185185185179</v>
      </c>
      <c r="R63" s="172"/>
      <c r="S63" s="28">
        <v>0.17083333333333334</v>
      </c>
      <c r="T63" s="28">
        <v>0.20833333333333334</v>
      </c>
      <c r="U63" s="4">
        <f t="shared" ref="U63:U66" si="47">(S63-T62)*24*60</f>
        <v>26.999999999999986</v>
      </c>
      <c r="V63" s="22">
        <f t="shared" si="46"/>
        <v>54.000000000000007</v>
      </c>
      <c r="W63" s="23"/>
      <c r="X63" s="23"/>
      <c r="Y63" s="23"/>
      <c r="Z63" s="23"/>
      <c r="AA63" s="164"/>
      <c r="AB63" s="164"/>
      <c r="AC63" s="25"/>
      <c r="AD63" s="25"/>
      <c r="AE63" s="19">
        <f t="shared" si="42"/>
        <v>-85.555555555555657</v>
      </c>
      <c r="AF63" s="21">
        <f t="shared" si="9"/>
        <v>0.96435185185185179</v>
      </c>
      <c r="AG63" s="172"/>
    </row>
    <row r="64" spans="1:33" ht="15.75" customHeight="1">
      <c r="A64" s="170" t="s">
        <v>76</v>
      </c>
      <c r="B64" s="4" t="s">
        <v>100</v>
      </c>
      <c r="C64" s="165" t="s">
        <v>136</v>
      </c>
      <c r="D64" s="165"/>
      <c r="E64" s="37">
        <v>24.43</v>
      </c>
      <c r="F64" s="4">
        <v>4730</v>
      </c>
      <c r="G64" s="4">
        <f t="shared" si="44"/>
        <v>115553.9</v>
      </c>
      <c r="H64" s="22" t="s">
        <v>139</v>
      </c>
      <c r="I64" s="16">
        <v>14</v>
      </c>
      <c r="J64" s="18">
        <v>2400</v>
      </c>
      <c r="K64" s="17">
        <f t="shared" si="1"/>
        <v>171.42857142857142</v>
      </c>
      <c r="L64" s="16">
        <v>14</v>
      </c>
      <c r="M64" s="18">
        <f t="shared" si="45"/>
        <v>2288.7096774193542</v>
      </c>
      <c r="N64" s="17">
        <f t="shared" si="3"/>
        <v>163.47926267281102</v>
      </c>
      <c r="O64" s="19">
        <f t="shared" si="4"/>
        <v>0</v>
      </c>
      <c r="P64" s="20">
        <f t="shared" si="5"/>
        <v>-7.9493087557603985</v>
      </c>
      <c r="Q64" s="21">
        <f t="shared" si="6"/>
        <v>0.95362903225806439</v>
      </c>
      <c r="R64" s="172"/>
      <c r="S64" s="28">
        <v>0.21250000000000002</v>
      </c>
      <c r="T64" s="28">
        <v>0.29861111111111116</v>
      </c>
      <c r="U64" s="4">
        <f t="shared" si="47"/>
        <v>6.0000000000000187</v>
      </c>
      <c r="V64" s="22">
        <f t="shared" si="46"/>
        <v>124.00000000000004</v>
      </c>
      <c r="W64" s="23"/>
      <c r="X64" s="23"/>
      <c r="Y64" s="23"/>
      <c r="Z64" s="23"/>
      <c r="AA64" s="164"/>
      <c r="AB64" s="164"/>
      <c r="AC64" s="25"/>
      <c r="AD64" s="25"/>
      <c r="AE64" s="19">
        <f t="shared" si="42"/>
        <v>-111.29032258064581</v>
      </c>
      <c r="AF64" s="21">
        <f t="shared" si="9"/>
        <v>0.95362903225806428</v>
      </c>
      <c r="AG64" s="172"/>
    </row>
    <row r="65" spans="1:33" ht="15.75" customHeight="1">
      <c r="A65" s="170" t="s">
        <v>2463</v>
      </c>
      <c r="B65" s="4" t="s">
        <v>100</v>
      </c>
      <c r="C65" s="165" t="s">
        <v>138</v>
      </c>
      <c r="D65" s="165"/>
      <c r="E65" s="37">
        <v>22.69</v>
      </c>
      <c r="F65" s="4">
        <v>572</v>
      </c>
      <c r="G65" s="4">
        <f t="shared" si="44"/>
        <v>12978.68</v>
      </c>
      <c r="H65" s="22" t="s">
        <v>139</v>
      </c>
      <c r="I65" s="16">
        <v>15</v>
      </c>
      <c r="J65" s="18">
        <v>2400</v>
      </c>
      <c r="K65" s="17">
        <f t="shared" si="1"/>
        <v>160</v>
      </c>
      <c r="L65" s="16">
        <v>15</v>
      </c>
      <c r="M65" s="18">
        <f t="shared" si="45"/>
        <v>2287.9999999999964</v>
      </c>
      <c r="N65" s="17">
        <f t="shared" si="3"/>
        <v>152.5333333333331</v>
      </c>
      <c r="O65" s="19">
        <f t="shared" si="4"/>
        <v>0</v>
      </c>
      <c r="P65" s="20">
        <f t="shared" si="5"/>
        <v>-7.4666666666668959</v>
      </c>
      <c r="Q65" s="21">
        <f t="shared" si="6"/>
        <v>0.95333333333333192</v>
      </c>
      <c r="R65" s="172"/>
      <c r="S65" s="28">
        <v>0.30277777777777781</v>
      </c>
      <c r="T65" s="28">
        <v>0.3131944444444445</v>
      </c>
      <c r="U65" s="4">
        <f t="shared" si="47"/>
        <v>5.9999999999999787</v>
      </c>
      <c r="V65" s="22">
        <f t="shared" si="46"/>
        <v>15.000000000000027</v>
      </c>
      <c r="W65" s="23"/>
      <c r="X65" s="23"/>
      <c r="Y65" s="23"/>
      <c r="Z65" s="23"/>
      <c r="AA65" s="164"/>
      <c r="AB65" s="164"/>
      <c r="AC65" s="25"/>
      <c r="AD65" s="25"/>
      <c r="AE65" s="19">
        <f t="shared" si="42"/>
        <v>-112.00000000000364</v>
      </c>
      <c r="AF65" s="21">
        <f t="shared" si="9"/>
        <v>0.95333333333333181</v>
      </c>
      <c r="AG65" s="172"/>
    </row>
    <row r="66" spans="1:33" ht="15.75" customHeight="1">
      <c r="A66" s="170" t="s">
        <v>76</v>
      </c>
      <c r="B66" s="4" t="s">
        <v>100</v>
      </c>
      <c r="C66" s="165" t="s">
        <v>135</v>
      </c>
      <c r="D66" s="165"/>
      <c r="E66" s="37">
        <v>19.02</v>
      </c>
      <c r="F66" s="4">
        <v>6974</v>
      </c>
      <c r="G66" s="4">
        <f t="shared" si="44"/>
        <v>132645.48000000001</v>
      </c>
      <c r="H66" s="22" t="s">
        <v>139</v>
      </c>
      <c r="I66" s="16">
        <v>15</v>
      </c>
      <c r="J66" s="18">
        <v>2400</v>
      </c>
      <c r="K66" s="17">
        <f t="shared" si="1"/>
        <v>160</v>
      </c>
      <c r="L66" s="16">
        <v>15</v>
      </c>
      <c r="M66" s="18">
        <f t="shared" si="45"/>
        <v>2286.5573770491806</v>
      </c>
      <c r="N66" s="17">
        <f t="shared" si="3"/>
        <v>152.43715846994536</v>
      </c>
      <c r="O66" s="19">
        <f t="shared" si="4"/>
        <v>0</v>
      </c>
      <c r="P66" s="20">
        <f t="shared" si="5"/>
        <v>-7.5628415300546408</v>
      </c>
      <c r="Q66" s="21">
        <f t="shared" si="6"/>
        <v>0.95273224043715854</v>
      </c>
      <c r="R66" s="172"/>
      <c r="S66" s="28">
        <v>0.31875000000000003</v>
      </c>
      <c r="T66" s="28">
        <v>0.44583333333333336</v>
      </c>
      <c r="U66" s="4">
        <f t="shared" si="47"/>
        <v>7.9999999999999716</v>
      </c>
      <c r="V66" s="22">
        <f t="shared" si="46"/>
        <v>183</v>
      </c>
      <c r="W66" s="23"/>
      <c r="X66" s="23"/>
      <c r="Y66" s="23"/>
      <c r="Z66" s="23"/>
      <c r="AA66" s="164"/>
      <c r="AB66" s="164"/>
      <c r="AC66" s="25"/>
      <c r="AD66" s="25"/>
      <c r="AE66" s="19">
        <f t="shared" si="42"/>
        <v>-113.44262295081944</v>
      </c>
      <c r="AF66" s="21">
        <f t="shared" si="9"/>
        <v>0.95273224043715854</v>
      </c>
      <c r="AG66" s="172"/>
    </row>
    <row r="67" spans="1:33" ht="16.5" customHeight="1">
      <c r="A67" s="171" t="s">
        <v>76</v>
      </c>
      <c r="B67" s="37" t="s">
        <v>48</v>
      </c>
      <c r="C67" s="166"/>
      <c r="D67" s="167"/>
      <c r="E67" s="38"/>
      <c r="F67" s="17"/>
      <c r="G67" s="17"/>
      <c r="H67" s="4"/>
      <c r="I67" s="30">
        <v>16.600000000000001</v>
      </c>
      <c r="J67" s="18">
        <v>2400</v>
      </c>
      <c r="K67" s="17">
        <f t="shared" si="1"/>
        <v>144.57831325301203</v>
      </c>
      <c r="L67" s="30">
        <v>16.600000000000001</v>
      </c>
      <c r="M67" s="18">
        <f>AVERAGE(M62:M66)</f>
        <v>2295.234607474903</v>
      </c>
      <c r="N67" s="17">
        <f t="shared" si="3"/>
        <v>138.26714502860861</v>
      </c>
      <c r="O67" s="19">
        <f t="shared" si="4"/>
        <v>0</v>
      </c>
      <c r="P67" s="20">
        <f t="shared" si="5"/>
        <v>-6.3111682244034171</v>
      </c>
      <c r="Q67" s="21">
        <f t="shared" si="6"/>
        <v>0.95634775311454301</v>
      </c>
      <c r="R67" s="172"/>
      <c r="S67" s="28"/>
      <c r="T67" s="28"/>
      <c r="U67" s="17"/>
      <c r="V67" s="22"/>
      <c r="W67" s="17"/>
      <c r="X67" s="17"/>
      <c r="Y67" s="31">
        <f>SUM(Y62:Y66)</f>
        <v>0</v>
      </c>
      <c r="Z67" s="31">
        <f>SUM(Z62:Z66)</f>
        <v>0</v>
      </c>
      <c r="AA67" s="168"/>
      <c r="AB67" s="168"/>
      <c r="AC67" s="31">
        <v>5</v>
      </c>
      <c r="AD67" s="31">
        <f>SUM(AD62:AD66)</f>
        <v>0</v>
      </c>
      <c r="AE67" s="19">
        <f t="shared" si="42"/>
        <v>-104.76539252509701</v>
      </c>
      <c r="AF67" s="21">
        <f t="shared" si="9"/>
        <v>0.9563477531145429</v>
      </c>
      <c r="AG67" s="172"/>
    </row>
    <row r="68" spans="1:33">
      <c r="D68" s="33"/>
      <c r="E68" s="33"/>
    </row>
  </sheetData>
  <mergeCells count="187">
    <mergeCell ref="C66:D66"/>
    <mergeCell ref="AA66:AB66"/>
    <mergeCell ref="C67:D67"/>
    <mergeCell ref="AA67:AB67"/>
    <mergeCell ref="A62:A67"/>
    <mergeCell ref="C62:D62"/>
    <mergeCell ref="R62:R67"/>
    <mergeCell ref="AA62:AB62"/>
    <mergeCell ref="A55:A61"/>
    <mergeCell ref="C55:D55"/>
    <mergeCell ref="R55:R61"/>
    <mergeCell ref="AA55:AB55"/>
    <mergeCell ref="AA60:AB60"/>
    <mergeCell ref="C61:D61"/>
    <mergeCell ref="AA61:AB61"/>
    <mergeCell ref="AG62:AG67"/>
    <mergeCell ref="C63:D63"/>
    <mergeCell ref="AA63:AB63"/>
    <mergeCell ref="C64:D64"/>
    <mergeCell ref="AA64:AB64"/>
    <mergeCell ref="C65:D65"/>
    <mergeCell ref="AG55:AG61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C60:D60"/>
    <mergeCell ref="AA65:AB65"/>
    <mergeCell ref="AG46:AG54"/>
    <mergeCell ref="C47:D47"/>
    <mergeCell ref="AA47:AB47"/>
    <mergeCell ref="C48:D48"/>
    <mergeCell ref="AA48:AB48"/>
    <mergeCell ref="AA49:AB49"/>
    <mergeCell ref="AA50:AB50"/>
    <mergeCell ref="C51:D51"/>
    <mergeCell ref="AA51:AB51"/>
    <mergeCell ref="C52:D52"/>
    <mergeCell ref="AA53:AB53"/>
    <mergeCell ref="C54:D54"/>
    <mergeCell ref="AA54:AB54"/>
    <mergeCell ref="A37:A45"/>
    <mergeCell ref="C37:D37"/>
    <mergeCell ref="R37:R45"/>
    <mergeCell ref="AA37:AB37"/>
    <mergeCell ref="C44:D44"/>
    <mergeCell ref="AA44:AB44"/>
    <mergeCell ref="C45:D45"/>
    <mergeCell ref="AA45:AB45"/>
    <mergeCell ref="A46:A54"/>
    <mergeCell ref="C46:D46"/>
    <mergeCell ref="R46:R54"/>
    <mergeCell ref="AA46:AB46"/>
    <mergeCell ref="AA52:AB52"/>
    <mergeCell ref="C53:D53"/>
    <mergeCell ref="AG37:AG45"/>
    <mergeCell ref="C38:D38"/>
    <mergeCell ref="AA38:AB38"/>
    <mergeCell ref="C39:D39"/>
    <mergeCell ref="AA39:AB39"/>
    <mergeCell ref="C40:D40"/>
    <mergeCell ref="AG31:AG36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40:AB40"/>
    <mergeCell ref="C41:D41"/>
    <mergeCell ref="AA41:AB41"/>
    <mergeCell ref="C42:D42"/>
    <mergeCell ref="AA42:AB42"/>
    <mergeCell ref="C43:D43"/>
    <mergeCell ref="AA43:AB43"/>
    <mergeCell ref="A31:A36"/>
    <mergeCell ref="C31:D31"/>
    <mergeCell ref="R31:R36"/>
    <mergeCell ref="AA31:AB31"/>
    <mergeCell ref="AA36:AB36"/>
    <mergeCell ref="A25:A30"/>
    <mergeCell ref="C25:D25"/>
    <mergeCell ref="R25:R30"/>
    <mergeCell ref="AA25:AB25"/>
    <mergeCell ref="AG25:AG30"/>
    <mergeCell ref="C26:D26"/>
    <mergeCell ref="AA26:AB26"/>
    <mergeCell ref="C27:D27"/>
    <mergeCell ref="AA27:AB27"/>
    <mergeCell ref="C28:D28"/>
    <mergeCell ref="AG19:AG24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A28:AB28"/>
    <mergeCell ref="C29:D29"/>
    <mergeCell ref="AA29:AB29"/>
    <mergeCell ref="C30:D30"/>
    <mergeCell ref="AA30:AB30"/>
    <mergeCell ref="A19:A24"/>
    <mergeCell ref="C19:D19"/>
    <mergeCell ref="R19:R24"/>
    <mergeCell ref="AA19:AB19"/>
    <mergeCell ref="AA24:AB24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A14:A18"/>
    <mergeCell ref="C14:D14"/>
    <mergeCell ref="R14:R18"/>
    <mergeCell ref="AA14:AB14"/>
    <mergeCell ref="AG14:AG18"/>
    <mergeCell ref="C18:D18"/>
    <mergeCell ref="AA18:AB18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67">
    <cfRule type="cellIs" dxfId="264" priority="9" operator="greaterThan">
      <formula>0</formula>
    </cfRule>
  </conditionalFormatting>
  <conditionalFormatting sqref="P5:P67">
    <cfRule type="cellIs" dxfId="263" priority="1" operator="lessThan">
      <formula>0</formula>
    </cfRule>
  </conditionalFormatting>
  <conditionalFormatting sqref="Q5:Q67 AF5:AF67">
    <cfRule type="cellIs" dxfId="262" priority="10" operator="greaterThan">
      <formula>1</formula>
    </cfRule>
    <cfRule type="cellIs" dxfId="261" priority="11" operator="lessThan">
      <formula>0.8</formula>
    </cfRule>
  </conditionalFormatting>
  <conditionalFormatting sqref="R5:R11 AG5:AG11">
    <cfRule type="cellIs" dxfId="260" priority="59" operator="lessThan">
      <formula>0.8</formula>
    </cfRule>
  </conditionalFormatting>
  <conditionalFormatting sqref="AE5:AE67">
    <cfRule type="cellIs" dxfId="259" priority="12" operator="lessThan">
      <formula>0</formula>
    </cfRule>
  </conditionalFormatting>
  <conditionalFormatting sqref="AG14:AG58 R14:R67">
    <cfRule type="cellIs" dxfId="258" priority="13" operator="lessThan">
      <formula>0.8</formula>
    </cfRule>
  </conditionalFormatting>
  <dataValidations count="1">
    <dataValidation type="list" allowBlank="1" showInputMessage="1" showErrorMessage="1" sqref="AB10 AA5:AB9 AB59:AB60 AA10:AA60 AB12:AB55 AA61:AB67" xr:uid="{00000000-0002-0000-0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32"/>
  <sheetViews>
    <sheetView topLeftCell="A11" zoomScale="85" zoomScaleNormal="85" workbookViewId="0">
      <selection activeCell="J15" sqref="J15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2307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2308</v>
      </c>
      <c r="C3" s="153" t="str">
        <f>TEXT('0226 4度C'!A2,"yyyy.mm.ddaaaa")</f>
        <v>2026.02.26星期四</v>
      </c>
      <c r="D3" s="154"/>
      <c r="E3" s="47" t="s">
        <v>2309</v>
      </c>
      <c r="F3" s="155">
        <f>'0226 4度C'!D1</f>
        <v>124820</v>
      </c>
      <c r="G3" s="156"/>
      <c r="H3" s="47" t="s">
        <v>2310</v>
      </c>
      <c r="I3" s="157">
        <f>'0226 4度C'!F1</f>
        <v>4233006.4499999993</v>
      </c>
      <c r="J3" s="158"/>
      <c r="K3" s="48"/>
      <c r="L3" s="49"/>
      <c r="M3" s="49"/>
      <c r="N3" s="49"/>
    </row>
    <row r="4" spans="2:17" ht="28.5" customHeight="1">
      <c r="B4" s="159" t="s">
        <v>1474</v>
      </c>
      <c r="C4" s="145" t="s">
        <v>145</v>
      </c>
      <c r="D4" s="146"/>
      <c r="E4" s="162" t="s">
        <v>2311</v>
      </c>
      <c r="F4" s="163"/>
      <c r="G4" s="162" t="s">
        <v>2312</v>
      </c>
      <c r="H4" s="163"/>
      <c r="I4" s="162" t="s">
        <v>2313</v>
      </c>
      <c r="J4" s="163"/>
      <c r="K4" s="143" t="s">
        <v>2314</v>
      </c>
      <c r="L4" s="144"/>
      <c r="M4" s="144" t="s">
        <v>150</v>
      </c>
      <c r="N4" s="144"/>
    </row>
    <row r="5" spans="2:17" ht="28.5" customHeight="1">
      <c r="B5" s="160"/>
      <c r="C5" s="145" t="s">
        <v>2315</v>
      </c>
      <c r="D5" s="146"/>
      <c r="E5" s="145" t="s">
        <v>2316</v>
      </c>
      <c r="F5" s="146"/>
      <c r="G5" s="147" t="s">
        <v>2317</v>
      </c>
      <c r="H5" s="148"/>
      <c r="I5" s="149" t="s">
        <v>2115</v>
      </c>
      <c r="J5" s="150"/>
      <c r="K5" s="50" t="s">
        <v>2318</v>
      </c>
      <c r="L5" s="51" t="s">
        <v>2319</v>
      </c>
      <c r="M5" s="50" t="s">
        <v>2318</v>
      </c>
      <c r="N5" s="51" t="s">
        <v>157</v>
      </c>
    </row>
    <row r="6" spans="2:17" ht="28.5" customHeight="1">
      <c r="B6" s="160"/>
      <c r="C6" s="145" t="s">
        <v>158</v>
      </c>
      <c r="D6" s="146"/>
      <c r="E6" s="137">
        <f>AVERAGE(D13:M13)</f>
        <v>144.82436758250068</v>
      </c>
      <c r="F6" s="138">
        <f>AVERAGE(D31:O31,D13:J13)</f>
        <v>148.12384908566611</v>
      </c>
      <c r="G6" s="139">
        <f>AVERAGE(D13:J13)</f>
        <v>148.12384908566611</v>
      </c>
      <c r="H6" s="140"/>
      <c r="I6" s="139">
        <f>AVERAGE(K13:M13)</f>
        <v>137.12557740844801</v>
      </c>
      <c r="J6" s="140"/>
      <c r="K6" s="141">
        <f>'0226 4度C'!Y2</f>
        <v>0</v>
      </c>
      <c r="L6" s="126">
        <f>'0226 4度C'!Z2</f>
        <v>0</v>
      </c>
      <c r="M6" s="142">
        <f>'0226 4度C'!AC2</f>
        <v>54</v>
      </c>
      <c r="N6" s="126">
        <f>'0226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138.92204521768573</v>
      </c>
      <c r="F7" s="130">
        <f>AVERAGE(D32:O32,D14:J14)</f>
        <v>142.09192839030356</v>
      </c>
      <c r="G7" s="131">
        <f>AVERAGE(D14:J14)</f>
        <v>142.09192839030356</v>
      </c>
      <c r="H7" s="132"/>
      <c r="I7" s="131">
        <f>AVERAGE(K14:M14)</f>
        <v>131.52565114824418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0.95877324578508694</v>
      </c>
      <c r="F8" s="134">
        <f>AVERAGE(D15:J15,D33:O33)</f>
        <v>0.95861727619386239</v>
      </c>
      <c r="G8" s="135">
        <f>AVERAGE(D15:J15)</f>
        <v>0.95861727619386239</v>
      </c>
      <c r="H8" s="136"/>
      <c r="I8" s="135">
        <f>AVERAGE(K15:M15)</f>
        <v>0.95913717483127758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2320</v>
      </c>
      <c r="N9" s="49"/>
      <c r="O9" s="49"/>
      <c r="P9" s="49"/>
      <c r="Q9" s="49"/>
    </row>
    <row r="10" spans="2:17" ht="30" customHeight="1">
      <c r="B10" s="109" t="s">
        <v>2321</v>
      </c>
      <c r="C10" s="110"/>
      <c r="D10" s="111" t="s">
        <v>2322</v>
      </c>
      <c r="E10" s="112"/>
      <c r="F10" s="112"/>
      <c r="G10" s="112"/>
      <c r="H10" s="112"/>
      <c r="I10" s="112"/>
      <c r="J10" s="113"/>
      <c r="K10" s="114" t="s">
        <v>1491</v>
      </c>
      <c r="L10" s="115"/>
      <c r="M10" s="116"/>
      <c r="P10" s="55"/>
      <c r="Q10" s="55"/>
    </row>
    <row r="11" spans="2:17" ht="17.25" customHeight="1">
      <c r="B11" s="117" t="s">
        <v>2323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2324</v>
      </c>
      <c r="C13" s="62" t="s">
        <v>2325</v>
      </c>
      <c r="D13" s="63">
        <f>SUMIFS('0226 4度C'!$K:$K,'0226 4度C'!$A:$A,"新豐6線",'0226 4度C'!$B:$B,"平均")</f>
        <v>112.35955056179775</v>
      </c>
      <c r="E13" s="64">
        <f>SUMIFS('0226 4度C'!$K:$K,'0226 4度C'!$A:$A,"新豐2線",'0226 4度C'!$B:$B,"平均")</f>
        <v>83.333333333333329</v>
      </c>
      <c r="F13" s="65">
        <f>SUMIFS('0226 4度C'!$K:$K,'0226 4度C'!$A:$A,"新豐5線",'0226 4度C'!$B:$B,"平均")</f>
        <v>100</v>
      </c>
      <c r="G13" s="65">
        <f>SUMIFS('0226 4度C'!$K:$K,'0226 4度C'!$A:$A,"新豐7線",'0226 4度C'!$B:$B,"平均")</f>
        <v>128.37837837837839</v>
      </c>
      <c r="H13" s="65">
        <f>SUMIFS('0226 4度C'!$K:$K,'0226 4度C'!$A:$A,"新豐3線",'0226 4度C'!$B:$B,"平均")</f>
        <v>303.79746835443041</v>
      </c>
      <c r="I13" s="65">
        <f>SUMIFS('0226 4度C'!$K:$K,'0226 4度C'!$A:$A,"新豐1線",'0226 4度C'!$B:$B,"平均")</f>
        <v>102.64900662251655</v>
      </c>
      <c r="J13" s="66">
        <f>SUMIFS('0226 4度C'!$K:$K,'0226 4度C'!$A:$A,"新豐10線",'0226 4度C'!$B:$B,"平均")</f>
        <v>206.34920634920633</v>
      </c>
      <c r="K13" s="67">
        <f>SUMIFS('0226 4度C'!$K:$K,'0226 4度C'!$A:$A,"新豐8線",'0226 4度C'!$B:$B,"平均")</f>
        <v>130.43478260869566</v>
      </c>
      <c r="L13" s="68">
        <f>SUMIFS('0226 4度C'!$K:$K,'0226 4度C'!$A:$A,"新豐9線",'0226 4度C'!$B:$B,"平均")</f>
        <v>136.36363636363635</v>
      </c>
      <c r="M13" s="66">
        <f>SUMIFS('0226 4度C'!$K:$K,'0226 4度C'!$A:$A,"新豐4線",'0226 4度C'!$B:$B,"平均")</f>
        <v>144.57831325301203</v>
      </c>
    </row>
    <row r="14" spans="2:17" ht="39.6" customHeight="1">
      <c r="B14" s="122"/>
      <c r="C14" s="69" t="s">
        <v>2326</v>
      </c>
      <c r="D14" s="70">
        <f>SUMIFS('0226 4度C'!$N:$N,'0226 4度C'!$A:$A,"新豐6線",'0226 4度C'!$B:$B,"平均")</f>
        <v>108.81611726708626</v>
      </c>
      <c r="E14" s="71">
        <f>SUMIFS('0226 4度C'!$N:$N,'0226 4度C'!$A:$A,"新豐2線",'0226 4度C'!$B:$B,"平均")</f>
        <v>79.592473118279571</v>
      </c>
      <c r="F14" s="71">
        <f>SUMIFS('0226 4度C'!$N:$N,'0226 4度C'!$A:$A,"新豐5線",'0226 4度C'!$B:$B,"平均")</f>
        <v>96.039251011871841</v>
      </c>
      <c r="G14" s="71">
        <f>SUMIFS('0226 4度C'!$N:$N,'0226 4度C'!$A:$A,"新豐7線",'0226 4度C'!$B:$B,"平均")</f>
        <v>122.95681415358835</v>
      </c>
      <c r="H14" s="71">
        <f>SUMIFS('0226 4度C'!$N:$N,'0226 4度C'!$A:$A,"新豐3線",'0226 4度C'!$B:$B,"平均")</f>
        <v>291.53999217928532</v>
      </c>
      <c r="I14" s="71">
        <f>SUMIFS('0226 4度C'!$N:$N,'0226 4度C'!$A:$A,"新豐1線",'0226 4度C'!$B:$B,"平均")</f>
        <v>97.212635463166478</v>
      </c>
      <c r="J14" s="72">
        <f>SUMIFS('0226 4度C'!$N:$N,'0226 4度C'!$A:$A,"新豐10線",'0226 4度C'!$B:$B,"平均")</f>
        <v>198.48621553884709</v>
      </c>
      <c r="K14" s="73">
        <f>SUMIFS('0226 4度C'!$N:$N,'0226 4度C'!$A:$A,"新豐8線",'0226 4度C'!$B:$B,"平均")</f>
        <v>125.18388023253894</v>
      </c>
      <c r="L14" s="74">
        <f>SUMIFS('0226 4度C'!$N:$N,'0226 4度C'!$A:$A,"新豐9線",'0226 4度C'!$B:$B,"平均")</f>
        <v>130.47924718406833</v>
      </c>
      <c r="M14" s="72">
        <f>SUMIFS('0226 4度C'!$N:$N,'0226 4度C'!$A:$A,"新豐4線",'0226 4度C'!$B:$B,"平均")</f>
        <v>138.91382602812524</v>
      </c>
    </row>
    <row r="15" spans="2:17" ht="40.15" customHeight="1">
      <c r="B15" s="123"/>
      <c r="C15" s="75" t="s">
        <v>2327</v>
      </c>
      <c r="D15" s="76">
        <f t="shared" ref="D15:M15" si="0">D14/D13</f>
        <v>0.96846344367706771</v>
      </c>
      <c r="E15" s="77">
        <f t="shared" si="0"/>
        <v>0.95510967741935493</v>
      </c>
      <c r="F15" s="77">
        <f t="shared" si="0"/>
        <v>0.9603925101187184</v>
      </c>
      <c r="G15" s="77">
        <f t="shared" si="0"/>
        <v>0.95776886814374085</v>
      </c>
      <c r="H15" s="77">
        <f t="shared" si="0"/>
        <v>0.9596524742568141</v>
      </c>
      <c r="I15" s="77">
        <f t="shared" si="0"/>
        <v>0.94703922289923481</v>
      </c>
      <c r="J15" s="78">
        <f t="shared" si="0"/>
        <v>0.96189473684210525</v>
      </c>
      <c r="K15" s="76">
        <f t="shared" si="0"/>
        <v>0.95974308178279855</v>
      </c>
      <c r="L15" s="77">
        <f t="shared" si="0"/>
        <v>0.95684781268316788</v>
      </c>
      <c r="M15" s="78">
        <f t="shared" si="0"/>
        <v>0.96082063002786644</v>
      </c>
    </row>
    <row r="16" spans="2:17" ht="17.25" customHeight="1">
      <c r="B16" s="124" t="s">
        <v>2328</v>
      </c>
      <c r="C16" s="79" t="s">
        <v>1498</v>
      </c>
      <c r="D16" s="80">
        <f>VLOOKUP("新豐6線",'0226 4度C'!$A:$T,19,0)</f>
        <v>0.70833333333333337</v>
      </c>
      <c r="E16" s="81">
        <f>VLOOKUP("新豐2線",'0226 4度C'!$A:$T,19,0)</f>
        <v>0.20833333333333334</v>
      </c>
      <c r="F16" s="81">
        <f>VLOOKUP("新豐5線",'0226 4度C'!$A:$T,19,0)</f>
        <v>0.20833333333333334</v>
      </c>
      <c r="G16" s="81">
        <f>VLOOKUP("新豐7線",'0226 4度C'!$A:$T,19,0)</f>
        <v>0.20833333333333334</v>
      </c>
      <c r="H16" s="81">
        <f>VLOOKUP("新豐3線",'0226 4度C'!$A:$T,19,0)</f>
        <v>0.20833333333333334</v>
      </c>
      <c r="I16" s="81">
        <f>VLOOKUP("新豐1線",'0226 4度C'!$A:$T,19,0)</f>
        <v>0.20833333333333334</v>
      </c>
      <c r="J16" s="82">
        <f>VLOOKUP("新豐10線",'0226 4度C'!$A:$T,19,0)</f>
        <v>0.20833333333333334</v>
      </c>
      <c r="K16" s="83">
        <f>VLOOKUP("新豐8線",'0226 4度C'!$A:$T,19,0)</f>
        <v>0.125</v>
      </c>
      <c r="L16" s="84">
        <f>VLOOKUP("新豐9線",'0226 4度C'!$A:$T,19,0)</f>
        <v>0.125</v>
      </c>
      <c r="M16" s="85">
        <f>VLOOKUP("新豐4線",'0226 4度C'!$A:$T,19,0)</f>
        <v>0.125</v>
      </c>
    </row>
    <row r="17" spans="2:13" ht="17.25" customHeight="1">
      <c r="B17" s="125"/>
      <c r="C17" s="79" t="s">
        <v>2329</v>
      </c>
      <c r="D17" s="83">
        <f>LOOKUP(2,1/(('0226 4度C'!$A:$A="新豐6線")*('0226 4度C'!$T:$T&lt;&gt;"")),'0226 4度C'!$T:$T)</f>
        <v>0.8076388888888888</v>
      </c>
      <c r="E17" s="81">
        <f>LOOKUP(2,1/(('0226 4度C'!$A:$A="新豐2線")*('0226 4度C'!$T:$T&lt;&gt;"")),'0226 4度C'!$T:$T)</f>
        <v>0.43888888888888888</v>
      </c>
      <c r="F17" s="81">
        <f>LOOKUP(2,1/(('0226 4度C'!$A:$A="新豐5線")*('0226 4度C'!$T:$T&lt;&gt;"")),'0226 4度C'!$T:$T)</f>
        <v>0.8340277777777777</v>
      </c>
      <c r="G17" s="81">
        <f>LOOKUP(2,1/(('0226 4度C'!$A:$A="新豐7線")*('0226 4度C'!$T:$T&lt;&gt;"")),'0226 4度C'!$T:$T)</f>
        <v>0.82708333333333328</v>
      </c>
      <c r="H17" s="81">
        <f>LOOKUP(2,1/(('0226 4度C'!$A:$A="新豐3線")*('0226 4度C'!$T:$T&lt;&gt;"")),'0226 4度C'!$T:$T)</f>
        <v>0.62499999999999989</v>
      </c>
      <c r="I17" s="81">
        <f>LOOKUP(2,1/(('0226 4度C'!$A:$A="新豐1線")*('0226 4度C'!$T:$T&lt;&gt;"")),'0226 4度C'!$T:$T)</f>
        <v>0.83680555555555558</v>
      </c>
      <c r="J17" s="82">
        <f>LOOKUP(2,1/(('0226 4度C'!$A:$A="新豐10線")*('0226 4度C'!$T:$T&lt;&gt;"")),'0226 4度C'!$T:$T)</f>
        <v>0.39791666666666659</v>
      </c>
      <c r="K17" s="80">
        <f>LOOKUP(2,1/(('0226 4度C'!$A:$A="新豐8線")*('0226 4度C'!$T:$T&lt;&gt;"")),'0226 4度C'!$T:$T)</f>
        <v>0.50902777777777763</v>
      </c>
      <c r="L17" s="81">
        <f>LOOKUP(2,1/(('0226 4度C'!$A:$A="新豐9線")*('0226 4度C'!$T:$T&lt;&gt;"")),'0226 4度C'!$T:$T)</f>
        <v>0.4909722222222222</v>
      </c>
      <c r="M17" s="82">
        <f>LOOKUP(2,1/(('0226 4度C'!$A:$A="新豐4線")*('0226 4度C'!$T:$T&lt;&gt;"")),'0226 4度C'!$T:$T)</f>
        <v>0.47986111111111118</v>
      </c>
    </row>
    <row r="18" spans="2:13" ht="17.25" customHeight="1">
      <c r="B18" s="103" t="s">
        <v>183</v>
      </c>
      <c r="C18" s="86" t="s">
        <v>2330</v>
      </c>
      <c r="D18" s="87">
        <f>SUMIFS('0226 4度C'!$Y:$Y,'0226 4度C'!$A:$A,"新豐6線",'0226 4度C'!$B:$B,"平均")</f>
        <v>0</v>
      </c>
      <c r="E18" s="88">
        <f>SUMIFS('0226 4度C'!$Y:$Y,'0226 4度C'!$A:$A,"新豐2線",'0226 4度C'!$B:$B,"平均")</f>
        <v>0</v>
      </c>
      <c r="F18" s="88">
        <f>SUMIFS('0226 4度C'!$Y:$Y,'0226 4度C'!$A:$A,"新豐5線",'0226 4度C'!$B:$B,"平均")</f>
        <v>0</v>
      </c>
      <c r="G18" s="88">
        <f>SUMIFS('0226 4度C'!$Y:$Y,'0226 4度C'!$A:$A,"新豐7線",'0226 4度C'!$B:$B,"平均")</f>
        <v>0</v>
      </c>
      <c r="H18" s="88">
        <f>SUMIFS('0226 4度C'!$Y:$Y,'0226 4度C'!$A:$A,"新豐3線",'0226 4度C'!$B:$B,"平均")</f>
        <v>0</v>
      </c>
      <c r="I18" s="88">
        <f>SUMIFS('0226 4度C'!$Y:$Y,'0226 4度C'!$A:$A,"新豐1線",'0226 4度C'!$B:$B,"平均")</f>
        <v>0</v>
      </c>
      <c r="J18" s="89">
        <f>SUMIFS('0226 4度C'!$Y:$Y,'0226 4度C'!$A:$A,"新豐10線",'0226 4度C'!$B:$B,"平均")</f>
        <v>0</v>
      </c>
      <c r="K18" s="90">
        <f>SUMIFS('0226 4度C'!$Y:$Y,'0226 4度C'!$A:$A,"新豐8線",'0226 4度C'!$B:$B,"平均")</f>
        <v>0</v>
      </c>
      <c r="L18" s="88">
        <f>SUMIFS('0226 4度C'!$Y:$Y,'0226 4度C'!$A:$A,"新豐9線",'0226 4度C'!$B:$B,"平均")</f>
        <v>0</v>
      </c>
      <c r="M18" s="89">
        <f>SUMIFS('0226 4度C'!$Y:$Y,'0226 4度C'!$A:$A,"新豐4線",'0226 4度C'!$B:$B,"平均")</f>
        <v>0</v>
      </c>
    </row>
    <row r="19" spans="2:13" ht="17.25" customHeight="1">
      <c r="B19" s="104"/>
      <c r="C19" s="86" t="s">
        <v>1502</v>
      </c>
      <c r="D19" s="87">
        <f>SUMIFS('0226 4度C'!$Z:$Z,'0226 4度C'!$A:$A,"新豐6線",'0226 4度C'!$B:$B,"平均")</f>
        <v>0</v>
      </c>
      <c r="E19" s="88">
        <f>SUMIFS('0226 4度C'!$Z:$Z,'0226 4度C'!$A:$A,"新豐2線",'0226 4度C'!$B:$B,"平均")</f>
        <v>0</v>
      </c>
      <c r="F19" s="88">
        <f>SUMIFS('0226 4度C'!$Z:$Z,'0226 4度C'!$A:$A,"新豐5線",'0226 4度C'!$B:$B,"平均")</f>
        <v>0</v>
      </c>
      <c r="G19" s="88">
        <f>SUMIFS('0226 4度C'!$Z:$Z,'0226 4度C'!$A:$A,"新豐7線",'0226 4度C'!$B:$B,"平均")</f>
        <v>0</v>
      </c>
      <c r="H19" s="88">
        <f>SUMIFS('0226 4度C'!$Z:$Z,'0226 4度C'!$A:$A,"新豐3線",'0226 4度C'!$B:$B,"平均")</f>
        <v>0</v>
      </c>
      <c r="I19" s="88">
        <f>SUMIFS('0226 4度C'!$Z:$Z,'0226 4度C'!$A:$A,"新豐1線",'0226 4度C'!$B:$B,"平均")</f>
        <v>0</v>
      </c>
      <c r="J19" s="89">
        <f>SUMIFS('0226 4度C'!$Z:$Z,'0226 4度C'!$A:$A,"新豐10線",'0226 4度C'!$B:$B,"平均")</f>
        <v>0</v>
      </c>
      <c r="K19" s="90">
        <f>SUMIFS('0226 4度C'!$Z:$Z,'0226 4度C'!$A:$A,"新豐8線",'0226 4度C'!$B:$B,"平均")</f>
        <v>0</v>
      </c>
      <c r="L19" s="88">
        <f>SUMIFS('0226 4度C'!$Z:$Z,'0226 4度C'!$A:$A,"新豐9線",'0226 4度C'!$B:$B,"平均")</f>
        <v>0</v>
      </c>
      <c r="M19" s="89">
        <f>SUMIFS('0226 4度C'!$Z:$Z,'0226 4度C'!$A:$A,"新豐4線",'0226 4度C'!$B:$B,"平均")</f>
        <v>0</v>
      </c>
    </row>
    <row r="20" spans="2:13" ht="17.25" customHeight="1">
      <c r="B20" s="103" t="s">
        <v>186</v>
      </c>
      <c r="C20" s="86" t="s">
        <v>2330</v>
      </c>
      <c r="D20" s="87">
        <f>SUMIFS('0226 4度C'!$AC:$AC,'0226 4度C'!$A:$A,"新豐6線",'0226 4度C'!$B:$B,"平均")</f>
        <v>5</v>
      </c>
      <c r="E20" s="88">
        <f>SUMIFS('0226 4度C'!$AC:$AC,'0226 4度C'!$A:$A,"新豐2線",'0226 4度C'!$B:$B,"平均")</f>
        <v>2</v>
      </c>
      <c r="F20" s="88">
        <f>SUMIFS('0226 4度C'!$AC:$AC,'0226 4度C'!$A:$A,"新豐5線",'0226 4度C'!$B:$B,"平均")</f>
        <v>5</v>
      </c>
      <c r="G20" s="88">
        <f>SUMIFS('0226 4度C'!$AC:$AC,'0226 4度C'!$A:$A,"新豐7線",'0226 4度C'!$B:$B,"平均")</f>
        <v>5</v>
      </c>
      <c r="H20" s="88">
        <f>SUMIFS('0226 4度C'!$AC:$AC,'0226 4度C'!$A:$A,"新豐3線",'0226 4度C'!$B:$B,"平均")</f>
        <v>8</v>
      </c>
      <c r="I20" s="88">
        <f>SUMIFS('0226 4度C'!$AC:$AC,'0226 4度C'!$A:$A,"新豐1線",'0226 4度C'!$B:$B,"平均")</f>
        <v>8</v>
      </c>
      <c r="J20" s="89">
        <f>SUMIFS('0226 4度C'!$AC:$AC,'0226 4度C'!$A:$A,"新豐10線",'0226 4度C'!$B:$B,"平均")</f>
        <v>6</v>
      </c>
      <c r="K20" s="90">
        <f>SUMIFS('0226 4度C'!$AC:$AC,'0226 4度C'!$A:$A,"新豐8線",'0226 4度C'!$B:$B,"平均")</f>
        <v>5</v>
      </c>
      <c r="L20" s="88">
        <f>SUMIFS('0226 4度C'!$AC:$AC,'0226 4度C'!$A:$A,"新豐9線",'0226 4度C'!$B:$B,"平均")</f>
        <v>5</v>
      </c>
      <c r="M20" s="89">
        <f>SUMIFS('0226 4度C'!$AC:$AC,'0226 4度C'!$A:$A,"新豐4線",'0226 4度C'!$B:$B,"平均")</f>
        <v>5</v>
      </c>
    </row>
    <row r="21" spans="2:13" ht="17.25" customHeight="1">
      <c r="B21" s="104"/>
      <c r="C21" s="86" t="s">
        <v>2331</v>
      </c>
      <c r="D21" s="87">
        <f>SUMIFS('0226 4度C'!$AD:$AD,'0226 4度C'!$A:$A,"新豐6線",'0226 4度C'!$B:$B,"平均")</f>
        <v>0</v>
      </c>
      <c r="E21" s="88">
        <f>SUMIFS('0226 4度C'!$AD:$AD,'0226 4度C'!$A:$A,"新豐2線",'0226 4度C'!$B:$B,"平均")</f>
        <v>0</v>
      </c>
      <c r="F21" s="88">
        <f>SUMIFS('0226 4度C'!$AD:$AD,'0226 4度C'!$A:$A,"新豐5線",'0226 4度C'!$B:$B,"平均")</f>
        <v>0</v>
      </c>
      <c r="G21" s="88">
        <f>SUMIFS('0226 4度C'!$AD:$AD,'0226 4度C'!$A:$A,"新豐7線",'0226 4度C'!$B:$B,"平均")</f>
        <v>0</v>
      </c>
      <c r="H21" s="88">
        <f>SUMIFS('0226 4度C'!$AD:$AD,'0226 4度C'!$A:$A,"新豐3線",'0226 4度C'!$B:$B,"平均")</f>
        <v>0</v>
      </c>
      <c r="I21" s="88">
        <f>SUMIFS('0226 4度C'!$AD:$AD,'0226 4度C'!$A:$A,"新豐1線",'0226 4度C'!$B:$B,"平均")</f>
        <v>0</v>
      </c>
      <c r="J21" s="89">
        <f>SUMIFS('0226 4度C'!$AD:$AD,'0226 4度C'!$A:$A,"新豐10線",'0226 4度C'!$B:$B,"平均")</f>
        <v>0</v>
      </c>
      <c r="K21" s="90">
        <f>SUMIFS('0226 4度C'!$AD:$AD,'0226 4度C'!$A:$A,"新豐8線",'0226 4度C'!$B:$B,"平均")</f>
        <v>0</v>
      </c>
      <c r="L21" s="88">
        <f>SUMIFS('0226 4度C'!$AD:$AD,'0226 4度C'!$A:$A,"新豐9線",'0226 4度C'!$B:$B,"平均")</f>
        <v>0</v>
      </c>
      <c r="M21" s="89">
        <f>SUMIFS('0226 4度C'!$AD:$AD,'0226 4度C'!$A:$A,"新豐4線",'0226 4度C'!$B:$B,"平均")</f>
        <v>0</v>
      </c>
    </row>
    <row r="22" spans="2:13" ht="17.25" customHeight="1">
      <c r="B22" s="105" t="s">
        <v>2332</v>
      </c>
      <c r="C22" s="106"/>
      <c r="D22" s="91">
        <f>SUMIFS('0226 4度C'!$I:$I,'0226 4度C'!$A:$A,"新豐6線",'0226 4度C'!$B:$B,"平均")</f>
        <v>17.8</v>
      </c>
      <c r="E22" s="92">
        <f>SUMIFS('0226 4度C'!$I:$I,'0226 4度C'!$A:$A,"新豐2線",'0226 4度C'!$B:$B,"平均")</f>
        <v>18</v>
      </c>
      <c r="F22" s="92">
        <f>SUMIFS('0226 4度C'!$I:$I,'0226 4度C'!$A:$A,"新豐5線",'0226 4度C'!$B:$B,"平均")</f>
        <v>18</v>
      </c>
      <c r="G22" s="92">
        <f>SUMIFS('0226 4度C'!$I:$I,'0226 4度C'!$A:$A,"新豐7線",'0226 4度C'!$B:$B,"平均")</f>
        <v>14.8</v>
      </c>
      <c r="H22" s="92">
        <f>SUMIFS('0226 4度C'!$I:$I,'0226 4度C'!$A:$A,"新豐3線",'0226 4度C'!$B:$B,"平均")</f>
        <v>9.875</v>
      </c>
      <c r="I22" s="92">
        <f>SUMIFS('0226 4度C'!$I:$I,'0226 4度C'!$A:$A,"新豐1線",'0226 4度C'!$B:$B,"平均")</f>
        <v>18.875</v>
      </c>
      <c r="J22" s="93">
        <f>SUMIFS('0226 4度C'!$I:$I,'0226 4度C'!$A:$A,"新豐10線",'0226 4度C'!$B:$B,"平均")</f>
        <v>10.5</v>
      </c>
      <c r="K22" s="91">
        <f>SUMIFS('0226 4度C'!$I:$I,'0226 4度C'!$A:$A,"新豐8線",'0226 4度C'!$B:$B,"平均")</f>
        <v>18.399999999999999</v>
      </c>
      <c r="L22" s="92">
        <f>SUMIFS('0226 4度C'!$I:$I,'0226 4度C'!$A:$A,"新豐9線",'0226 4度C'!$B:$B,"平均")</f>
        <v>17.600000000000001</v>
      </c>
      <c r="M22" s="93">
        <f>SUMIFS('0226 4度C'!$I:$I,'0226 4度C'!$A:$A,"新豐4線",'0226 4度C'!$B:$B,"平均")</f>
        <v>16.600000000000001</v>
      </c>
    </row>
    <row r="23" spans="2:13" ht="17.25" customHeight="1">
      <c r="B23" s="105" t="s">
        <v>2333</v>
      </c>
      <c r="C23" s="106"/>
      <c r="D23" s="94" t="s">
        <v>191</v>
      </c>
      <c r="E23" s="95" t="s">
        <v>192</v>
      </c>
      <c r="F23" s="95" t="s">
        <v>2334</v>
      </c>
      <c r="G23" s="95" t="s">
        <v>2334</v>
      </c>
      <c r="H23" s="95" t="s">
        <v>194</v>
      </c>
      <c r="I23" s="95" t="s">
        <v>191</v>
      </c>
      <c r="J23" s="96" t="s">
        <v>194</v>
      </c>
      <c r="K23" s="94" t="s">
        <v>2335</v>
      </c>
      <c r="L23" s="95" t="s">
        <v>195</v>
      </c>
      <c r="M23" s="96" t="s">
        <v>2336</v>
      </c>
    </row>
    <row r="24" spans="2:13" ht="17.25" customHeight="1">
      <c r="B24" s="105" t="s">
        <v>2337</v>
      </c>
      <c r="C24" s="106"/>
      <c r="D24" s="94"/>
      <c r="E24" s="95"/>
      <c r="F24" s="95" t="s">
        <v>2338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2339</v>
      </c>
      <c r="C25" s="108"/>
      <c r="D25" s="97"/>
      <c r="E25" s="98" t="s">
        <v>2340</v>
      </c>
      <c r="F25" s="101" t="s">
        <v>2341</v>
      </c>
      <c r="G25" s="102"/>
      <c r="H25" s="98" t="s">
        <v>2342</v>
      </c>
      <c r="I25" s="98" t="s">
        <v>2343</v>
      </c>
      <c r="J25" s="99" t="s">
        <v>2342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5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3">
    <pageSetUpPr fitToPage="1"/>
  </sheetPr>
  <dimension ref="A1:AG69"/>
  <sheetViews>
    <sheetView zoomScale="80" zoomScaleNormal="80" workbookViewId="0">
      <pane ySplit="4" topLeftCell="A5" activePane="bottomLeft" state="frozen"/>
      <selection activeCell="J15" sqref="J15"/>
      <selection pane="bottomLeft" activeCell="J15" sqref="J1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2344</v>
      </c>
      <c r="B1" s="1"/>
      <c r="C1" s="2" t="s">
        <v>2345</v>
      </c>
      <c r="D1" s="3">
        <f>SUM(F5:F68)</f>
        <v>124820</v>
      </c>
      <c r="E1" s="4" t="s">
        <v>2346</v>
      </c>
      <c r="F1" s="1">
        <f>SUM(G5:G68)</f>
        <v>4233006.4499999993</v>
      </c>
      <c r="G1" s="1" t="s">
        <v>2347</v>
      </c>
      <c r="H1" s="5">
        <f>L10+L13+L46+L55+L19+L62+L31+L37+L25+L68</f>
        <v>160.44999999999999</v>
      </c>
      <c r="I1" s="214" t="s">
        <v>2348</v>
      </c>
      <c r="J1" s="214"/>
      <c r="K1" s="214"/>
      <c r="L1" s="214" t="s">
        <v>2349</v>
      </c>
      <c r="M1" s="214"/>
      <c r="N1" s="214"/>
      <c r="O1" s="214" t="s">
        <v>2350</v>
      </c>
      <c r="P1" s="214"/>
      <c r="Q1" s="214"/>
      <c r="R1" s="214"/>
      <c r="S1" s="214" t="s">
        <v>2351</v>
      </c>
      <c r="T1" s="214"/>
      <c r="U1" s="214"/>
      <c r="V1" s="214"/>
      <c r="W1" s="214"/>
      <c r="X1" s="214"/>
      <c r="Y1" s="6" t="s">
        <v>2352</v>
      </c>
      <c r="Z1" s="7" t="s">
        <v>2353</v>
      </c>
      <c r="AA1" s="215" t="s">
        <v>2354</v>
      </c>
      <c r="AB1" s="215"/>
      <c r="AC1" s="8" t="s">
        <v>2352</v>
      </c>
      <c r="AD1" s="7" t="s">
        <v>2355</v>
      </c>
      <c r="AE1" s="214" t="s">
        <v>2356</v>
      </c>
      <c r="AF1" s="216"/>
      <c r="AG1" s="216"/>
    </row>
    <row r="2" spans="1:33" ht="26.25" customHeight="1">
      <c r="A2" s="35">
        <v>46079</v>
      </c>
      <c r="B2" s="36" t="s">
        <v>539</v>
      </c>
      <c r="C2" s="2" t="s">
        <v>2324</v>
      </c>
      <c r="D2" s="10">
        <f>AVERAGE(N10,N13,N46,N55,N19,N62,N25,N31,N37,N68)</f>
        <v>138.92204521768573</v>
      </c>
      <c r="E2" s="11" t="s">
        <v>14</v>
      </c>
      <c r="F2" s="12">
        <f>F1/D1</f>
        <v>33.912886156064729</v>
      </c>
      <c r="G2" s="1" t="s">
        <v>2357</v>
      </c>
      <c r="H2" s="13">
        <f>COUNT(H5:H68)</f>
        <v>2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SUM(Y10+Y13+Y19+Y25+Y31+Y37+Y46+Y55+Y62+Y68)</f>
        <v>0</v>
      </c>
      <c r="Z2" s="14">
        <f>SUM(Z10+Z13+Z19+Z25+Z31+Z37+Z46+Z55+Z62+Z68)</f>
        <v>0</v>
      </c>
      <c r="AA2" s="215"/>
      <c r="AB2" s="215"/>
      <c r="AC2" s="14">
        <v>54</v>
      </c>
      <c r="AD2" s="14">
        <f>SUM(AD10+AD13+AD19+AD25+AD31+AD37+AD46+AD55+AD62+AD68)</f>
        <v>0</v>
      </c>
      <c r="AE2" s="216"/>
      <c r="AF2" s="216"/>
      <c r="AG2" s="216"/>
    </row>
    <row r="3" spans="1:33" ht="40.5" customHeight="1">
      <c r="A3" s="164" t="s">
        <v>2358</v>
      </c>
      <c r="B3" s="164" t="s">
        <v>2359</v>
      </c>
      <c r="C3" s="164" t="s">
        <v>1813</v>
      </c>
      <c r="D3" s="164"/>
      <c r="E3" s="212" t="s">
        <v>1443</v>
      </c>
      <c r="F3" s="164" t="s">
        <v>2360</v>
      </c>
      <c r="G3" s="212" t="s">
        <v>2361</v>
      </c>
      <c r="H3" s="206" t="s">
        <v>2362</v>
      </c>
      <c r="I3" s="204" t="s">
        <v>2363</v>
      </c>
      <c r="J3" s="201" t="s">
        <v>2364</v>
      </c>
      <c r="K3" s="211" t="s">
        <v>2324</v>
      </c>
      <c r="L3" s="204" t="s">
        <v>2365</v>
      </c>
      <c r="M3" s="201" t="s">
        <v>2364</v>
      </c>
      <c r="N3" s="211" t="s">
        <v>2324</v>
      </c>
      <c r="O3" s="204" t="s">
        <v>2363</v>
      </c>
      <c r="P3" s="211" t="s">
        <v>2324</v>
      </c>
      <c r="Q3" s="202" t="s">
        <v>2366</v>
      </c>
      <c r="R3" s="182" t="s">
        <v>29</v>
      </c>
      <c r="S3" s="164" t="s">
        <v>30</v>
      </c>
      <c r="T3" s="164"/>
      <c r="U3" s="206" t="s">
        <v>31</v>
      </c>
      <c r="V3" s="206" t="s">
        <v>2367</v>
      </c>
      <c r="W3" s="164" t="s">
        <v>2368</v>
      </c>
      <c r="X3" s="164"/>
      <c r="Y3" s="207" t="s">
        <v>2369</v>
      </c>
      <c r="Z3" s="168"/>
      <c r="AA3" s="208" t="s">
        <v>2370</v>
      </c>
      <c r="AB3" s="209"/>
      <c r="AC3" s="207" t="s">
        <v>2371</v>
      </c>
      <c r="AD3" s="168"/>
      <c r="AE3" s="201" t="s">
        <v>2364</v>
      </c>
      <c r="AF3" s="202" t="s">
        <v>2366</v>
      </c>
      <c r="AG3" s="182" t="s">
        <v>2372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2373</v>
      </c>
      <c r="X4" s="4" t="s">
        <v>2374</v>
      </c>
      <c r="Y4" s="15" t="s">
        <v>2375</v>
      </c>
      <c r="Z4" s="15" t="s">
        <v>2376</v>
      </c>
      <c r="AA4" s="210"/>
      <c r="AB4" s="209"/>
      <c r="AC4" s="15" t="s">
        <v>2377</v>
      </c>
      <c r="AD4" s="15" t="s">
        <v>2378</v>
      </c>
      <c r="AE4" s="201"/>
      <c r="AF4" s="202"/>
      <c r="AG4" s="182"/>
    </row>
    <row r="5" spans="1:33">
      <c r="A5" s="203" t="s">
        <v>1978</v>
      </c>
      <c r="B5" s="37" t="s">
        <v>78</v>
      </c>
      <c r="C5" s="205" t="s">
        <v>79</v>
      </c>
      <c r="D5" s="205"/>
      <c r="E5" s="37">
        <v>50.67</v>
      </c>
      <c r="F5" s="4">
        <v>1269</v>
      </c>
      <c r="G5" s="4">
        <v>64300.23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9" si="1">F5/V5*60</f>
        <v>1952.307692307691</v>
      </c>
      <c r="N5" s="17">
        <f t="shared" ref="N5:N68" si="2">M5/L5</f>
        <v>114.84162895927594</v>
      </c>
      <c r="O5" s="19">
        <f t="shared" ref="O5:O68" si="3">L5-I5</f>
        <v>0</v>
      </c>
      <c r="P5" s="20">
        <f t="shared" ref="P5:P68" si="4">N5-K5</f>
        <v>-2.805429864253469</v>
      </c>
      <c r="Q5" s="21">
        <f t="shared" ref="Q5:Q68" si="5">N5/K5</f>
        <v>0.97615384615384548</v>
      </c>
      <c r="R5" s="172">
        <f>Q10</f>
        <v>0.96846344367706771</v>
      </c>
      <c r="S5" s="28">
        <v>0.70833333333333337</v>
      </c>
      <c r="T5" s="28">
        <v>0.73541666666666672</v>
      </c>
      <c r="U5" s="4"/>
      <c r="V5" s="22">
        <f t="shared" ref="V5:V9" si="6">(T5-S5)*24*60</f>
        <v>39.000000000000021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4" si="7">M5-J5</f>
        <v>-47.692307692308987</v>
      </c>
      <c r="AF5" s="21">
        <f t="shared" ref="AF5:AF68" si="8">M5/J5</f>
        <v>0.97615384615384548</v>
      </c>
      <c r="AG5" s="172">
        <f>AF10</f>
        <v>0.96846344367706771</v>
      </c>
    </row>
    <row r="6" spans="1:33">
      <c r="A6" s="204" t="s">
        <v>2379</v>
      </c>
      <c r="B6" s="37" t="s">
        <v>78</v>
      </c>
      <c r="C6" s="205" t="s">
        <v>80</v>
      </c>
      <c r="D6" s="205"/>
      <c r="E6" s="37">
        <v>54.09</v>
      </c>
      <c r="F6" s="4">
        <v>1082</v>
      </c>
      <c r="G6" s="4">
        <v>58525.380000000005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1909.4117647058802</v>
      </c>
      <c r="N6" s="17">
        <f t="shared" si="2"/>
        <v>100.49535603715158</v>
      </c>
      <c r="O6" s="19">
        <f t="shared" si="3"/>
        <v>0</v>
      </c>
      <c r="P6" s="20">
        <f t="shared" si="4"/>
        <v>-4.7678018575852548</v>
      </c>
      <c r="Q6" s="21">
        <f t="shared" si="5"/>
        <v>0.95470588235294007</v>
      </c>
      <c r="R6" s="172"/>
      <c r="S6" s="28">
        <v>0.73888888888888893</v>
      </c>
      <c r="T6" s="28">
        <v>0.76250000000000007</v>
      </c>
      <c r="U6" s="4">
        <f t="shared" ref="U6:U9" si="9">IF(S6=TIME(17,0,0),"",(S6-T5)*24*60)</f>
        <v>4.9999999999999822</v>
      </c>
      <c r="V6" s="22">
        <f t="shared" si="6"/>
        <v>34.000000000000043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-90.588235294119841</v>
      </c>
      <c r="AF6" s="21">
        <f t="shared" si="8"/>
        <v>0.95470588235294007</v>
      </c>
      <c r="AG6" s="172"/>
    </row>
    <row r="7" spans="1:33">
      <c r="A7" s="204" t="s">
        <v>1978</v>
      </c>
      <c r="B7" s="37" t="s">
        <v>78</v>
      </c>
      <c r="C7" s="196" t="s">
        <v>81</v>
      </c>
      <c r="D7" s="197"/>
      <c r="E7" s="37">
        <v>50.29</v>
      </c>
      <c r="F7" s="4">
        <v>414</v>
      </c>
      <c r="G7" s="4">
        <v>20820.060000000001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1910.7692307692375</v>
      </c>
      <c r="N7" s="17">
        <f t="shared" si="2"/>
        <v>119.42307692307735</v>
      </c>
      <c r="O7" s="19">
        <f t="shared" si="3"/>
        <v>0</v>
      </c>
      <c r="P7" s="20">
        <f t="shared" si="4"/>
        <v>-5.5769230769226539</v>
      </c>
      <c r="Q7" s="21">
        <f t="shared" si="5"/>
        <v>0.95538461538461872</v>
      </c>
      <c r="R7" s="172"/>
      <c r="S7" s="28">
        <v>0.76666666666666672</v>
      </c>
      <c r="T7" s="28">
        <v>0.77569444444444446</v>
      </c>
      <c r="U7" s="4">
        <f t="shared" si="9"/>
        <v>5.9999999999999787</v>
      </c>
      <c r="V7" s="22">
        <f t="shared" si="6"/>
        <v>12.999999999999954</v>
      </c>
      <c r="W7" s="23"/>
      <c r="X7" s="23"/>
      <c r="Y7" s="26"/>
      <c r="Z7" s="26"/>
      <c r="AA7" s="175"/>
      <c r="AB7" s="176"/>
      <c r="AC7" s="25"/>
      <c r="AD7" s="27"/>
      <c r="AE7" s="19">
        <f t="shared" si="7"/>
        <v>-89.230769230762462</v>
      </c>
      <c r="AF7" s="21">
        <f t="shared" si="8"/>
        <v>0.95538461538461872</v>
      </c>
      <c r="AG7" s="172"/>
    </row>
    <row r="8" spans="1:33">
      <c r="A8" s="204" t="s">
        <v>1978</v>
      </c>
      <c r="B8" s="37" t="s">
        <v>78</v>
      </c>
      <c r="C8" s="196" t="s">
        <v>83</v>
      </c>
      <c r="D8" s="197"/>
      <c r="E8" s="37">
        <v>50.67</v>
      </c>
      <c r="F8" s="4">
        <v>420</v>
      </c>
      <c r="G8" s="4">
        <v>21281.4</v>
      </c>
      <c r="H8" s="22" t="s">
        <v>139</v>
      </c>
      <c r="I8" s="16">
        <v>21</v>
      </c>
      <c r="J8" s="18">
        <v>2000</v>
      </c>
      <c r="K8" s="17">
        <f t="shared" si="0"/>
        <v>95.238095238095241</v>
      </c>
      <c r="L8" s="16">
        <v>21</v>
      </c>
      <c r="M8" s="18">
        <f t="shared" si="1"/>
        <v>1938.4615384615452</v>
      </c>
      <c r="N8" s="17">
        <f t="shared" si="2"/>
        <v>92.307692307692633</v>
      </c>
      <c r="O8" s="19">
        <f t="shared" si="3"/>
        <v>0</v>
      </c>
      <c r="P8" s="20">
        <f t="shared" si="4"/>
        <v>-2.9304029304026074</v>
      </c>
      <c r="Q8" s="21">
        <f t="shared" si="5"/>
        <v>0.96923076923077267</v>
      </c>
      <c r="R8" s="172"/>
      <c r="S8" s="28">
        <v>0.77986111111111112</v>
      </c>
      <c r="T8" s="28">
        <v>0.78888888888888886</v>
      </c>
      <c r="U8" s="4">
        <f t="shared" si="9"/>
        <v>5.9999999999999787</v>
      </c>
      <c r="V8" s="22">
        <f t="shared" si="6"/>
        <v>12.999999999999954</v>
      </c>
      <c r="W8" s="28"/>
      <c r="X8" s="28"/>
      <c r="Y8" s="29"/>
      <c r="Z8" s="29"/>
      <c r="AA8" s="175"/>
      <c r="AB8" s="176"/>
      <c r="AC8" s="25"/>
      <c r="AD8" s="27"/>
      <c r="AE8" s="19">
        <f t="shared" si="7"/>
        <v>-61.53846153845484</v>
      </c>
      <c r="AF8" s="21">
        <f t="shared" si="8"/>
        <v>0.96923076923077256</v>
      </c>
      <c r="AG8" s="172"/>
    </row>
    <row r="9" spans="1:33">
      <c r="A9" s="204" t="s">
        <v>1978</v>
      </c>
      <c r="B9" s="37" t="s">
        <v>78</v>
      </c>
      <c r="C9" s="196" t="s">
        <v>98</v>
      </c>
      <c r="D9" s="197"/>
      <c r="E9" s="37">
        <v>50.67</v>
      </c>
      <c r="F9" s="4">
        <v>625</v>
      </c>
      <c r="G9" s="4">
        <v>31668.75</v>
      </c>
      <c r="H9" s="22" t="s">
        <v>139</v>
      </c>
      <c r="I9" s="16">
        <v>16</v>
      </c>
      <c r="J9" s="18">
        <v>2000</v>
      </c>
      <c r="K9" s="17">
        <f t="shared" si="0"/>
        <v>125</v>
      </c>
      <c r="L9" s="16">
        <v>16</v>
      </c>
      <c r="M9" s="18">
        <f t="shared" si="1"/>
        <v>1973.6842105263229</v>
      </c>
      <c r="N9" s="17">
        <f t="shared" si="2"/>
        <v>123.35526315789518</v>
      </c>
      <c r="O9" s="19">
        <f t="shared" si="3"/>
        <v>0</v>
      </c>
      <c r="P9" s="20">
        <f t="shared" si="4"/>
        <v>-1.6447368421048196</v>
      </c>
      <c r="Q9" s="21">
        <f t="shared" si="5"/>
        <v>0.98684210526316141</v>
      </c>
      <c r="R9" s="172"/>
      <c r="S9" s="28">
        <v>0.7944444444444444</v>
      </c>
      <c r="T9" s="28">
        <v>0.8076388888888888</v>
      </c>
      <c r="U9" s="4">
        <f t="shared" si="9"/>
        <v>7.9999999999999716</v>
      </c>
      <c r="V9" s="22">
        <f t="shared" si="6"/>
        <v>18.999999999999932</v>
      </c>
      <c r="W9" s="23"/>
      <c r="X9" s="23"/>
      <c r="Y9" s="26"/>
      <c r="Z9" s="26"/>
      <c r="AA9" s="175"/>
      <c r="AB9" s="176"/>
      <c r="AC9" s="25"/>
      <c r="AD9" s="27"/>
      <c r="AE9" s="19">
        <f t="shared" si="7"/>
        <v>-26.315789473677114</v>
      </c>
      <c r="AF9" s="21">
        <f t="shared" si="8"/>
        <v>0.98684210526316141</v>
      </c>
      <c r="AG9" s="172"/>
    </row>
    <row r="10" spans="1:33">
      <c r="A10" s="204" t="s">
        <v>1978</v>
      </c>
      <c r="B10" s="37" t="s">
        <v>2380</v>
      </c>
      <c r="C10" s="177"/>
      <c r="D10" s="177"/>
      <c r="E10" s="38"/>
      <c r="F10" s="17"/>
      <c r="G10" s="17"/>
      <c r="H10" s="4"/>
      <c r="I10" s="30">
        <v>17.8</v>
      </c>
      <c r="J10" s="18">
        <v>2000</v>
      </c>
      <c r="K10" s="17">
        <f t="shared" si="0"/>
        <v>112.35955056179775</v>
      </c>
      <c r="L10" s="30">
        <v>17.8</v>
      </c>
      <c r="M10" s="18">
        <f>AVERAGE(M5:M9)</f>
        <v>1936.9268873541355</v>
      </c>
      <c r="N10" s="17">
        <f t="shared" si="2"/>
        <v>108.81611726708626</v>
      </c>
      <c r="O10" s="19">
        <f t="shared" si="3"/>
        <v>0</v>
      </c>
      <c r="P10" s="20">
        <f t="shared" si="4"/>
        <v>-3.543433294711491</v>
      </c>
      <c r="Q10" s="21">
        <f t="shared" si="5"/>
        <v>0.96846344367706771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7"/>
        <v>-63.073112645864512</v>
      </c>
      <c r="AF10" s="21">
        <f t="shared" si="8"/>
        <v>0.96846344367706771</v>
      </c>
      <c r="AG10" s="172"/>
    </row>
    <row r="11" spans="1:33" ht="15.75" customHeight="1">
      <c r="A11" s="200" t="s">
        <v>2381</v>
      </c>
      <c r="B11" s="37" t="s">
        <v>84</v>
      </c>
      <c r="C11" s="196" t="s">
        <v>85</v>
      </c>
      <c r="D11" s="197"/>
      <c r="E11" s="37">
        <v>39.619999999999997</v>
      </c>
      <c r="F11" s="4">
        <v>2968</v>
      </c>
      <c r="G11" s="4">
        <v>117592.15999999999</v>
      </c>
      <c r="H11" s="22" t="s">
        <v>139</v>
      </c>
      <c r="I11" s="16">
        <v>19</v>
      </c>
      <c r="J11" s="18">
        <v>1500</v>
      </c>
      <c r="K11" s="17">
        <f t="shared" si="0"/>
        <v>78.94736842105263</v>
      </c>
      <c r="L11" s="16">
        <v>19</v>
      </c>
      <c r="M11" s="18">
        <f t="shared" ref="M11:M12" si="10">F11/V11*60</f>
        <v>1436.1290322580646</v>
      </c>
      <c r="N11" s="17">
        <f t="shared" si="2"/>
        <v>75.585738539898145</v>
      </c>
      <c r="O11" s="19">
        <f t="shared" si="3"/>
        <v>0</v>
      </c>
      <c r="P11" s="20">
        <f t="shared" si="4"/>
        <v>-3.3616298811544851</v>
      </c>
      <c r="Q11" s="21">
        <f t="shared" si="5"/>
        <v>0.95741935483870988</v>
      </c>
      <c r="R11" s="172">
        <f>Q13</f>
        <v>0.95510967741935493</v>
      </c>
      <c r="S11" s="28">
        <v>0.20833333333333334</v>
      </c>
      <c r="T11" s="28">
        <v>0.29444444444444445</v>
      </c>
      <c r="U11" s="4"/>
      <c r="V11" s="22">
        <f t="shared" ref="V11:V12" si="11">(T11-S11)*24*60</f>
        <v>123.99999999999999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7"/>
        <v>-63.870967741935374</v>
      </c>
      <c r="AF11" s="21">
        <f t="shared" si="8"/>
        <v>0.95741935483870977</v>
      </c>
      <c r="AG11" s="172">
        <f>AF13</f>
        <v>0.95510967741935493</v>
      </c>
    </row>
    <row r="12" spans="1:33" ht="15.75" customHeight="1">
      <c r="A12" s="200" t="s">
        <v>50</v>
      </c>
      <c r="B12" s="37" t="s">
        <v>84</v>
      </c>
      <c r="C12" s="196" t="s">
        <v>86</v>
      </c>
      <c r="D12" s="197"/>
      <c r="E12" s="37">
        <v>39.799999999999997</v>
      </c>
      <c r="F12" s="4">
        <v>4764</v>
      </c>
      <c r="G12" s="4">
        <v>189607.19999999998</v>
      </c>
      <c r="H12" s="22" t="s">
        <v>139</v>
      </c>
      <c r="I12" s="16">
        <v>17</v>
      </c>
      <c r="J12" s="18">
        <v>1500</v>
      </c>
      <c r="K12" s="17">
        <f t="shared" si="0"/>
        <v>88.235294117647058</v>
      </c>
      <c r="L12" s="16">
        <v>17</v>
      </c>
      <c r="M12" s="18">
        <f t="shared" si="10"/>
        <v>1429.2</v>
      </c>
      <c r="N12" s="17">
        <f t="shared" si="2"/>
        <v>84.070588235294125</v>
      </c>
      <c r="O12" s="19">
        <f t="shared" si="3"/>
        <v>0</v>
      </c>
      <c r="P12" s="20">
        <f t="shared" si="4"/>
        <v>-4.1647058823529335</v>
      </c>
      <c r="Q12" s="21">
        <f t="shared" si="5"/>
        <v>0.95280000000000009</v>
      </c>
      <c r="R12" s="172"/>
      <c r="S12" s="28">
        <v>0.3</v>
      </c>
      <c r="T12" s="28">
        <v>0.43888888888888888</v>
      </c>
      <c r="U12" s="4">
        <f t="shared" ref="U12" si="12">IF(S12=TIME(17,0,0),"",(S12-T11)*24*60)</f>
        <v>7.9999999999999716</v>
      </c>
      <c r="V12" s="22">
        <f t="shared" si="11"/>
        <v>200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7"/>
        <v>-70.799999999999955</v>
      </c>
      <c r="AF12" s="21">
        <f t="shared" si="8"/>
        <v>0.95279999999999998</v>
      </c>
      <c r="AG12" s="172"/>
    </row>
    <row r="13" spans="1:33" ht="16.5" customHeight="1">
      <c r="A13" s="200" t="s">
        <v>50</v>
      </c>
      <c r="B13" s="37" t="s">
        <v>2382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0"/>
        <v>83.333333333333329</v>
      </c>
      <c r="L13" s="30">
        <v>18</v>
      </c>
      <c r="M13" s="18">
        <f>AVERAGE(M11:M12)</f>
        <v>1432.6645161290323</v>
      </c>
      <c r="N13" s="17">
        <f t="shared" si="2"/>
        <v>79.592473118279571</v>
      </c>
      <c r="O13" s="19">
        <f t="shared" si="3"/>
        <v>0</v>
      </c>
      <c r="P13" s="20">
        <f t="shared" si="4"/>
        <v>-3.7408602150537575</v>
      </c>
      <c r="Q13" s="21">
        <f t="shared" si="5"/>
        <v>0.95510967741935493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7"/>
        <v>-67.335483870967664</v>
      </c>
      <c r="AF13" s="21">
        <f t="shared" si="8"/>
        <v>0.95510967741935493</v>
      </c>
      <c r="AG13" s="172"/>
    </row>
    <row r="14" spans="1:33" ht="16.5" customHeight="1">
      <c r="A14" s="198" t="s">
        <v>2383</v>
      </c>
      <c r="B14" s="4" t="s">
        <v>87</v>
      </c>
      <c r="C14" s="190" t="s">
        <v>88</v>
      </c>
      <c r="D14" s="190"/>
      <c r="E14" s="37">
        <v>41</v>
      </c>
      <c r="F14" s="4">
        <v>2151</v>
      </c>
      <c r="G14" s="4">
        <v>88191</v>
      </c>
      <c r="H14" s="22" t="s">
        <v>139</v>
      </c>
      <c r="I14" s="16">
        <v>26</v>
      </c>
      <c r="J14" s="18">
        <v>1500</v>
      </c>
      <c r="K14" s="17">
        <f t="shared" si="0"/>
        <v>57.692307692307693</v>
      </c>
      <c r="L14" s="16">
        <v>26</v>
      </c>
      <c r="M14" s="18">
        <f t="shared" ref="M14:M18" si="13">F14/V14*60</f>
        <v>1433.9999999999993</v>
      </c>
      <c r="N14" s="17">
        <f t="shared" si="2"/>
        <v>55.153846153846125</v>
      </c>
      <c r="O14" s="19">
        <f t="shared" si="3"/>
        <v>0</v>
      </c>
      <c r="P14" s="20">
        <f t="shared" si="4"/>
        <v>-2.5384615384615685</v>
      </c>
      <c r="Q14" s="21">
        <f t="shared" si="5"/>
        <v>0.95599999999999952</v>
      </c>
      <c r="R14" s="172">
        <f>Q19</f>
        <v>0.9603925101187184</v>
      </c>
      <c r="S14" s="28">
        <v>0.20833333333333334</v>
      </c>
      <c r="T14" s="28">
        <v>0.27083333333333337</v>
      </c>
      <c r="U14" s="4"/>
      <c r="V14" s="22">
        <f t="shared" ref="V14:V18" si="14">(T14-S14)*24*60</f>
        <v>90.000000000000043</v>
      </c>
      <c r="W14" s="28"/>
      <c r="X14" s="28"/>
      <c r="Y14" s="28"/>
      <c r="Z14" s="28"/>
      <c r="AA14" s="164"/>
      <c r="AB14" s="164"/>
      <c r="AC14" s="25">
        <v>5</v>
      </c>
      <c r="AD14" s="25"/>
      <c r="AE14" s="19">
        <f t="shared" si="7"/>
        <v>-66.000000000000682</v>
      </c>
      <c r="AF14" s="21">
        <f t="shared" si="8"/>
        <v>0.95599999999999952</v>
      </c>
      <c r="AG14" s="172">
        <f>AF19</f>
        <v>0.96039251011871851</v>
      </c>
    </row>
    <row r="15" spans="1:33" ht="16.5" customHeight="1">
      <c r="A15" s="199" t="s">
        <v>2383</v>
      </c>
      <c r="B15" s="4" t="s">
        <v>89</v>
      </c>
      <c r="C15" s="190" t="s">
        <v>90</v>
      </c>
      <c r="D15" s="190"/>
      <c r="E15" s="37">
        <v>72.400000000000006</v>
      </c>
      <c r="F15" s="4">
        <v>554</v>
      </c>
      <c r="G15" s="4">
        <v>40109.600000000006</v>
      </c>
      <c r="H15" s="22" t="s">
        <v>139</v>
      </c>
      <c r="I15" s="16">
        <v>18</v>
      </c>
      <c r="J15" s="18">
        <v>1500</v>
      </c>
      <c r="K15" s="17">
        <f t="shared" si="0"/>
        <v>83.333333333333329</v>
      </c>
      <c r="L15" s="16">
        <v>18</v>
      </c>
      <c r="M15" s="18">
        <f t="shared" si="13"/>
        <v>1445.2173913043478</v>
      </c>
      <c r="N15" s="17">
        <f t="shared" si="2"/>
        <v>80.289855072463766</v>
      </c>
      <c r="O15" s="19">
        <f t="shared" si="3"/>
        <v>0</v>
      </c>
      <c r="P15" s="20">
        <f t="shared" si="4"/>
        <v>-3.0434782608695627</v>
      </c>
      <c r="Q15" s="21">
        <f t="shared" si="5"/>
        <v>0.96347826086956523</v>
      </c>
      <c r="R15" s="172"/>
      <c r="S15" s="28">
        <v>0.27500000000000002</v>
      </c>
      <c r="T15" s="28">
        <v>0.29097222222222224</v>
      </c>
      <c r="U15" s="4">
        <f t="shared" ref="U15:U18" si="15">IF(S15=TIME(17,0,0),"",(S15-T14)*24*60)</f>
        <v>5.9999999999999787</v>
      </c>
      <c r="V15" s="22">
        <f t="shared" si="14"/>
        <v>23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7"/>
        <v>-54.782608695652243</v>
      </c>
      <c r="AF15" s="21">
        <f t="shared" si="8"/>
        <v>0.96347826086956512</v>
      </c>
      <c r="AG15" s="172"/>
    </row>
    <row r="16" spans="1:33" ht="16.5" customHeight="1">
      <c r="A16" s="199" t="s">
        <v>2383</v>
      </c>
      <c r="B16" s="4" t="s">
        <v>78</v>
      </c>
      <c r="C16" s="190" t="s">
        <v>91</v>
      </c>
      <c r="D16" s="190"/>
      <c r="E16" s="37">
        <v>50.98</v>
      </c>
      <c r="F16" s="4">
        <v>2172</v>
      </c>
      <c r="G16" s="4">
        <v>110728.56</v>
      </c>
      <c r="H16" s="22" t="s">
        <v>139</v>
      </c>
      <c r="I16" s="16">
        <v>16</v>
      </c>
      <c r="J16" s="18">
        <v>2000</v>
      </c>
      <c r="K16" s="17">
        <f t="shared" si="0"/>
        <v>125</v>
      </c>
      <c r="L16" s="16">
        <v>16</v>
      </c>
      <c r="M16" s="18">
        <f t="shared" si="13"/>
        <v>1916.4705882352964</v>
      </c>
      <c r="N16" s="17">
        <f t="shared" si="2"/>
        <v>119.77941176470603</v>
      </c>
      <c r="O16" s="19">
        <f t="shared" si="3"/>
        <v>0</v>
      </c>
      <c r="P16" s="20">
        <f t="shared" si="4"/>
        <v>-5.2205882352939739</v>
      </c>
      <c r="Q16" s="21">
        <f t="shared" si="5"/>
        <v>0.95823529411764818</v>
      </c>
      <c r="R16" s="172"/>
      <c r="S16" s="28">
        <v>0.70833333333333337</v>
      </c>
      <c r="T16" s="28">
        <v>0.75555555555555554</v>
      </c>
      <c r="U16" s="4" t="str">
        <f t="shared" si="15"/>
        <v/>
      </c>
      <c r="V16" s="22">
        <f t="shared" si="14"/>
        <v>67.999999999999915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-83.529411764703582</v>
      </c>
      <c r="AF16" s="21">
        <f t="shared" si="8"/>
        <v>0.95823529411764818</v>
      </c>
      <c r="AG16" s="172"/>
    </row>
    <row r="17" spans="1:33" ht="16.5" customHeight="1">
      <c r="A17" s="199" t="s">
        <v>2384</v>
      </c>
      <c r="B17" s="4" t="s">
        <v>78</v>
      </c>
      <c r="C17" s="190" t="s">
        <v>92</v>
      </c>
      <c r="D17" s="190"/>
      <c r="E17" s="37">
        <v>50.92</v>
      </c>
      <c r="F17" s="4">
        <v>2006</v>
      </c>
      <c r="G17" s="4">
        <v>102145.52</v>
      </c>
      <c r="H17" s="22" t="s">
        <v>139</v>
      </c>
      <c r="I17" s="16">
        <v>15</v>
      </c>
      <c r="J17" s="18">
        <v>2000</v>
      </c>
      <c r="K17" s="17">
        <f t="shared" si="0"/>
        <v>133.33333333333334</v>
      </c>
      <c r="L17" s="16">
        <v>15</v>
      </c>
      <c r="M17" s="18">
        <f t="shared" si="13"/>
        <v>1910.4761904761924</v>
      </c>
      <c r="N17" s="17">
        <f t="shared" si="2"/>
        <v>127.3650793650795</v>
      </c>
      <c r="O17" s="19">
        <f t="shared" si="3"/>
        <v>0</v>
      </c>
      <c r="P17" s="20">
        <f t="shared" si="4"/>
        <v>-5.9682539682538476</v>
      </c>
      <c r="Q17" s="21">
        <f t="shared" si="5"/>
        <v>0.95523809523809611</v>
      </c>
      <c r="R17" s="172"/>
      <c r="S17" s="28">
        <v>0.76041666666666663</v>
      </c>
      <c r="T17" s="28">
        <v>0.80416666666666659</v>
      </c>
      <c r="U17" s="4">
        <f t="shared" si="15"/>
        <v>6.9999999999999751</v>
      </c>
      <c r="V17" s="22">
        <f t="shared" si="14"/>
        <v>62.999999999999936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-89.523809523807586</v>
      </c>
      <c r="AF17" s="21">
        <f t="shared" si="8"/>
        <v>0.95523809523809622</v>
      </c>
      <c r="AG17" s="172"/>
    </row>
    <row r="18" spans="1:33" ht="16.5" customHeight="1">
      <c r="A18" s="199" t="s">
        <v>2383</v>
      </c>
      <c r="B18" s="4" t="s">
        <v>78</v>
      </c>
      <c r="C18" s="190" t="s">
        <v>93</v>
      </c>
      <c r="D18" s="190"/>
      <c r="E18" s="37">
        <v>50.67</v>
      </c>
      <c r="F18" s="4">
        <v>1227</v>
      </c>
      <c r="G18" s="4">
        <v>62172.090000000004</v>
      </c>
      <c r="H18" s="22" t="s">
        <v>139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1937.3684210526299</v>
      </c>
      <c r="N18" s="17">
        <f t="shared" si="2"/>
        <v>129.157894736842</v>
      </c>
      <c r="O18" s="19">
        <f t="shared" si="3"/>
        <v>0</v>
      </c>
      <c r="P18" s="20">
        <f t="shared" si="4"/>
        <v>-4.1754385964913467</v>
      </c>
      <c r="Q18" s="21">
        <f t="shared" si="5"/>
        <v>0.96868421052631493</v>
      </c>
      <c r="R18" s="172"/>
      <c r="S18" s="28">
        <v>0.8076388888888888</v>
      </c>
      <c r="T18" s="28">
        <v>0.8340277777777777</v>
      </c>
      <c r="U18" s="4">
        <f t="shared" si="15"/>
        <v>4.9999999999999822</v>
      </c>
      <c r="V18" s="22">
        <f t="shared" si="14"/>
        <v>38.000000000000028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-62.631578947370144</v>
      </c>
      <c r="AF18" s="21">
        <f t="shared" si="8"/>
        <v>0.96868421052631493</v>
      </c>
      <c r="AG18" s="172"/>
    </row>
    <row r="19" spans="1:33" ht="16.5" customHeight="1">
      <c r="A19" s="199" t="s">
        <v>2383</v>
      </c>
      <c r="B19" s="37" t="s">
        <v>2385</v>
      </c>
      <c r="C19" s="177"/>
      <c r="D19" s="177"/>
      <c r="E19" s="38"/>
      <c r="F19" s="17"/>
      <c r="G19" s="17"/>
      <c r="H19" s="4"/>
      <c r="I19" s="30">
        <v>18</v>
      </c>
      <c r="J19" s="18">
        <v>1800</v>
      </c>
      <c r="K19" s="17">
        <f t="shared" si="0"/>
        <v>100</v>
      </c>
      <c r="L19" s="30">
        <v>18</v>
      </c>
      <c r="M19" s="18">
        <f>AVERAGE(M14:M18)</f>
        <v>1728.7065182136932</v>
      </c>
      <c r="N19" s="17">
        <f t="shared" si="2"/>
        <v>96.039251011871841</v>
      </c>
      <c r="O19" s="19">
        <f t="shared" si="3"/>
        <v>0</v>
      </c>
      <c r="P19" s="20">
        <f t="shared" si="4"/>
        <v>-3.9607489881281595</v>
      </c>
      <c r="Q19" s="21">
        <f t="shared" si="5"/>
        <v>0.9603925101187184</v>
      </c>
      <c r="R19" s="172"/>
      <c r="S19" s="28"/>
      <c r="T19" s="28"/>
      <c r="U19" s="4"/>
      <c r="V19" s="22"/>
      <c r="W19" s="17"/>
      <c r="X19" s="17"/>
      <c r="Y19" s="31">
        <f>SUM(Y14:Y18)</f>
        <v>0</v>
      </c>
      <c r="Z19" s="31">
        <f>SUM(Z14:Z18)</f>
        <v>0</v>
      </c>
      <c r="AA19" s="168"/>
      <c r="AB19" s="168"/>
      <c r="AC19" s="31">
        <v>5</v>
      </c>
      <c r="AD19" s="31">
        <f>SUM(AD14:AD18)</f>
        <v>0</v>
      </c>
      <c r="AE19" s="19">
        <f t="shared" si="7"/>
        <v>-71.293481786306756</v>
      </c>
      <c r="AF19" s="21">
        <f t="shared" si="8"/>
        <v>0.96039251011871851</v>
      </c>
      <c r="AG19" s="172"/>
    </row>
    <row r="20" spans="1:33" ht="15.75" customHeight="1">
      <c r="A20" s="194" t="s">
        <v>2386</v>
      </c>
      <c r="B20" s="37" t="s">
        <v>78</v>
      </c>
      <c r="C20" s="190" t="s">
        <v>95</v>
      </c>
      <c r="D20" s="190"/>
      <c r="E20" s="37">
        <v>57.73</v>
      </c>
      <c r="F20" s="4">
        <v>2506</v>
      </c>
      <c r="G20" s="4">
        <v>144671.38</v>
      </c>
      <c r="H20" s="22" t="s">
        <v>139</v>
      </c>
      <c r="I20" s="16">
        <v>14</v>
      </c>
      <c r="J20" s="18">
        <v>2000</v>
      </c>
      <c r="K20" s="17">
        <f t="shared" si="0"/>
        <v>142.85714285714286</v>
      </c>
      <c r="L20" s="16">
        <v>14</v>
      </c>
      <c r="M20" s="18">
        <f t="shared" ref="M20:M24" si="16">F20/V20*60</f>
        <v>1927.6923076923078</v>
      </c>
      <c r="N20" s="17">
        <f t="shared" si="2"/>
        <v>137.69230769230771</v>
      </c>
      <c r="O20" s="19">
        <f t="shared" si="3"/>
        <v>0</v>
      </c>
      <c r="P20" s="20">
        <f t="shared" si="4"/>
        <v>-5.1648351648351536</v>
      </c>
      <c r="Q20" s="21">
        <f t="shared" si="5"/>
        <v>0.96384615384615391</v>
      </c>
      <c r="R20" s="172">
        <f>Q25</f>
        <v>0.95776886814374085</v>
      </c>
      <c r="S20" s="28">
        <v>0.20833333333333334</v>
      </c>
      <c r="T20" s="28">
        <v>0.26250000000000001</v>
      </c>
      <c r="U20" s="4"/>
      <c r="V20" s="22">
        <f t="shared" ref="V20:V24" si="17">(T20-S20)*24*60</f>
        <v>78</v>
      </c>
      <c r="W20" s="28"/>
      <c r="X20" s="28"/>
      <c r="Y20" s="28"/>
      <c r="Z20" s="28"/>
      <c r="AA20" s="164"/>
      <c r="AB20" s="164"/>
      <c r="AC20" s="25">
        <v>5</v>
      </c>
      <c r="AD20" s="25"/>
      <c r="AE20" s="19">
        <f t="shared" si="7"/>
        <v>-72.30769230769215</v>
      </c>
      <c r="AF20" s="21">
        <f t="shared" si="8"/>
        <v>0.96384615384615391</v>
      </c>
      <c r="AG20" s="172">
        <f>AF25</f>
        <v>0.95776886814374096</v>
      </c>
    </row>
    <row r="21" spans="1:33" ht="15.75" customHeight="1">
      <c r="A21" s="195" t="s">
        <v>60</v>
      </c>
      <c r="B21" s="37" t="s">
        <v>78</v>
      </c>
      <c r="C21" s="190" t="s">
        <v>96</v>
      </c>
      <c r="D21" s="190"/>
      <c r="E21" s="37">
        <v>53.68</v>
      </c>
      <c r="F21" s="4">
        <v>1334</v>
      </c>
      <c r="G21" s="4">
        <v>71609.119999999995</v>
      </c>
      <c r="H21" s="22" t="s">
        <v>139</v>
      </c>
      <c r="I21" s="16">
        <v>16</v>
      </c>
      <c r="J21" s="18">
        <v>2000</v>
      </c>
      <c r="K21" s="17">
        <f t="shared" si="0"/>
        <v>125</v>
      </c>
      <c r="L21" s="16">
        <v>16</v>
      </c>
      <c r="M21" s="18">
        <f t="shared" si="16"/>
        <v>1905.7142857142851</v>
      </c>
      <c r="N21" s="17">
        <f t="shared" si="2"/>
        <v>119.10714285714282</v>
      </c>
      <c r="O21" s="19">
        <f t="shared" si="3"/>
        <v>0</v>
      </c>
      <c r="P21" s="20">
        <f t="shared" si="4"/>
        <v>-5.8928571428571814</v>
      </c>
      <c r="Q21" s="21">
        <f t="shared" si="5"/>
        <v>0.95285714285714251</v>
      </c>
      <c r="R21" s="172"/>
      <c r="S21" s="28">
        <v>0.2673611111111111</v>
      </c>
      <c r="T21" s="28">
        <v>0.29652777777777778</v>
      </c>
      <c r="U21" s="4">
        <f t="shared" ref="U21:U24" si="18">IF(S21=TIME(17,0,0),"",(S21-T20)*24*60)</f>
        <v>6.9999999999999751</v>
      </c>
      <c r="V21" s="22">
        <f t="shared" si="17"/>
        <v>42.000000000000014</v>
      </c>
      <c r="W21" s="23"/>
      <c r="X21" s="4"/>
      <c r="Y21" s="4"/>
      <c r="Z21" s="4"/>
      <c r="AA21" s="164"/>
      <c r="AB21" s="164"/>
      <c r="AC21" s="25"/>
      <c r="AD21" s="25"/>
      <c r="AE21" s="19">
        <f t="shared" si="7"/>
        <v>-94.285714285714903</v>
      </c>
      <c r="AF21" s="21">
        <f t="shared" si="8"/>
        <v>0.95285714285714251</v>
      </c>
      <c r="AG21" s="172"/>
    </row>
    <row r="22" spans="1:33" ht="15.75" customHeight="1">
      <c r="A22" s="195" t="s">
        <v>60</v>
      </c>
      <c r="B22" s="37" t="s">
        <v>78</v>
      </c>
      <c r="C22" s="190" t="s">
        <v>97</v>
      </c>
      <c r="D22" s="190"/>
      <c r="E22" s="37">
        <v>50.49</v>
      </c>
      <c r="F22" s="4">
        <v>1593</v>
      </c>
      <c r="G22" s="4">
        <v>80430.570000000007</v>
      </c>
      <c r="H22" s="22" t="s">
        <v>139</v>
      </c>
      <c r="I22" s="16">
        <v>15</v>
      </c>
      <c r="J22" s="18">
        <v>2000</v>
      </c>
      <c r="K22" s="17">
        <f t="shared" si="0"/>
        <v>133.33333333333334</v>
      </c>
      <c r="L22" s="16">
        <v>15</v>
      </c>
      <c r="M22" s="18">
        <f t="shared" si="16"/>
        <v>1911.6000000000006</v>
      </c>
      <c r="N22" s="17">
        <f t="shared" si="2"/>
        <v>127.44000000000004</v>
      </c>
      <c r="O22" s="19">
        <f t="shared" si="3"/>
        <v>0</v>
      </c>
      <c r="P22" s="20">
        <f t="shared" si="4"/>
        <v>-5.8933333333333024</v>
      </c>
      <c r="Q22" s="21">
        <f t="shared" si="5"/>
        <v>0.9558000000000002</v>
      </c>
      <c r="R22" s="172"/>
      <c r="S22" s="28">
        <v>0.70833333333333337</v>
      </c>
      <c r="T22" s="28">
        <v>0.74305555555555558</v>
      </c>
      <c r="U22" s="4" t="str">
        <f t="shared" si="18"/>
        <v/>
      </c>
      <c r="V22" s="22">
        <f t="shared" si="17"/>
        <v>49.999999999999986</v>
      </c>
      <c r="W22" s="23"/>
      <c r="X22" s="4"/>
      <c r="Y22" s="4"/>
      <c r="Z22" s="4"/>
      <c r="AA22" s="164"/>
      <c r="AB22" s="164"/>
      <c r="AC22" s="25"/>
      <c r="AD22" s="25"/>
      <c r="AE22" s="19">
        <f t="shared" si="7"/>
        <v>-88.399999999999409</v>
      </c>
      <c r="AF22" s="21">
        <f t="shared" si="8"/>
        <v>0.95580000000000032</v>
      </c>
      <c r="AG22" s="172"/>
    </row>
    <row r="23" spans="1:33" ht="15.75" customHeight="1">
      <c r="A23" s="195" t="s">
        <v>2386</v>
      </c>
      <c r="B23" s="37" t="s">
        <v>78</v>
      </c>
      <c r="C23" s="190" t="s">
        <v>94</v>
      </c>
      <c r="D23" s="190"/>
      <c r="E23" s="37">
        <v>57.3</v>
      </c>
      <c r="F23" s="4">
        <v>1407</v>
      </c>
      <c r="G23" s="4">
        <v>80621.099999999991</v>
      </c>
      <c r="H23" s="22" t="s">
        <v>139</v>
      </c>
      <c r="I23" s="16">
        <v>13</v>
      </c>
      <c r="J23" s="18">
        <v>2000</v>
      </c>
      <c r="K23" s="17">
        <f t="shared" si="0"/>
        <v>153.84615384615384</v>
      </c>
      <c r="L23" s="16">
        <v>13</v>
      </c>
      <c r="M23" s="18">
        <f t="shared" si="16"/>
        <v>1918.6363636363635</v>
      </c>
      <c r="N23" s="17">
        <f t="shared" si="2"/>
        <v>147.58741258741259</v>
      </c>
      <c r="O23" s="19">
        <f t="shared" si="3"/>
        <v>0</v>
      </c>
      <c r="P23" s="20">
        <f t="shared" si="4"/>
        <v>-6.258741258741253</v>
      </c>
      <c r="Q23" s="21">
        <f t="shared" si="5"/>
        <v>0.95931818181818185</v>
      </c>
      <c r="R23" s="172"/>
      <c r="S23" s="28">
        <v>0.74861111111111112</v>
      </c>
      <c r="T23" s="28">
        <v>0.77916666666666667</v>
      </c>
      <c r="U23" s="4">
        <f t="shared" si="18"/>
        <v>7.9999999999999716</v>
      </c>
      <c r="V23" s="22">
        <f t="shared" si="17"/>
        <v>44</v>
      </c>
      <c r="W23" s="23"/>
      <c r="X23" s="4"/>
      <c r="Y23" s="4"/>
      <c r="Z23" s="4"/>
      <c r="AA23" s="164"/>
      <c r="AB23" s="164"/>
      <c r="AC23" s="25"/>
      <c r="AD23" s="25"/>
      <c r="AE23" s="19">
        <f t="shared" si="7"/>
        <v>-81.363636363636488</v>
      </c>
      <c r="AF23" s="21">
        <f t="shared" si="8"/>
        <v>0.95931818181818174</v>
      </c>
      <c r="AG23" s="172"/>
    </row>
    <row r="24" spans="1:33" ht="15.75" customHeight="1">
      <c r="A24" s="195" t="s">
        <v>2386</v>
      </c>
      <c r="B24" s="37" t="s">
        <v>78</v>
      </c>
      <c r="C24" s="190" t="s">
        <v>99</v>
      </c>
      <c r="D24" s="190"/>
      <c r="E24" s="37">
        <v>53.68</v>
      </c>
      <c r="F24" s="4">
        <v>1483</v>
      </c>
      <c r="G24" s="4">
        <v>79607.44</v>
      </c>
      <c r="H24" s="22" t="s">
        <v>139</v>
      </c>
      <c r="I24" s="16">
        <v>16</v>
      </c>
      <c r="J24" s="18">
        <v>1500</v>
      </c>
      <c r="K24" s="17">
        <f t="shared" si="0"/>
        <v>93.75</v>
      </c>
      <c r="L24" s="16">
        <v>16</v>
      </c>
      <c r="M24" s="18">
        <f t="shared" si="16"/>
        <v>1435.1612903225821</v>
      </c>
      <c r="N24" s="17">
        <f t="shared" si="2"/>
        <v>89.697580645161381</v>
      </c>
      <c r="O24" s="19">
        <f t="shared" si="3"/>
        <v>0</v>
      </c>
      <c r="P24" s="20">
        <f t="shared" si="4"/>
        <v>-4.0524193548386194</v>
      </c>
      <c r="Q24" s="21">
        <f t="shared" si="5"/>
        <v>0.95677419354838811</v>
      </c>
      <c r="R24" s="172"/>
      <c r="S24" s="28">
        <v>0.78402777777777777</v>
      </c>
      <c r="T24" s="28">
        <v>0.82708333333333328</v>
      </c>
      <c r="U24" s="4">
        <f t="shared" si="18"/>
        <v>6.9999999999999751</v>
      </c>
      <c r="V24" s="22">
        <f t="shared" si="17"/>
        <v>61.999999999999943</v>
      </c>
      <c r="W24" s="23"/>
      <c r="X24" s="23"/>
      <c r="Y24" s="4"/>
      <c r="Z24" s="4"/>
      <c r="AA24" s="164"/>
      <c r="AB24" s="164"/>
      <c r="AC24" s="25"/>
      <c r="AD24" s="25"/>
      <c r="AE24" s="19">
        <f t="shared" si="7"/>
        <v>-64.83870967741791</v>
      </c>
      <c r="AF24" s="21">
        <f t="shared" si="8"/>
        <v>0.95677419354838811</v>
      </c>
      <c r="AG24" s="172"/>
    </row>
    <row r="25" spans="1:33" ht="15.75" customHeight="1">
      <c r="A25" s="195" t="s">
        <v>2386</v>
      </c>
      <c r="B25" s="37" t="s">
        <v>51</v>
      </c>
      <c r="C25" s="177"/>
      <c r="D25" s="177"/>
      <c r="E25" s="38"/>
      <c r="F25" s="4"/>
      <c r="G25" s="4"/>
      <c r="H25" s="4"/>
      <c r="I25" s="30">
        <v>14.8</v>
      </c>
      <c r="J25" s="18">
        <v>1900</v>
      </c>
      <c r="K25" s="17">
        <f t="shared" si="0"/>
        <v>128.37837837837839</v>
      </c>
      <c r="L25" s="30">
        <v>14.8</v>
      </c>
      <c r="M25" s="18">
        <f>AVERAGE(M20:M24)</f>
        <v>1819.7608494731078</v>
      </c>
      <c r="N25" s="17">
        <f t="shared" si="2"/>
        <v>122.95681415358835</v>
      </c>
      <c r="O25" s="19">
        <f t="shared" si="3"/>
        <v>0</v>
      </c>
      <c r="P25" s="20">
        <f t="shared" si="4"/>
        <v>-5.421564224790032</v>
      </c>
      <c r="Q25" s="21">
        <f t="shared" si="5"/>
        <v>0.95776886814374085</v>
      </c>
      <c r="R25" s="172"/>
      <c r="S25" s="28"/>
      <c r="T25" s="28"/>
      <c r="U25" s="17"/>
      <c r="V25" s="22"/>
      <c r="W25" s="17"/>
      <c r="X25" s="17"/>
      <c r="Y25" s="31">
        <f>SUM(Y20:Y24)</f>
        <v>0</v>
      </c>
      <c r="Z25" s="31">
        <f>SUM(Z20:Z24)</f>
        <v>0</v>
      </c>
      <c r="AA25" s="168"/>
      <c r="AB25" s="168"/>
      <c r="AC25" s="31">
        <v>5</v>
      </c>
      <c r="AD25" s="31">
        <f>SUM(AD20:AD24)</f>
        <v>0</v>
      </c>
      <c r="AE25" s="19">
        <f t="shared" si="7"/>
        <v>-80.239150526892217</v>
      </c>
      <c r="AF25" s="21">
        <f t="shared" si="8"/>
        <v>0.95776886814374096</v>
      </c>
      <c r="AG25" s="172"/>
    </row>
    <row r="26" spans="1:33" ht="15.75" customHeight="1">
      <c r="A26" s="193" t="s">
        <v>61</v>
      </c>
      <c r="B26" s="37" t="s">
        <v>100</v>
      </c>
      <c r="C26" s="190" t="s">
        <v>101</v>
      </c>
      <c r="D26" s="190"/>
      <c r="E26" s="37">
        <v>31.29</v>
      </c>
      <c r="F26" s="4">
        <v>7481</v>
      </c>
      <c r="G26" s="4">
        <v>234080.49</v>
      </c>
      <c r="H26" s="22" t="s">
        <v>139</v>
      </c>
      <c r="I26" s="16">
        <v>18</v>
      </c>
      <c r="J26" s="18">
        <v>2400</v>
      </c>
      <c r="K26" s="17">
        <f t="shared" si="0"/>
        <v>133.33333333333334</v>
      </c>
      <c r="L26" s="16">
        <v>18</v>
      </c>
      <c r="M26" s="18">
        <f t="shared" ref="M26:M30" si="19">F26/V26*60</f>
        <v>2290.1020408163272</v>
      </c>
      <c r="N26" s="17">
        <f t="shared" si="2"/>
        <v>127.22789115646262</v>
      </c>
      <c r="O26" s="19">
        <f t="shared" si="3"/>
        <v>0</v>
      </c>
      <c r="P26" s="20">
        <f t="shared" si="4"/>
        <v>-6.1054421768707243</v>
      </c>
      <c r="Q26" s="21">
        <f t="shared" si="5"/>
        <v>0.95420918367346952</v>
      </c>
      <c r="R26" s="172">
        <f>Q31</f>
        <v>0.95974308178279855</v>
      </c>
      <c r="S26" s="28">
        <v>0.125</v>
      </c>
      <c r="T26" s="28">
        <v>0.26111111111111107</v>
      </c>
      <c r="U26" s="4"/>
      <c r="V26" s="22">
        <f t="shared" ref="V26:V30" si="20">(T26-S26)*24*60</f>
        <v>195.99999999999994</v>
      </c>
      <c r="W26" s="23">
        <f>T26</f>
        <v>0.26111111111111107</v>
      </c>
      <c r="X26" s="23">
        <f>S27</f>
        <v>0.27986111111111106</v>
      </c>
      <c r="Y26" s="23"/>
      <c r="Z26" s="23"/>
      <c r="AA26" s="164"/>
      <c r="AB26" s="164"/>
      <c r="AC26" s="25">
        <v>5</v>
      </c>
      <c r="AD26" s="25"/>
      <c r="AE26" s="19">
        <f t="shared" si="7"/>
        <v>-109.89795918367281</v>
      </c>
      <c r="AF26" s="21">
        <f t="shared" si="8"/>
        <v>0.95420918367346963</v>
      </c>
      <c r="AG26" s="172">
        <f>AF31</f>
        <v>0.95974308178279844</v>
      </c>
    </row>
    <row r="27" spans="1:33" ht="15.75" customHeight="1">
      <c r="A27" s="193" t="s">
        <v>61</v>
      </c>
      <c r="B27" s="37" t="s">
        <v>100</v>
      </c>
      <c r="C27" s="190" t="s">
        <v>105</v>
      </c>
      <c r="D27" s="190"/>
      <c r="E27" s="37">
        <v>25.98</v>
      </c>
      <c r="F27" s="4">
        <v>2396</v>
      </c>
      <c r="G27" s="4">
        <v>62248.08</v>
      </c>
      <c r="H27" s="22" t="s">
        <v>139</v>
      </c>
      <c r="I27" s="16">
        <v>21</v>
      </c>
      <c r="J27" s="18">
        <v>2400</v>
      </c>
      <c r="K27" s="17">
        <f t="shared" si="0"/>
        <v>114.28571428571429</v>
      </c>
      <c r="L27" s="16">
        <v>21</v>
      </c>
      <c r="M27" s="18">
        <f t="shared" si="19"/>
        <v>2318.7096774193542</v>
      </c>
      <c r="N27" s="17">
        <f t="shared" si="2"/>
        <v>110.41474654377878</v>
      </c>
      <c r="O27" s="19">
        <f t="shared" si="3"/>
        <v>0</v>
      </c>
      <c r="P27" s="20">
        <f t="shared" si="4"/>
        <v>-3.870967741935516</v>
      </c>
      <c r="Q27" s="21">
        <f t="shared" si="5"/>
        <v>0.96612903225806424</v>
      </c>
      <c r="R27" s="172"/>
      <c r="S27" s="28">
        <v>0.27986111111111106</v>
      </c>
      <c r="T27" s="28">
        <v>0.32291666666666663</v>
      </c>
      <c r="U27" s="4">
        <f t="shared" ref="U27:U30" si="21">(S27-T26)*24*60</f>
        <v>26.999999999999986</v>
      </c>
      <c r="V27" s="22">
        <f t="shared" si="20"/>
        <v>62.000000000000021</v>
      </c>
      <c r="W27" s="23"/>
      <c r="X27" s="23"/>
      <c r="Y27" s="23"/>
      <c r="Z27" s="23"/>
      <c r="AA27" s="164"/>
      <c r="AB27" s="164"/>
      <c r="AC27" s="25"/>
      <c r="AD27" s="25"/>
      <c r="AE27" s="19">
        <f t="shared" si="7"/>
        <v>-81.290322580645807</v>
      </c>
      <c r="AF27" s="21">
        <f t="shared" si="8"/>
        <v>0.96612903225806424</v>
      </c>
      <c r="AG27" s="172"/>
    </row>
    <row r="28" spans="1:33" ht="15.75" customHeight="1">
      <c r="A28" s="193" t="s">
        <v>2387</v>
      </c>
      <c r="B28" s="37" t="s">
        <v>100</v>
      </c>
      <c r="C28" s="190" t="s">
        <v>102</v>
      </c>
      <c r="D28" s="190"/>
      <c r="E28" s="37">
        <v>26.2</v>
      </c>
      <c r="F28" s="4">
        <v>4577</v>
      </c>
      <c r="G28" s="4">
        <v>119917.4</v>
      </c>
      <c r="H28" s="22" t="s">
        <v>139</v>
      </c>
      <c r="I28" s="16">
        <v>20</v>
      </c>
      <c r="J28" s="18">
        <v>2400</v>
      </c>
      <c r="K28" s="17">
        <f t="shared" si="0"/>
        <v>120</v>
      </c>
      <c r="L28" s="16">
        <v>20</v>
      </c>
      <c r="M28" s="18">
        <f t="shared" si="19"/>
        <v>2288.5000000000005</v>
      </c>
      <c r="N28" s="17">
        <f t="shared" si="2"/>
        <v>114.42500000000003</v>
      </c>
      <c r="O28" s="19">
        <f t="shared" si="3"/>
        <v>0</v>
      </c>
      <c r="P28" s="20">
        <f t="shared" si="4"/>
        <v>-5.5749999999999744</v>
      </c>
      <c r="Q28" s="21">
        <f t="shared" si="5"/>
        <v>0.95354166666666684</v>
      </c>
      <c r="R28" s="172"/>
      <c r="S28" s="28">
        <v>0.32777777777777772</v>
      </c>
      <c r="T28" s="28">
        <v>0.41111111111111104</v>
      </c>
      <c r="U28" s="4">
        <f t="shared" si="21"/>
        <v>6.9999999999999751</v>
      </c>
      <c r="V28" s="22">
        <f t="shared" si="20"/>
        <v>119.99999999999997</v>
      </c>
      <c r="W28" s="23"/>
      <c r="X28" s="23"/>
      <c r="Y28" s="23"/>
      <c r="Z28" s="23"/>
      <c r="AA28" s="164"/>
      <c r="AB28" s="164"/>
      <c r="AC28" s="25"/>
      <c r="AD28" s="25"/>
      <c r="AE28" s="19">
        <f t="shared" si="7"/>
        <v>-111.49999999999955</v>
      </c>
      <c r="AF28" s="21">
        <f t="shared" si="8"/>
        <v>0.95354166666666684</v>
      </c>
      <c r="AG28" s="172"/>
    </row>
    <row r="29" spans="1:33" ht="15.75" customHeight="1">
      <c r="A29" s="193" t="s">
        <v>61</v>
      </c>
      <c r="B29" s="37" t="s">
        <v>100</v>
      </c>
      <c r="C29" s="190" t="s">
        <v>103</v>
      </c>
      <c r="D29" s="190"/>
      <c r="E29" s="37">
        <v>25.99</v>
      </c>
      <c r="F29" s="4">
        <v>3355</v>
      </c>
      <c r="G29" s="4">
        <v>87196.45</v>
      </c>
      <c r="H29" s="22" t="s">
        <v>139</v>
      </c>
      <c r="I29" s="16">
        <v>14</v>
      </c>
      <c r="J29" s="18">
        <v>2400</v>
      </c>
      <c r="K29" s="17">
        <f t="shared" si="0"/>
        <v>171.42857142857142</v>
      </c>
      <c r="L29" s="16">
        <v>14</v>
      </c>
      <c r="M29" s="18">
        <f t="shared" si="19"/>
        <v>2287.5</v>
      </c>
      <c r="N29" s="17">
        <f t="shared" si="2"/>
        <v>163.39285714285714</v>
      </c>
      <c r="O29" s="19">
        <f t="shared" si="3"/>
        <v>0</v>
      </c>
      <c r="P29" s="20">
        <f t="shared" si="4"/>
        <v>-8.0357142857142776</v>
      </c>
      <c r="Q29" s="21">
        <f t="shared" si="5"/>
        <v>0.953125</v>
      </c>
      <c r="R29" s="172"/>
      <c r="S29" s="28">
        <v>0.41597222222222213</v>
      </c>
      <c r="T29" s="28">
        <v>0.47708333333333325</v>
      </c>
      <c r="U29" s="4">
        <f t="shared" si="21"/>
        <v>6.9999999999999751</v>
      </c>
      <c r="V29" s="22">
        <f t="shared" si="20"/>
        <v>88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7"/>
        <v>-112.5</v>
      </c>
      <c r="AF29" s="21">
        <f t="shared" si="8"/>
        <v>0.953125</v>
      </c>
      <c r="AG29" s="172"/>
    </row>
    <row r="30" spans="1:33" ht="15.75" customHeight="1">
      <c r="A30" s="193" t="s">
        <v>61</v>
      </c>
      <c r="B30" s="37" t="s">
        <v>100</v>
      </c>
      <c r="C30" s="190" t="s">
        <v>107</v>
      </c>
      <c r="D30" s="190"/>
      <c r="E30" s="37">
        <v>26.18</v>
      </c>
      <c r="F30" s="4">
        <v>1477</v>
      </c>
      <c r="G30" s="4">
        <v>38667.86</v>
      </c>
      <c r="H30" s="22" t="s">
        <v>139</v>
      </c>
      <c r="I30" s="16">
        <v>19</v>
      </c>
      <c r="J30" s="18">
        <v>2400</v>
      </c>
      <c r="K30" s="17">
        <f t="shared" si="0"/>
        <v>126.31578947368421</v>
      </c>
      <c r="L30" s="16">
        <v>19</v>
      </c>
      <c r="M30" s="18">
        <f t="shared" si="19"/>
        <v>2332.1052631578982</v>
      </c>
      <c r="N30" s="17">
        <f t="shared" si="2"/>
        <v>122.74238227146833</v>
      </c>
      <c r="O30" s="19">
        <f t="shared" si="3"/>
        <v>0</v>
      </c>
      <c r="P30" s="20">
        <f t="shared" si="4"/>
        <v>-3.5734072022158756</v>
      </c>
      <c r="Q30" s="21">
        <f t="shared" si="5"/>
        <v>0.97171052631579102</v>
      </c>
      <c r="R30" s="172"/>
      <c r="S30" s="28">
        <v>0.48263888888888878</v>
      </c>
      <c r="T30" s="28">
        <v>0.50902777777777763</v>
      </c>
      <c r="U30" s="4">
        <f t="shared" si="21"/>
        <v>7.9999999999999716</v>
      </c>
      <c r="V30" s="22">
        <f t="shared" si="20"/>
        <v>37.999999999999943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7"/>
        <v>-67.894736842101793</v>
      </c>
      <c r="AF30" s="21">
        <f t="shared" si="8"/>
        <v>0.97171052631579091</v>
      </c>
      <c r="AG30" s="172"/>
    </row>
    <row r="31" spans="1:33" ht="15.75" customHeight="1">
      <c r="A31" s="193" t="s">
        <v>61</v>
      </c>
      <c r="B31" s="37" t="s">
        <v>2380</v>
      </c>
      <c r="C31" s="177"/>
      <c r="D31" s="177"/>
      <c r="E31" s="38"/>
      <c r="F31" s="4"/>
      <c r="G31" s="4"/>
      <c r="H31" s="4"/>
      <c r="I31" s="30">
        <v>18.399999999999999</v>
      </c>
      <c r="J31" s="18">
        <v>2400</v>
      </c>
      <c r="K31" s="17">
        <f t="shared" si="0"/>
        <v>130.43478260869566</v>
      </c>
      <c r="L31" s="30">
        <v>18.399999999999999</v>
      </c>
      <c r="M31" s="18">
        <f>AVERAGE(M26:M30)</f>
        <v>2303.3833962787162</v>
      </c>
      <c r="N31" s="17">
        <f t="shared" si="2"/>
        <v>125.18388023253894</v>
      </c>
      <c r="O31" s="19">
        <f t="shared" si="3"/>
        <v>0</v>
      </c>
      <c r="P31" s="20">
        <f t="shared" si="4"/>
        <v>-5.2509023761567164</v>
      </c>
      <c r="Q31" s="21">
        <f t="shared" si="5"/>
        <v>0.95974308178279855</v>
      </c>
      <c r="R31" s="172"/>
      <c r="S31" s="28"/>
      <c r="T31" s="28"/>
      <c r="U31" s="4"/>
      <c r="V31" s="22"/>
      <c r="W31" s="4"/>
      <c r="X31" s="4"/>
      <c r="Y31" s="31">
        <f>SUM(Y26:Y30)</f>
        <v>0</v>
      </c>
      <c r="Z31" s="31">
        <f>SUM(Z26:Z30)</f>
        <v>0</v>
      </c>
      <c r="AA31" s="168"/>
      <c r="AB31" s="168"/>
      <c r="AC31" s="31">
        <v>5</v>
      </c>
      <c r="AD31" s="31">
        <f>SUM(AD26:AD30)</f>
        <v>0</v>
      </c>
      <c r="AE31" s="19">
        <f t="shared" si="7"/>
        <v>-96.616603721283809</v>
      </c>
      <c r="AF31" s="21">
        <f t="shared" si="8"/>
        <v>0.95974308178279844</v>
      </c>
      <c r="AG31" s="172"/>
    </row>
    <row r="32" spans="1:33" ht="15.75" customHeight="1">
      <c r="A32" s="191" t="s">
        <v>64</v>
      </c>
      <c r="B32" s="37" t="s">
        <v>100</v>
      </c>
      <c r="C32" s="165" t="s">
        <v>106</v>
      </c>
      <c r="D32" s="165"/>
      <c r="E32" s="37">
        <v>26.2</v>
      </c>
      <c r="F32" s="4">
        <v>5226</v>
      </c>
      <c r="G32" s="4">
        <v>136921.19999999998</v>
      </c>
      <c r="H32" s="22" t="s">
        <v>139</v>
      </c>
      <c r="I32" s="16">
        <v>18</v>
      </c>
      <c r="J32" s="18">
        <v>2400</v>
      </c>
      <c r="K32" s="17">
        <f t="shared" si="0"/>
        <v>133.33333333333334</v>
      </c>
      <c r="L32" s="16">
        <v>18</v>
      </c>
      <c r="M32" s="18">
        <f t="shared" ref="M32:M36" si="22">F32/V32*60</f>
        <v>2288.7591240875913</v>
      </c>
      <c r="N32" s="17">
        <f t="shared" si="2"/>
        <v>127.15328467153284</v>
      </c>
      <c r="O32" s="19">
        <f t="shared" si="3"/>
        <v>0</v>
      </c>
      <c r="P32" s="20">
        <f t="shared" si="4"/>
        <v>-6.1800486618004982</v>
      </c>
      <c r="Q32" s="21">
        <f t="shared" si="5"/>
        <v>0.95364963503649625</v>
      </c>
      <c r="R32" s="172">
        <f>Q37</f>
        <v>0.95684781268316788</v>
      </c>
      <c r="S32" s="28">
        <v>0.125</v>
      </c>
      <c r="T32" s="28">
        <v>0.22013888888888888</v>
      </c>
      <c r="U32" s="4"/>
      <c r="V32" s="22">
        <f t="shared" ref="V32:V36" si="23">(T32-S32)*24*60</f>
        <v>137</v>
      </c>
      <c r="W32" s="28">
        <f>T32</f>
        <v>0.22013888888888888</v>
      </c>
      <c r="X32" s="28">
        <f>S33</f>
        <v>0.24027777777777778</v>
      </c>
      <c r="Y32" s="28"/>
      <c r="Z32" s="28"/>
      <c r="AA32" s="164"/>
      <c r="AB32" s="164"/>
      <c r="AC32" s="25">
        <v>5</v>
      </c>
      <c r="AD32" s="25"/>
      <c r="AE32" s="19">
        <f t="shared" si="7"/>
        <v>-111.24087591240868</v>
      </c>
      <c r="AF32" s="21">
        <f t="shared" si="8"/>
        <v>0.95364963503649636</v>
      </c>
      <c r="AG32" s="172">
        <f>AF37</f>
        <v>0.95684781268316788</v>
      </c>
    </row>
    <row r="33" spans="1:33" ht="15.75" customHeight="1">
      <c r="A33" s="191" t="s">
        <v>2388</v>
      </c>
      <c r="B33" s="37" t="s">
        <v>100</v>
      </c>
      <c r="C33" s="165" t="s">
        <v>104</v>
      </c>
      <c r="D33" s="165"/>
      <c r="E33" s="37">
        <v>20.52</v>
      </c>
      <c r="F33" s="4">
        <v>3024</v>
      </c>
      <c r="G33" s="4">
        <v>62052.479999999996</v>
      </c>
      <c r="H33" s="22" t="s">
        <v>139</v>
      </c>
      <c r="I33" s="16">
        <v>18</v>
      </c>
      <c r="J33" s="18">
        <v>2400</v>
      </c>
      <c r="K33" s="17">
        <f t="shared" si="0"/>
        <v>133.33333333333334</v>
      </c>
      <c r="L33" s="16">
        <v>18</v>
      </c>
      <c r="M33" s="18">
        <f t="shared" si="22"/>
        <v>2296.7088607594937</v>
      </c>
      <c r="N33" s="17">
        <f t="shared" si="2"/>
        <v>127.59493670886076</v>
      </c>
      <c r="O33" s="19">
        <f t="shared" si="3"/>
        <v>0</v>
      </c>
      <c r="P33" s="20">
        <f t="shared" si="4"/>
        <v>-5.7383966244725855</v>
      </c>
      <c r="Q33" s="21">
        <f t="shared" si="5"/>
        <v>0.95696202531645558</v>
      </c>
      <c r="R33" s="172"/>
      <c r="S33" s="28">
        <v>0.24027777777777778</v>
      </c>
      <c r="T33" s="28">
        <v>0.2951388888888889</v>
      </c>
      <c r="U33" s="4">
        <f t="shared" ref="U33:U36" si="24">(S33-T32)*24*60</f>
        <v>29.000000000000018</v>
      </c>
      <c r="V33" s="22">
        <f t="shared" si="23"/>
        <v>79</v>
      </c>
      <c r="W33" s="4"/>
      <c r="X33" s="4"/>
      <c r="Y33" s="4"/>
      <c r="Z33" s="4"/>
      <c r="AA33" s="164"/>
      <c r="AB33" s="164"/>
      <c r="AC33" s="25"/>
      <c r="AD33" s="25"/>
      <c r="AE33" s="19">
        <f t="shared" si="7"/>
        <v>-103.29113924050625</v>
      </c>
      <c r="AF33" s="21">
        <f t="shared" si="8"/>
        <v>0.95696202531645569</v>
      </c>
      <c r="AG33" s="172"/>
    </row>
    <row r="34" spans="1:33">
      <c r="A34" s="192" t="s">
        <v>2388</v>
      </c>
      <c r="B34" s="37" t="s">
        <v>100</v>
      </c>
      <c r="C34" s="165" t="s">
        <v>108</v>
      </c>
      <c r="D34" s="165"/>
      <c r="E34" s="37">
        <v>26.39</v>
      </c>
      <c r="F34" s="4">
        <v>4734</v>
      </c>
      <c r="G34" s="4">
        <v>124930.26000000001</v>
      </c>
      <c r="H34" s="22" t="s">
        <v>139</v>
      </c>
      <c r="I34" s="16">
        <v>19</v>
      </c>
      <c r="J34" s="18">
        <v>2400</v>
      </c>
      <c r="K34" s="17">
        <f t="shared" si="0"/>
        <v>126.31578947368421</v>
      </c>
      <c r="L34" s="16">
        <v>19</v>
      </c>
      <c r="M34" s="18">
        <f t="shared" si="22"/>
        <v>2290.645161290322</v>
      </c>
      <c r="N34" s="17">
        <f t="shared" si="2"/>
        <v>120.56027164685905</v>
      </c>
      <c r="O34" s="19">
        <f t="shared" si="3"/>
        <v>0</v>
      </c>
      <c r="P34" s="20">
        <f t="shared" si="4"/>
        <v>-5.7555178268251552</v>
      </c>
      <c r="Q34" s="21">
        <f t="shared" si="5"/>
        <v>0.95443548387096755</v>
      </c>
      <c r="R34" s="172"/>
      <c r="S34" s="28">
        <v>0.30069444444444443</v>
      </c>
      <c r="T34" s="28">
        <v>0.38680555555555557</v>
      </c>
      <c r="U34" s="4">
        <f t="shared" si="24"/>
        <v>7.9999999999999716</v>
      </c>
      <c r="V34" s="22">
        <f t="shared" si="23"/>
        <v>124.00000000000004</v>
      </c>
      <c r="W34" s="4"/>
      <c r="X34" s="4"/>
      <c r="Y34" s="4"/>
      <c r="Z34" s="4"/>
      <c r="AA34" s="164"/>
      <c r="AB34" s="164"/>
      <c r="AC34" s="25"/>
      <c r="AD34" s="25"/>
      <c r="AE34" s="19">
        <f t="shared" si="7"/>
        <v>-109.35483870967801</v>
      </c>
      <c r="AF34" s="21">
        <f t="shared" si="8"/>
        <v>0.95443548387096755</v>
      </c>
      <c r="AG34" s="172"/>
    </row>
    <row r="35" spans="1:33">
      <c r="A35" s="192" t="s">
        <v>64</v>
      </c>
      <c r="B35" s="37" t="s">
        <v>100</v>
      </c>
      <c r="C35" s="165" t="s">
        <v>137</v>
      </c>
      <c r="D35" s="165"/>
      <c r="E35" s="37">
        <v>20.21</v>
      </c>
      <c r="F35" s="4">
        <v>2752</v>
      </c>
      <c r="G35" s="4">
        <v>55617.920000000006</v>
      </c>
      <c r="H35" s="22" t="s">
        <v>139</v>
      </c>
      <c r="I35" s="16">
        <v>15</v>
      </c>
      <c r="J35" s="18">
        <v>2400</v>
      </c>
      <c r="K35" s="17">
        <f t="shared" si="0"/>
        <v>160</v>
      </c>
      <c r="L35" s="16">
        <v>15</v>
      </c>
      <c r="M35" s="18">
        <f t="shared" si="22"/>
        <v>2293.3333333333339</v>
      </c>
      <c r="N35" s="17">
        <f t="shared" si="2"/>
        <v>152.88888888888894</v>
      </c>
      <c r="O35" s="19">
        <f t="shared" si="3"/>
        <v>0</v>
      </c>
      <c r="P35" s="20">
        <f t="shared" si="4"/>
        <v>-7.1111111111110574</v>
      </c>
      <c r="Q35" s="21">
        <f t="shared" si="5"/>
        <v>0.95555555555555594</v>
      </c>
      <c r="R35" s="172"/>
      <c r="S35" s="28">
        <v>0.39027777777777778</v>
      </c>
      <c r="T35" s="28">
        <v>0.44027777777777777</v>
      </c>
      <c r="U35" s="4">
        <f t="shared" si="24"/>
        <v>4.9999999999999822</v>
      </c>
      <c r="V35" s="22">
        <f t="shared" si="23"/>
        <v>71.999999999999986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7"/>
        <v>-106.66666666666606</v>
      </c>
      <c r="AF35" s="21">
        <f t="shared" si="8"/>
        <v>0.95555555555555582</v>
      </c>
      <c r="AG35" s="172"/>
    </row>
    <row r="36" spans="1:33">
      <c r="A36" s="192" t="s">
        <v>2388</v>
      </c>
      <c r="B36" s="37" t="s">
        <v>100</v>
      </c>
      <c r="C36" s="165" t="s">
        <v>134</v>
      </c>
      <c r="D36" s="165"/>
      <c r="E36" s="37">
        <v>20.52</v>
      </c>
      <c r="F36" s="4">
        <v>2544</v>
      </c>
      <c r="G36" s="4">
        <v>52202.879999999997</v>
      </c>
      <c r="H36" s="22" t="s">
        <v>139</v>
      </c>
      <c r="I36" s="16">
        <v>18</v>
      </c>
      <c r="J36" s="18">
        <v>2400</v>
      </c>
      <c r="K36" s="17">
        <f t="shared" si="0"/>
        <v>133.33333333333334</v>
      </c>
      <c r="L36" s="16">
        <v>18</v>
      </c>
      <c r="M36" s="18">
        <f t="shared" si="22"/>
        <v>2312.727272727273</v>
      </c>
      <c r="N36" s="17">
        <f t="shared" si="2"/>
        <v>128.4848484848485</v>
      </c>
      <c r="O36" s="19">
        <f t="shared" si="3"/>
        <v>0</v>
      </c>
      <c r="P36" s="20">
        <f t="shared" si="4"/>
        <v>-4.8484848484848442</v>
      </c>
      <c r="Q36" s="21">
        <f t="shared" si="5"/>
        <v>0.96363636363636362</v>
      </c>
      <c r="R36" s="172"/>
      <c r="S36" s="28">
        <v>0.44513888888888886</v>
      </c>
      <c r="T36" s="28">
        <v>0.4909722222222222</v>
      </c>
      <c r="U36" s="4">
        <f t="shared" si="24"/>
        <v>6.9999999999999751</v>
      </c>
      <c r="V36" s="22">
        <f t="shared" si="23"/>
        <v>66</v>
      </c>
      <c r="W36" s="23"/>
      <c r="X36" s="23"/>
      <c r="Y36" s="23"/>
      <c r="Z36" s="23"/>
      <c r="AA36" s="164"/>
      <c r="AB36" s="164"/>
      <c r="AC36" s="25"/>
      <c r="AD36" s="25"/>
      <c r="AE36" s="19">
        <f t="shared" si="7"/>
        <v>-87.272727272727025</v>
      </c>
      <c r="AF36" s="21">
        <f t="shared" si="8"/>
        <v>0.96363636363636374</v>
      </c>
      <c r="AG36" s="172"/>
    </row>
    <row r="37" spans="1:33">
      <c r="A37" s="192" t="s">
        <v>2388</v>
      </c>
      <c r="B37" s="17" t="s">
        <v>2380</v>
      </c>
      <c r="C37" s="177"/>
      <c r="D37" s="177"/>
      <c r="E37" s="38"/>
      <c r="F37" s="17"/>
      <c r="G37" s="17"/>
      <c r="H37" s="4"/>
      <c r="I37" s="30">
        <v>17.600000000000001</v>
      </c>
      <c r="J37" s="18">
        <v>2400</v>
      </c>
      <c r="K37" s="17">
        <f t="shared" si="0"/>
        <v>136.36363636363635</v>
      </c>
      <c r="L37" s="30">
        <v>17.600000000000001</v>
      </c>
      <c r="M37" s="18">
        <f>AVERAGE(M32:M36)</f>
        <v>2296.4347504396028</v>
      </c>
      <c r="N37" s="17">
        <f t="shared" si="2"/>
        <v>130.47924718406833</v>
      </c>
      <c r="O37" s="19">
        <f t="shared" si="3"/>
        <v>0</v>
      </c>
      <c r="P37" s="20">
        <f t="shared" si="4"/>
        <v>-5.8843891795680179</v>
      </c>
      <c r="Q37" s="21">
        <f t="shared" si="5"/>
        <v>0.95684781268316788</v>
      </c>
      <c r="R37" s="172"/>
      <c r="S37" s="28"/>
      <c r="T37" s="28"/>
      <c r="U37" s="17"/>
      <c r="V37" s="22"/>
      <c r="W37" s="17"/>
      <c r="X37" s="17"/>
      <c r="Y37" s="31">
        <f>SUM(Y32:Y36)</f>
        <v>0</v>
      </c>
      <c r="Z37" s="31">
        <f>SUM(Z32:Z36)</f>
        <v>0</v>
      </c>
      <c r="AA37" s="168"/>
      <c r="AB37" s="168"/>
      <c r="AC37" s="31">
        <v>5</v>
      </c>
      <c r="AD37" s="31">
        <f>SUM(AD32:AD36)</f>
        <v>0</v>
      </c>
      <c r="AE37" s="19">
        <f t="shared" si="7"/>
        <v>-103.56524956039721</v>
      </c>
      <c r="AF37" s="21">
        <f t="shared" si="8"/>
        <v>0.95684781268316788</v>
      </c>
      <c r="AG37" s="172"/>
    </row>
    <row r="38" spans="1:33" ht="15.75" customHeight="1">
      <c r="A38" s="184" t="s">
        <v>67</v>
      </c>
      <c r="B38" s="37" t="s">
        <v>111</v>
      </c>
      <c r="C38" s="173" t="s">
        <v>403</v>
      </c>
      <c r="D38" s="174"/>
      <c r="E38" s="37">
        <v>34.36</v>
      </c>
      <c r="F38" s="4">
        <v>2058</v>
      </c>
      <c r="G38" s="4">
        <v>70712.88</v>
      </c>
      <c r="H38" s="22" t="s">
        <v>139</v>
      </c>
      <c r="I38" s="16">
        <v>10</v>
      </c>
      <c r="J38" s="18">
        <v>3000</v>
      </c>
      <c r="K38" s="17">
        <f t="shared" si="0"/>
        <v>300</v>
      </c>
      <c r="L38" s="16">
        <v>10</v>
      </c>
      <c r="M38" s="18">
        <f t="shared" ref="M38:M45" si="25">F38/V38*60</f>
        <v>2871.6279069767434</v>
      </c>
      <c r="N38" s="18">
        <f t="shared" si="2"/>
        <v>287.16279069767432</v>
      </c>
      <c r="O38" s="19">
        <f t="shared" si="3"/>
        <v>0</v>
      </c>
      <c r="P38" s="20">
        <f t="shared" si="4"/>
        <v>-12.837209302325675</v>
      </c>
      <c r="Q38" s="21">
        <f t="shared" si="5"/>
        <v>0.9572093023255811</v>
      </c>
      <c r="R38" s="187">
        <f>Q46</f>
        <v>0.9596524742568141</v>
      </c>
      <c r="S38" s="28">
        <v>0.20833333333333334</v>
      </c>
      <c r="T38" s="28">
        <v>0.23819444444444446</v>
      </c>
      <c r="U38" s="28"/>
      <c r="V38" s="22">
        <f t="shared" ref="V38:V45" si="26">(T38-S38)*24*60</f>
        <v>43.000000000000007</v>
      </c>
      <c r="W38" s="23"/>
      <c r="X38" s="23"/>
      <c r="Y38" s="26"/>
      <c r="Z38" s="26"/>
      <c r="AA38" s="175"/>
      <c r="AB38" s="176"/>
      <c r="AC38" s="25">
        <v>8</v>
      </c>
      <c r="AD38" s="25"/>
      <c r="AE38" s="19">
        <f t="shared" si="7"/>
        <v>-128.37209302325664</v>
      </c>
      <c r="AF38" s="21">
        <f t="shared" si="8"/>
        <v>0.9572093023255811</v>
      </c>
      <c r="AG38" s="187">
        <f>AF46</f>
        <v>0.9596524742568141</v>
      </c>
    </row>
    <row r="39" spans="1:33" ht="15.75" customHeight="1">
      <c r="A39" s="185" t="s">
        <v>67</v>
      </c>
      <c r="B39" s="37" t="s">
        <v>111</v>
      </c>
      <c r="C39" s="173" t="s">
        <v>114</v>
      </c>
      <c r="D39" s="174"/>
      <c r="E39" s="37">
        <v>35.119999999999997</v>
      </c>
      <c r="F39" s="4">
        <v>3300</v>
      </c>
      <c r="G39" s="4">
        <v>115895.99999999999</v>
      </c>
      <c r="H39" s="22">
        <v>2</v>
      </c>
      <c r="I39" s="16">
        <v>10</v>
      </c>
      <c r="J39" s="18">
        <v>3000</v>
      </c>
      <c r="K39" s="17">
        <f t="shared" si="0"/>
        <v>300</v>
      </c>
      <c r="L39" s="16">
        <v>10</v>
      </c>
      <c r="M39" s="18">
        <f t="shared" si="25"/>
        <v>2869.5652173913045</v>
      </c>
      <c r="N39" s="18">
        <f t="shared" si="2"/>
        <v>286.95652173913044</v>
      </c>
      <c r="O39" s="19">
        <f t="shared" si="3"/>
        <v>0</v>
      </c>
      <c r="P39" s="20">
        <f t="shared" si="4"/>
        <v>-13.043478260869563</v>
      </c>
      <c r="Q39" s="21">
        <f t="shared" si="5"/>
        <v>0.95652173913043481</v>
      </c>
      <c r="R39" s="188"/>
      <c r="S39" s="28">
        <v>0.24375000000000002</v>
      </c>
      <c r="T39" s="28">
        <v>0.29166666666666669</v>
      </c>
      <c r="U39" s="4">
        <f t="shared" ref="U39:U45" si="27">(S39-T38)*24*60</f>
        <v>8.0000000000000107</v>
      </c>
      <c r="V39" s="22">
        <f t="shared" si="26"/>
        <v>69</v>
      </c>
      <c r="W39" s="23"/>
      <c r="X39" s="23"/>
      <c r="Y39" s="26"/>
      <c r="Z39" s="26"/>
      <c r="AA39" s="175"/>
      <c r="AB39" s="176"/>
      <c r="AC39" s="25"/>
      <c r="AD39" s="25"/>
      <c r="AE39" s="19">
        <f t="shared" si="7"/>
        <v>-130.43478260869551</v>
      </c>
      <c r="AF39" s="21">
        <f t="shared" si="8"/>
        <v>0.95652173913043481</v>
      </c>
      <c r="AG39" s="188"/>
    </row>
    <row r="40" spans="1:33" ht="15.75" customHeight="1">
      <c r="A40" s="185" t="s">
        <v>67</v>
      </c>
      <c r="B40" s="37" t="s">
        <v>111</v>
      </c>
      <c r="C40" s="173" t="s">
        <v>115</v>
      </c>
      <c r="D40" s="174"/>
      <c r="E40" s="37">
        <v>26.78</v>
      </c>
      <c r="F40" s="4">
        <v>2513</v>
      </c>
      <c r="G40" s="4">
        <v>67298.14</v>
      </c>
      <c r="H40" s="22" t="s">
        <v>139</v>
      </c>
      <c r="I40" s="16">
        <v>10</v>
      </c>
      <c r="J40" s="18">
        <v>3000</v>
      </c>
      <c r="K40" s="17">
        <f t="shared" si="0"/>
        <v>300</v>
      </c>
      <c r="L40" s="16">
        <v>10</v>
      </c>
      <c r="M40" s="18">
        <f t="shared" si="25"/>
        <v>2899.6153846153861</v>
      </c>
      <c r="N40" s="18">
        <f t="shared" si="2"/>
        <v>289.96153846153862</v>
      </c>
      <c r="O40" s="19">
        <f t="shared" si="3"/>
        <v>0</v>
      </c>
      <c r="P40" s="20">
        <f t="shared" si="4"/>
        <v>-10.038461538461377</v>
      </c>
      <c r="Q40" s="21">
        <f t="shared" si="5"/>
        <v>0.96653846153846212</v>
      </c>
      <c r="R40" s="188"/>
      <c r="S40" s="28">
        <v>0.29652777777777778</v>
      </c>
      <c r="T40" s="28">
        <v>0.33263888888888887</v>
      </c>
      <c r="U40" s="4">
        <f t="shared" si="27"/>
        <v>6.9999999999999751</v>
      </c>
      <c r="V40" s="22">
        <f t="shared" si="26"/>
        <v>51.999999999999972</v>
      </c>
      <c r="W40" s="23"/>
      <c r="X40" s="23"/>
      <c r="Y40" s="26"/>
      <c r="Z40" s="26"/>
      <c r="AA40" s="175"/>
      <c r="AB40" s="176"/>
      <c r="AC40" s="25"/>
      <c r="AD40" s="25"/>
      <c r="AE40" s="19">
        <f t="shared" si="7"/>
        <v>-100.38461538461388</v>
      </c>
      <c r="AF40" s="21">
        <f t="shared" si="8"/>
        <v>0.96653846153846201</v>
      </c>
      <c r="AG40" s="188"/>
    </row>
    <row r="41" spans="1:33" ht="15.75" customHeight="1">
      <c r="A41" s="185" t="s">
        <v>67</v>
      </c>
      <c r="B41" s="37" t="s">
        <v>111</v>
      </c>
      <c r="C41" s="173" t="s">
        <v>112</v>
      </c>
      <c r="D41" s="174"/>
      <c r="E41" s="37">
        <v>21.13</v>
      </c>
      <c r="F41" s="4">
        <v>4524</v>
      </c>
      <c r="G41" s="4">
        <v>95592.12</v>
      </c>
      <c r="H41" s="22" t="s">
        <v>139</v>
      </c>
      <c r="I41" s="16">
        <v>10</v>
      </c>
      <c r="J41" s="18">
        <v>3000</v>
      </c>
      <c r="K41" s="17">
        <f t="shared" si="0"/>
        <v>300</v>
      </c>
      <c r="L41" s="16">
        <v>10</v>
      </c>
      <c r="M41" s="18">
        <f t="shared" si="25"/>
        <v>2857.2631578947371</v>
      </c>
      <c r="N41" s="18">
        <f t="shared" si="2"/>
        <v>285.72631578947369</v>
      </c>
      <c r="O41" s="19">
        <f t="shared" si="3"/>
        <v>0</v>
      </c>
      <c r="P41" s="20">
        <f t="shared" si="4"/>
        <v>-14.273684210526312</v>
      </c>
      <c r="Q41" s="21">
        <f t="shared" si="5"/>
        <v>0.95242105263157895</v>
      </c>
      <c r="R41" s="188"/>
      <c r="S41" s="28">
        <v>0.33611111111111108</v>
      </c>
      <c r="T41" s="28">
        <v>0.40208333333333329</v>
      </c>
      <c r="U41" s="4">
        <f t="shared" si="27"/>
        <v>4.9999999999999822</v>
      </c>
      <c r="V41" s="22">
        <f t="shared" si="26"/>
        <v>94.999999999999986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7"/>
        <v>-142.73684210526289</v>
      </c>
      <c r="AF41" s="21">
        <f t="shared" si="8"/>
        <v>0.95242105263157906</v>
      </c>
      <c r="AG41" s="188"/>
    </row>
    <row r="42" spans="1:33" ht="15.75" customHeight="1">
      <c r="A42" s="185" t="s">
        <v>67</v>
      </c>
      <c r="B42" s="37" t="s">
        <v>111</v>
      </c>
      <c r="C42" s="173" t="s">
        <v>113</v>
      </c>
      <c r="D42" s="174"/>
      <c r="E42" s="37">
        <v>27.17</v>
      </c>
      <c r="F42" s="4">
        <v>3500</v>
      </c>
      <c r="G42" s="4">
        <v>95095</v>
      </c>
      <c r="H42" s="22">
        <v>2</v>
      </c>
      <c r="I42" s="16">
        <v>10</v>
      </c>
      <c r="J42" s="18">
        <v>3000</v>
      </c>
      <c r="K42" s="17">
        <f t="shared" si="0"/>
        <v>300</v>
      </c>
      <c r="L42" s="16">
        <v>10</v>
      </c>
      <c r="M42" s="18">
        <f t="shared" si="25"/>
        <v>2876.7123287671238</v>
      </c>
      <c r="N42" s="18">
        <f t="shared" si="2"/>
        <v>287.67123287671239</v>
      </c>
      <c r="O42" s="19">
        <f t="shared" si="3"/>
        <v>0</v>
      </c>
      <c r="P42" s="20">
        <f t="shared" si="4"/>
        <v>-12.328767123287605</v>
      </c>
      <c r="Q42" s="21">
        <f t="shared" si="5"/>
        <v>0.95890410958904126</v>
      </c>
      <c r="R42" s="188"/>
      <c r="S42" s="28">
        <v>0.40694444444444439</v>
      </c>
      <c r="T42" s="28">
        <v>0.45763888888888882</v>
      </c>
      <c r="U42" s="4">
        <f t="shared" si="27"/>
        <v>6.9999999999999751</v>
      </c>
      <c r="V42" s="22">
        <f t="shared" si="26"/>
        <v>72.999999999999986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7"/>
        <v>-123.28767123287616</v>
      </c>
      <c r="AF42" s="21">
        <f t="shared" si="8"/>
        <v>0.95890410958904126</v>
      </c>
      <c r="AG42" s="188"/>
    </row>
    <row r="43" spans="1:33" ht="15.75" customHeight="1">
      <c r="A43" s="185" t="s">
        <v>2389</v>
      </c>
      <c r="B43" s="37" t="s">
        <v>111</v>
      </c>
      <c r="C43" s="173" t="s">
        <v>116</v>
      </c>
      <c r="D43" s="174"/>
      <c r="E43" s="37">
        <v>35.869999999999997</v>
      </c>
      <c r="F43" s="4">
        <v>3449</v>
      </c>
      <c r="G43" s="4">
        <v>123715.62999999999</v>
      </c>
      <c r="H43" s="22" t="s">
        <v>139</v>
      </c>
      <c r="I43" s="16">
        <v>9</v>
      </c>
      <c r="J43" s="18">
        <v>3000</v>
      </c>
      <c r="K43" s="17">
        <f t="shared" si="0"/>
        <v>333.33333333333331</v>
      </c>
      <c r="L43" s="16">
        <v>9</v>
      </c>
      <c r="M43" s="18">
        <f t="shared" si="25"/>
        <v>2874.1666666666647</v>
      </c>
      <c r="N43" s="18">
        <f t="shared" si="2"/>
        <v>319.35185185185162</v>
      </c>
      <c r="O43" s="19">
        <f t="shared" si="3"/>
        <v>0</v>
      </c>
      <c r="P43" s="20">
        <f t="shared" si="4"/>
        <v>-13.981481481481694</v>
      </c>
      <c r="Q43" s="21">
        <f t="shared" si="5"/>
        <v>0.95805555555555488</v>
      </c>
      <c r="R43" s="188"/>
      <c r="S43" s="28">
        <v>0.46319444444444435</v>
      </c>
      <c r="T43" s="28">
        <v>0.5131944444444444</v>
      </c>
      <c r="U43" s="4">
        <f t="shared" si="27"/>
        <v>7.9999999999999716</v>
      </c>
      <c r="V43" s="22">
        <f t="shared" si="26"/>
        <v>72.000000000000057</v>
      </c>
      <c r="W43" s="23">
        <f>T43</f>
        <v>0.5131944444444444</v>
      </c>
      <c r="X43" s="23">
        <f>S44</f>
        <v>0.55486111111111103</v>
      </c>
      <c r="Y43" s="26"/>
      <c r="Z43" s="26"/>
      <c r="AA43" s="175"/>
      <c r="AB43" s="176"/>
      <c r="AC43" s="25"/>
      <c r="AD43" s="25"/>
      <c r="AE43" s="19">
        <f t="shared" si="7"/>
        <v>-125.8333333333353</v>
      </c>
      <c r="AF43" s="21">
        <f t="shared" si="8"/>
        <v>0.95805555555555488</v>
      </c>
      <c r="AG43" s="188"/>
    </row>
    <row r="44" spans="1:33" ht="15.75" customHeight="1">
      <c r="A44" s="185" t="s">
        <v>2389</v>
      </c>
      <c r="B44" s="37" t="s">
        <v>111</v>
      </c>
      <c r="C44" s="173" t="s">
        <v>113</v>
      </c>
      <c r="D44" s="174"/>
      <c r="E44" s="37">
        <v>27.17</v>
      </c>
      <c r="F44" s="4">
        <v>2375</v>
      </c>
      <c r="G44" s="4">
        <v>64528.750000000007</v>
      </c>
      <c r="H44" s="22" t="s">
        <v>139</v>
      </c>
      <c r="I44" s="16">
        <v>10</v>
      </c>
      <c r="J44" s="18">
        <v>3000</v>
      </c>
      <c r="K44" s="17">
        <f t="shared" si="0"/>
        <v>300</v>
      </c>
      <c r="L44" s="16">
        <v>10</v>
      </c>
      <c r="M44" s="18">
        <f t="shared" si="25"/>
        <v>2908.1632653061233</v>
      </c>
      <c r="N44" s="18">
        <f t="shared" si="2"/>
        <v>290.81632653061234</v>
      </c>
      <c r="O44" s="19">
        <f t="shared" si="3"/>
        <v>0</v>
      </c>
      <c r="P44" s="20">
        <f t="shared" si="4"/>
        <v>-9.1836734693876565</v>
      </c>
      <c r="Q44" s="21">
        <f t="shared" si="5"/>
        <v>0.96938775510204112</v>
      </c>
      <c r="R44" s="188"/>
      <c r="S44" s="28">
        <v>0.55486111111111103</v>
      </c>
      <c r="T44" s="28">
        <v>0.5888888888888888</v>
      </c>
      <c r="U44" s="4">
        <f t="shared" si="27"/>
        <v>59.999999999999943</v>
      </c>
      <c r="V44" s="22">
        <f t="shared" si="26"/>
        <v>48.999999999999986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7"/>
        <v>-91.836734693876679</v>
      </c>
      <c r="AF44" s="21">
        <f t="shared" si="8"/>
        <v>0.96938775510204112</v>
      </c>
      <c r="AG44" s="188"/>
    </row>
    <row r="45" spans="1:33" ht="15.75" customHeight="1">
      <c r="A45" s="185" t="s">
        <v>2389</v>
      </c>
      <c r="B45" s="37" t="s">
        <v>111</v>
      </c>
      <c r="C45" s="173" t="s">
        <v>114</v>
      </c>
      <c r="D45" s="174"/>
      <c r="E45" s="37">
        <v>35.119999999999997</v>
      </c>
      <c r="F45" s="4">
        <v>2108</v>
      </c>
      <c r="G45" s="4">
        <v>74032.959999999992</v>
      </c>
      <c r="H45" s="22" t="s">
        <v>139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2874.5454545454545</v>
      </c>
      <c r="N45" s="18">
        <f t="shared" si="2"/>
        <v>287.45454545454544</v>
      </c>
      <c r="O45" s="19">
        <f t="shared" si="3"/>
        <v>0</v>
      </c>
      <c r="P45" s="20">
        <f t="shared" si="4"/>
        <v>-12.545454545454561</v>
      </c>
      <c r="Q45" s="21">
        <f t="shared" si="5"/>
        <v>0.95818181818181813</v>
      </c>
      <c r="R45" s="188"/>
      <c r="S45" s="28">
        <v>0.59444444444444433</v>
      </c>
      <c r="T45" s="28">
        <v>0.62499999999999989</v>
      </c>
      <c r="U45" s="4">
        <f t="shared" si="27"/>
        <v>7.9999999999999716</v>
      </c>
      <c r="V45" s="22">
        <f t="shared" si="26"/>
        <v>44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7"/>
        <v>-125.4545454545455</v>
      </c>
      <c r="AF45" s="21">
        <f t="shared" si="8"/>
        <v>0.95818181818181813</v>
      </c>
      <c r="AG45" s="188"/>
    </row>
    <row r="46" spans="1:33" ht="15.75" customHeight="1">
      <c r="A46" s="186" t="s">
        <v>67</v>
      </c>
      <c r="B46" s="37" t="s">
        <v>2380</v>
      </c>
      <c r="C46" s="166"/>
      <c r="D46" s="167"/>
      <c r="E46" s="41"/>
      <c r="F46" s="4"/>
      <c r="G46" s="4"/>
      <c r="H46" s="4"/>
      <c r="I46" s="30">
        <v>9.875</v>
      </c>
      <c r="J46" s="18">
        <v>3000</v>
      </c>
      <c r="K46" s="17">
        <f t="shared" si="0"/>
        <v>303.79746835443041</v>
      </c>
      <c r="L46" s="30">
        <v>9.875</v>
      </c>
      <c r="M46" s="18">
        <f>AVERAGE(M38:M45)</f>
        <v>2878.9574227704425</v>
      </c>
      <c r="N46" s="17">
        <f t="shared" si="2"/>
        <v>291.53999217928532</v>
      </c>
      <c r="O46" s="19">
        <f t="shared" si="3"/>
        <v>0</v>
      </c>
      <c r="P46" s="20">
        <f t="shared" si="4"/>
        <v>-12.257476175145086</v>
      </c>
      <c r="Q46" s="21">
        <f t="shared" si="5"/>
        <v>0.9596524742568141</v>
      </c>
      <c r="R46" s="189"/>
      <c r="S46" s="28"/>
      <c r="T46" s="28"/>
      <c r="U46" s="4"/>
      <c r="V46" s="22"/>
      <c r="W46" s="23"/>
      <c r="X46" s="23"/>
      <c r="Y46" s="31">
        <f>SUM(Y38:Y45)</f>
        <v>0</v>
      </c>
      <c r="Z46" s="31">
        <f>SUM(Z38:Z45)</f>
        <v>0</v>
      </c>
      <c r="AA46" s="180"/>
      <c r="AB46" s="181"/>
      <c r="AC46" s="31">
        <v>8</v>
      </c>
      <c r="AD46" s="31">
        <f>SUM(AD38:AD45)</f>
        <v>0</v>
      </c>
      <c r="AE46" s="19">
        <f t="shared" si="7"/>
        <v>-121.04257722955754</v>
      </c>
      <c r="AF46" s="21">
        <f t="shared" si="8"/>
        <v>0.9596524742568141</v>
      </c>
      <c r="AG46" s="189"/>
    </row>
    <row r="47" spans="1:33" ht="15.75" customHeight="1">
      <c r="A47" s="182" t="s">
        <v>70</v>
      </c>
      <c r="B47" s="37" t="s">
        <v>84</v>
      </c>
      <c r="C47" s="165" t="s">
        <v>119</v>
      </c>
      <c r="D47" s="165"/>
      <c r="E47" s="37">
        <v>46</v>
      </c>
      <c r="F47" s="42">
        <v>1361</v>
      </c>
      <c r="G47" s="4">
        <v>62606</v>
      </c>
      <c r="H47" s="22" t="s">
        <v>139</v>
      </c>
      <c r="I47" s="16">
        <v>17</v>
      </c>
      <c r="J47" s="18">
        <v>2000</v>
      </c>
      <c r="K47" s="17">
        <f t="shared" si="0"/>
        <v>117.64705882352941</v>
      </c>
      <c r="L47" s="16">
        <v>17</v>
      </c>
      <c r="M47" s="18">
        <f t="shared" ref="M47:M54" si="28">F47/V47*60</f>
        <v>1944.2857142857135</v>
      </c>
      <c r="N47" s="18">
        <f t="shared" si="2"/>
        <v>114.36974789915962</v>
      </c>
      <c r="O47" s="19">
        <f t="shared" si="3"/>
        <v>0</v>
      </c>
      <c r="P47" s="20">
        <f t="shared" si="4"/>
        <v>-3.277310924369786</v>
      </c>
      <c r="Q47" s="21">
        <f t="shared" si="5"/>
        <v>0.97214285714285686</v>
      </c>
      <c r="R47" s="172">
        <f>Q55</f>
        <v>0.94703922289923481</v>
      </c>
      <c r="S47" s="28">
        <v>0.20833333333333334</v>
      </c>
      <c r="T47" s="28">
        <v>0.23750000000000002</v>
      </c>
      <c r="U47" s="28"/>
      <c r="V47" s="22">
        <f t="shared" ref="V47:V54" si="29">(T47-S47)*24*60</f>
        <v>42.000000000000014</v>
      </c>
      <c r="W47" s="28"/>
      <c r="X47" s="28"/>
      <c r="Y47" s="28"/>
      <c r="Z47" s="28"/>
      <c r="AA47" s="164"/>
      <c r="AB47" s="164"/>
      <c r="AC47" s="25">
        <v>8</v>
      </c>
      <c r="AD47" s="25"/>
      <c r="AE47" s="19">
        <f t="shared" si="7"/>
        <v>-55.714285714286461</v>
      </c>
      <c r="AF47" s="21">
        <f t="shared" si="8"/>
        <v>0.97214285714285675</v>
      </c>
      <c r="AG47" s="172">
        <f>AF55</f>
        <v>0.9470392228992347</v>
      </c>
    </row>
    <row r="48" spans="1:33" ht="15.75" customHeight="1">
      <c r="A48" s="182" t="s">
        <v>70</v>
      </c>
      <c r="B48" s="37" t="s">
        <v>78</v>
      </c>
      <c r="C48" s="165" t="s">
        <v>120</v>
      </c>
      <c r="D48" s="165"/>
      <c r="E48" s="37">
        <v>56.43</v>
      </c>
      <c r="F48" s="42">
        <v>1616</v>
      </c>
      <c r="G48" s="4">
        <v>91190.88</v>
      </c>
      <c r="H48" s="22" t="s">
        <v>139</v>
      </c>
      <c r="I48" s="16">
        <v>22</v>
      </c>
      <c r="J48" s="18">
        <v>2000</v>
      </c>
      <c r="K48" s="17">
        <f t="shared" si="0"/>
        <v>90.909090909090907</v>
      </c>
      <c r="L48" s="16">
        <v>22</v>
      </c>
      <c r="M48" s="18">
        <f t="shared" si="28"/>
        <v>1829.4339622641505</v>
      </c>
      <c r="N48" s="18">
        <f t="shared" si="2"/>
        <v>83.156089193825025</v>
      </c>
      <c r="O48" s="19">
        <f t="shared" si="3"/>
        <v>0</v>
      </c>
      <c r="P48" s="20">
        <f t="shared" si="4"/>
        <v>-7.7530017152658814</v>
      </c>
      <c r="Q48" s="21">
        <f t="shared" si="5"/>
        <v>0.91471698113207534</v>
      </c>
      <c r="R48" s="172"/>
      <c r="S48" s="28">
        <v>0.24097222222222223</v>
      </c>
      <c r="T48" s="28">
        <v>0.27777777777777779</v>
      </c>
      <c r="U48" s="4">
        <f t="shared" ref="U48:U54" si="30">IF(S48=TIME(17,0,0),"",(S48-T47)*24*60)</f>
        <v>4.9999999999999822</v>
      </c>
      <c r="V48" s="22">
        <f t="shared" si="29"/>
        <v>53.000000000000014</v>
      </c>
      <c r="W48" s="23"/>
      <c r="X48" s="23"/>
      <c r="Y48" s="23"/>
      <c r="Z48" s="23"/>
      <c r="AA48" s="164"/>
      <c r="AB48" s="164"/>
      <c r="AC48" s="25"/>
      <c r="AD48" s="25"/>
      <c r="AE48" s="19">
        <f t="shared" si="7"/>
        <v>-170.56603773584948</v>
      </c>
      <c r="AF48" s="21">
        <f t="shared" si="8"/>
        <v>0.91471698113207522</v>
      </c>
      <c r="AG48" s="172"/>
    </row>
    <row r="49" spans="1:33" ht="15.75" customHeight="1">
      <c r="A49" s="182" t="s">
        <v>70</v>
      </c>
      <c r="B49" s="37" t="s">
        <v>78</v>
      </c>
      <c r="C49" s="173" t="s">
        <v>121</v>
      </c>
      <c r="D49" s="174"/>
      <c r="E49" s="37">
        <v>51.75</v>
      </c>
      <c r="F49" s="42">
        <v>1370</v>
      </c>
      <c r="G49" s="4">
        <v>70897.5</v>
      </c>
      <c r="H49" s="22" t="s">
        <v>139</v>
      </c>
      <c r="I49" s="16">
        <v>25</v>
      </c>
      <c r="J49" s="18">
        <v>2000</v>
      </c>
      <c r="K49" s="17">
        <f t="shared" si="0"/>
        <v>80</v>
      </c>
      <c r="L49" s="16">
        <v>25</v>
      </c>
      <c r="M49" s="18">
        <f t="shared" si="28"/>
        <v>1826.6666666666665</v>
      </c>
      <c r="N49" s="18">
        <f t="shared" si="2"/>
        <v>73.066666666666663</v>
      </c>
      <c r="O49" s="19">
        <f t="shared" si="3"/>
        <v>0</v>
      </c>
      <c r="P49" s="20">
        <f t="shared" si="4"/>
        <v>-6.9333333333333371</v>
      </c>
      <c r="Q49" s="21">
        <f t="shared" si="5"/>
        <v>0.91333333333333333</v>
      </c>
      <c r="R49" s="172"/>
      <c r="S49" s="28">
        <v>0.28263888888888888</v>
      </c>
      <c r="T49" s="28">
        <v>0.31388888888888888</v>
      </c>
      <c r="U49" s="4">
        <f t="shared" si="30"/>
        <v>6.9999999999999751</v>
      </c>
      <c r="V49" s="22">
        <f t="shared" si="29"/>
        <v>45</v>
      </c>
      <c r="W49" s="23"/>
      <c r="X49" s="23"/>
      <c r="Y49" s="26"/>
      <c r="Z49" s="26"/>
      <c r="AA49" s="164"/>
      <c r="AB49" s="164"/>
      <c r="AC49" s="25"/>
      <c r="AD49" s="25"/>
      <c r="AE49" s="19">
        <f t="shared" si="7"/>
        <v>-173.33333333333348</v>
      </c>
      <c r="AF49" s="21">
        <f t="shared" si="8"/>
        <v>0.91333333333333322</v>
      </c>
      <c r="AG49" s="172"/>
    </row>
    <row r="50" spans="1:33" ht="15.75" customHeight="1">
      <c r="A50" s="182" t="s">
        <v>70</v>
      </c>
      <c r="B50" s="37" t="s">
        <v>78</v>
      </c>
      <c r="C50" s="43" t="s">
        <v>122</v>
      </c>
      <c r="D50" s="44"/>
      <c r="E50" s="37">
        <v>54.09</v>
      </c>
      <c r="F50" s="42">
        <v>1077</v>
      </c>
      <c r="G50" s="4">
        <v>58254.93</v>
      </c>
      <c r="H50" s="22" t="s">
        <v>139</v>
      </c>
      <c r="I50" s="16">
        <v>19</v>
      </c>
      <c r="J50" s="18">
        <v>2000</v>
      </c>
      <c r="K50" s="17">
        <f t="shared" si="0"/>
        <v>105.26315789473684</v>
      </c>
      <c r="L50" s="16">
        <v>19</v>
      </c>
      <c r="M50" s="18">
        <f t="shared" si="28"/>
        <v>1846.2857142857124</v>
      </c>
      <c r="N50" s="18">
        <f t="shared" si="2"/>
        <v>97.172932330826967</v>
      </c>
      <c r="O50" s="19">
        <f t="shared" si="3"/>
        <v>0</v>
      </c>
      <c r="P50" s="20">
        <f t="shared" si="4"/>
        <v>-8.0902255639098684</v>
      </c>
      <c r="Q50" s="21">
        <f t="shared" si="5"/>
        <v>0.92314285714285627</v>
      </c>
      <c r="R50" s="172"/>
      <c r="S50" s="28">
        <v>0.31736111111111109</v>
      </c>
      <c r="T50" s="28">
        <v>0.34166666666666667</v>
      </c>
      <c r="U50" s="4">
        <f t="shared" si="30"/>
        <v>4.9999999999999822</v>
      </c>
      <c r="V50" s="22">
        <f t="shared" si="29"/>
        <v>35.000000000000036</v>
      </c>
      <c r="W50" s="23"/>
      <c r="X50" s="23"/>
      <c r="Y50" s="26"/>
      <c r="Z50" s="26"/>
      <c r="AA50" s="164"/>
      <c r="AB50" s="164"/>
      <c r="AC50" s="25"/>
      <c r="AD50" s="25"/>
      <c r="AE50" s="19">
        <f t="shared" si="7"/>
        <v>-153.7142857142876</v>
      </c>
      <c r="AF50" s="21">
        <f t="shared" si="8"/>
        <v>0.92314285714285615</v>
      </c>
      <c r="AG50" s="172"/>
    </row>
    <row r="51" spans="1:33" ht="15.75" customHeight="1">
      <c r="A51" s="182" t="s">
        <v>2390</v>
      </c>
      <c r="B51" s="37" t="s">
        <v>78</v>
      </c>
      <c r="C51" s="43" t="s">
        <v>123</v>
      </c>
      <c r="D51" s="44"/>
      <c r="E51" s="37">
        <v>55.56</v>
      </c>
      <c r="F51" s="42">
        <v>1657</v>
      </c>
      <c r="G51" s="4">
        <v>92062.92</v>
      </c>
      <c r="H51" s="22" t="s">
        <v>139</v>
      </c>
      <c r="I51" s="16">
        <v>17</v>
      </c>
      <c r="J51" s="18">
        <v>2000</v>
      </c>
      <c r="K51" s="17">
        <f t="shared" si="0"/>
        <v>117.64705882352941</v>
      </c>
      <c r="L51" s="16">
        <v>17</v>
      </c>
      <c r="M51" s="18">
        <f t="shared" si="28"/>
        <v>1911.923076923078</v>
      </c>
      <c r="N51" s="18">
        <f t="shared" si="2"/>
        <v>112.46606334841636</v>
      </c>
      <c r="O51" s="19">
        <f t="shared" si="3"/>
        <v>0</v>
      </c>
      <c r="P51" s="20">
        <f t="shared" si="4"/>
        <v>-5.1809954751130505</v>
      </c>
      <c r="Q51" s="21">
        <f t="shared" si="5"/>
        <v>0.95596153846153908</v>
      </c>
      <c r="R51" s="172"/>
      <c r="S51" s="28">
        <v>0.70833333333333337</v>
      </c>
      <c r="T51" s="28">
        <v>0.74444444444444446</v>
      </c>
      <c r="U51" s="4" t="str">
        <f t="shared" si="30"/>
        <v/>
      </c>
      <c r="V51" s="22">
        <f t="shared" si="29"/>
        <v>51.999999999999972</v>
      </c>
      <c r="W51" s="23"/>
      <c r="X51" s="23"/>
      <c r="Y51" s="26"/>
      <c r="Z51" s="26"/>
      <c r="AA51" s="164"/>
      <c r="AB51" s="164"/>
      <c r="AC51" s="25"/>
      <c r="AD51" s="25"/>
      <c r="AE51" s="19">
        <f t="shared" si="7"/>
        <v>-88.076923076921958</v>
      </c>
      <c r="AF51" s="21">
        <f t="shared" si="8"/>
        <v>0.95596153846153897</v>
      </c>
      <c r="AG51" s="172"/>
    </row>
    <row r="52" spans="1:33" ht="15.75" customHeight="1">
      <c r="A52" s="182" t="s">
        <v>70</v>
      </c>
      <c r="B52" s="37" t="s">
        <v>78</v>
      </c>
      <c r="C52" s="173" t="s">
        <v>124</v>
      </c>
      <c r="D52" s="174"/>
      <c r="E52" s="37">
        <v>55.32</v>
      </c>
      <c r="F52" s="42">
        <v>1174</v>
      </c>
      <c r="G52" s="4">
        <v>64945.68</v>
      </c>
      <c r="H52" s="22" t="s">
        <v>139</v>
      </c>
      <c r="I52" s="16">
        <v>15</v>
      </c>
      <c r="J52" s="18">
        <v>2000</v>
      </c>
      <c r="K52" s="17">
        <f t="shared" si="0"/>
        <v>133.33333333333334</v>
      </c>
      <c r="L52" s="16">
        <v>15</v>
      </c>
      <c r="M52" s="18">
        <f t="shared" si="28"/>
        <v>1956.6666666666652</v>
      </c>
      <c r="N52" s="18">
        <f t="shared" si="2"/>
        <v>130.44444444444434</v>
      </c>
      <c r="O52" s="19">
        <f t="shared" si="3"/>
        <v>0</v>
      </c>
      <c r="P52" s="20">
        <f t="shared" si="4"/>
        <v>-2.8888888888889994</v>
      </c>
      <c r="Q52" s="21">
        <f t="shared" si="5"/>
        <v>0.9783333333333325</v>
      </c>
      <c r="R52" s="172"/>
      <c r="S52" s="28">
        <v>0.74861111111111112</v>
      </c>
      <c r="T52" s="28">
        <v>0.77361111111111114</v>
      </c>
      <c r="U52" s="4">
        <f t="shared" si="30"/>
        <v>5.9999999999999787</v>
      </c>
      <c r="V52" s="22">
        <f t="shared" si="29"/>
        <v>36.000000000000028</v>
      </c>
      <c r="W52" s="23"/>
      <c r="X52" s="23"/>
      <c r="Y52" s="26"/>
      <c r="Z52" s="26"/>
      <c r="AA52" s="175"/>
      <c r="AB52" s="176"/>
      <c r="AC52" s="25"/>
      <c r="AD52" s="25"/>
      <c r="AE52" s="19">
        <f t="shared" si="7"/>
        <v>-43.333333333334849</v>
      </c>
      <c r="AF52" s="21">
        <f t="shared" si="8"/>
        <v>0.97833333333333261</v>
      </c>
      <c r="AG52" s="172"/>
    </row>
    <row r="53" spans="1:33" ht="15.75" customHeight="1">
      <c r="A53" s="182" t="s">
        <v>2390</v>
      </c>
      <c r="B53" s="37" t="s">
        <v>78</v>
      </c>
      <c r="C53" s="173" t="s">
        <v>125</v>
      </c>
      <c r="D53" s="174"/>
      <c r="E53" s="37">
        <v>54.29</v>
      </c>
      <c r="F53" s="42">
        <v>1257</v>
      </c>
      <c r="G53" s="4">
        <v>68242.53</v>
      </c>
      <c r="H53" s="22" t="s">
        <v>139</v>
      </c>
      <c r="I53" s="16">
        <v>20</v>
      </c>
      <c r="J53" s="18">
        <v>2000</v>
      </c>
      <c r="K53" s="17">
        <f t="shared" si="0"/>
        <v>100</v>
      </c>
      <c r="L53" s="16">
        <v>20</v>
      </c>
      <c r="M53" s="18">
        <f t="shared" si="28"/>
        <v>1933.8461538461527</v>
      </c>
      <c r="N53" s="18">
        <f t="shared" si="2"/>
        <v>96.692307692307637</v>
      </c>
      <c r="O53" s="19">
        <f t="shared" si="3"/>
        <v>0</v>
      </c>
      <c r="P53" s="20">
        <f t="shared" si="4"/>
        <v>-3.3076923076923634</v>
      </c>
      <c r="Q53" s="21">
        <f t="shared" si="5"/>
        <v>0.96692307692307633</v>
      </c>
      <c r="R53" s="172"/>
      <c r="S53" s="28">
        <v>0.77916666666666667</v>
      </c>
      <c r="T53" s="28">
        <v>0.80625000000000002</v>
      </c>
      <c r="U53" s="4">
        <f t="shared" si="30"/>
        <v>7.9999999999999716</v>
      </c>
      <c r="V53" s="22">
        <f t="shared" si="29"/>
        <v>39.000000000000021</v>
      </c>
      <c r="W53" s="23"/>
      <c r="X53" s="23"/>
      <c r="Y53" s="26"/>
      <c r="Z53" s="26"/>
      <c r="AA53" s="175"/>
      <c r="AB53" s="176"/>
      <c r="AC53" s="25"/>
      <c r="AD53" s="25"/>
      <c r="AE53" s="19">
        <f t="shared" si="7"/>
        <v>-66.153846153847326</v>
      </c>
      <c r="AF53" s="21">
        <f t="shared" si="8"/>
        <v>0.96692307692307633</v>
      </c>
      <c r="AG53" s="172"/>
    </row>
    <row r="54" spans="1:33" ht="15.75" customHeight="1">
      <c r="A54" s="182" t="s">
        <v>70</v>
      </c>
      <c r="B54" s="37" t="s">
        <v>78</v>
      </c>
      <c r="C54" s="173" t="s">
        <v>126</v>
      </c>
      <c r="D54" s="174"/>
      <c r="E54" s="37">
        <v>57.73</v>
      </c>
      <c r="F54" s="42">
        <v>858</v>
      </c>
      <c r="G54" s="4">
        <v>49532.34</v>
      </c>
      <c r="H54" s="22" t="s">
        <v>139</v>
      </c>
      <c r="I54" s="16">
        <v>16</v>
      </c>
      <c r="J54" s="18">
        <v>1500</v>
      </c>
      <c r="K54" s="17">
        <f t="shared" si="0"/>
        <v>93.75</v>
      </c>
      <c r="L54" s="16">
        <v>16</v>
      </c>
      <c r="M54" s="18">
        <f t="shared" si="28"/>
        <v>1429.9999999999989</v>
      </c>
      <c r="N54" s="18">
        <f t="shared" si="2"/>
        <v>89.374999999999929</v>
      </c>
      <c r="O54" s="19">
        <f t="shared" si="3"/>
        <v>0</v>
      </c>
      <c r="P54" s="20">
        <f t="shared" si="4"/>
        <v>-4.3750000000000711</v>
      </c>
      <c r="Q54" s="21">
        <f t="shared" si="5"/>
        <v>0.95333333333333259</v>
      </c>
      <c r="R54" s="172"/>
      <c r="S54" s="28">
        <v>0.81180555555555556</v>
      </c>
      <c r="T54" s="28">
        <v>0.83680555555555558</v>
      </c>
      <c r="U54" s="4">
        <f t="shared" si="30"/>
        <v>7.9999999999999716</v>
      </c>
      <c r="V54" s="22">
        <f t="shared" si="29"/>
        <v>36.000000000000028</v>
      </c>
      <c r="W54" s="23"/>
      <c r="X54" s="23"/>
      <c r="Y54" s="26"/>
      <c r="Z54" s="26"/>
      <c r="AA54" s="175"/>
      <c r="AB54" s="176"/>
      <c r="AC54" s="25"/>
      <c r="AD54" s="25"/>
      <c r="AE54" s="19">
        <f t="shared" si="7"/>
        <v>-70.000000000001137</v>
      </c>
      <c r="AF54" s="21">
        <f t="shared" si="8"/>
        <v>0.95333333333333259</v>
      </c>
      <c r="AG54" s="172"/>
    </row>
    <row r="55" spans="1:33">
      <c r="A55" s="183" t="s">
        <v>70</v>
      </c>
      <c r="B55" s="37" t="s">
        <v>2380</v>
      </c>
      <c r="C55" s="177"/>
      <c r="D55" s="177"/>
      <c r="E55" s="38"/>
      <c r="F55" s="17"/>
      <c r="G55" s="17"/>
      <c r="H55" s="4"/>
      <c r="I55" s="30">
        <v>18.875</v>
      </c>
      <c r="J55" s="18">
        <v>1937.5</v>
      </c>
      <c r="K55" s="17">
        <f t="shared" si="0"/>
        <v>102.64900662251655</v>
      </c>
      <c r="L55" s="30">
        <v>18.875</v>
      </c>
      <c r="M55" s="18">
        <f>AVERAGE(M47:M54)</f>
        <v>1834.8884943672672</v>
      </c>
      <c r="N55" s="17">
        <f t="shared" si="2"/>
        <v>97.212635463166478</v>
      </c>
      <c r="O55" s="19">
        <f t="shared" si="3"/>
        <v>0</v>
      </c>
      <c r="P55" s="20">
        <f t="shared" si="4"/>
        <v>-5.4363711593500739</v>
      </c>
      <c r="Q55" s="21">
        <f t="shared" si="5"/>
        <v>0.94703922289923481</v>
      </c>
      <c r="R55" s="172"/>
      <c r="S55" s="28"/>
      <c r="T55" s="28"/>
      <c r="U55" s="4"/>
      <c r="V55" s="22"/>
      <c r="W55" s="17"/>
      <c r="X55" s="17"/>
      <c r="Y55" s="31">
        <f>SUM(Y47:Y54)</f>
        <v>0</v>
      </c>
      <c r="Z55" s="31">
        <f>SUM(Z47:Z54)</f>
        <v>0</v>
      </c>
      <c r="AA55" s="168"/>
      <c r="AB55" s="168"/>
      <c r="AC55" s="31">
        <v>8</v>
      </c>
      <c r="AD55" s="31">
        <f>SUM(AD47:AD54)</f>
        <v>0</v>
      </c>
      <c r="AE55" s="19">
        <f>M55-J55</f>
        <v>-102.61150563273281</v>
      </c>
      <c r="AF55" s="21">
        <f t="shared" si="8"/>
        <v>0.9470392228992347</v>
      </c>
      <c r="AG55" s="172"/>
    </row>
    <row r="56" spans="1:33" ht="15.75" customHeight="1">
      <c r="A56" s="178" t="s">
        <v>2391</v>
      </c>
      <c r="B56" s="4" t="s">
        <v>84</v>
      </c>
      <c r="C56" s="165" t="s">
        <v>127</v>
      </c>
      <c r="D56" s="165"/>
      <c r="E56" s="37">
        <v>26.97</v>
      </c>
      <c r="F56" s="42">
        <v>2232</v>
      </c>
      <c r="G56" s="4">
        <v>60197.04</v>
      </c>
      <c r="H56" s="22" t="s">
        <v>139</v>
      </c>
      <c r="I56" s="16">
        <v>8</v>
      </c>
      <c r="J56" s="18">
        <v>1500</v>
      </c>
      <c r="K56" s="17">
        <f t="shared" si="0"/>
        <v>187.5</v>
      </c>
      <c r="L56" s="16">
        <v>8</v>
      </c>
      <c r="M56" s="18">
        <f t="shared" ref="M56:M61" si="31">F56/V56*60</f>
        <v>1439.9999999999995</v>
      </c>
      <c r="N56" s="17">
        <f t="shared" si="2"/>
        <v>179.99999999999994</v>
      </c>
      <c r="O56" s="19">
        <f t="shared" si="3"/>
        <v>0</v>
      </c>
      <c r="P56" s="20">
        <f t="shared" si="4"/>
        <v>-7.5000000000000568</v>
      </c>
      <c r="Q56" s="21">
        <f t="shared" si="5"/>
        <v>0.95999999999999974</v>
      </c>
      <c r="R56" s="172">
        <f>Q62</f>
        <v>0.96189473684210525</v>
      </c>
      <c r="S56" s="28">
        <v>0.20833333333333334</v>
      </c>
      <c r="T56" s="28">
        <v>0.2729166666666667</v>
      </c>
      <c r="U56" s="4"/>
      <c r="V56" s="22">
        <f t="shared" ref="V56:V61" si="32">(T56-S56)*24*60</f>
        <v>93.000000000000028</v>
      </c>
      <c r="W56" s="28"/>
      <c r="X56" s="28"/>
      <c r="Y56" s="28"/>
      <c r="Z56" s="28"/>
      <c r="AA56" s="164"/>
      <c r="AB56" s="164"/>
      <c r="AC56" s="25">
        <v>6</v>
      </c>
      <c r="AD56" s="25"/>
      <c r="AE56" s="19">
        <f t="shared" ref="AE56:AE68" si="33">M56-J56</f>
        <v>-60.000000000000455</v>
      </c>
      <c r="AF56" s="21">
        <f t="shared" si="8"/>
        <v>0.95999999999999974</v>
      </c>
      <c r="AG56" s="172">
        <f>AF62</f>
        <v>0.96189473684210525</v>
      </c>
    </row>
    <row r="57" spans="1:33" ht="15.75" customHeight="1">
      <c r="A57" s="178" t="s">
        <v>2391</v>
      </c>
      <c r="B57" s="4" t="s">
        <v>84</v>
      </c>
      <c r="C57" s="165" t="s">
        <v>128</v>
      </c>
      <c r="D57" s="165"/>
      <c r="E57" s="37">
        <v>27.4</v>
      </c>
      <c r="F57" s="42">
        <v>721</v>
      </c>
      <c r="G57" s="4">
        <v>19755.399999999998</v>
      </c>
      <c r="H57" s="22" t="s">
        <v>139</v>
      </c>
      <c r="I57" s="16">
        <v>10</v>
      </c>
      <c r="J57" s="18">
        <v>1500</v>
      </c>
      <c r="K57" s="17">
        <f t="shared" si="0"/>
        <v>150</v>
      </c>
      <c r="L57" s="16">
        <v>10</v>
      </c>
      <c r="M57" s="18">
        <f t="shared" si="31"/>
        <v>1442.0000000000014</v>
      </c>
      <c r="N57" s="17">
        <f t="shared" si="2"/>
        <v>144.20000000000013</v>
      </c>
      <c r="O57" s="19">
        <f t="shared" si="3"/>
        <v>0</v>
      </c>
      <c r="P57" s="20">
        <f t="shared" si="4"/>
        <v>-5.7999999999998693</v>
      </c>
      <c r="Q57" s="21">
        <f t="shared" si="5"/>
        <v>0.96133333333333415</v>
      </c>
      <c r="R57" s="172"/>
      <c r="S57" s="28">
        <v>0.27638888888888891</v>
      </c>
      <c r="T57" s="28">
        <v>0.29722222222222222</v>
      </c>
      <c r="U57" s="4">
        <f t="shared" ref="U57:U61" si="34">(S57-T56)*24*60</f>
        <v>4.9999999999999822</v>
      </c>
      <c r="V57" s="22">
        <f t="shared" si="32"/>
        <v>29.999999999999972</v>
      </c>
      <c r="W57" s="4"/>
      <c r="X57" s="4"/>
      <c r="Y57" s="4"/>
      <c r="Z57" s="4"/>
      <c r="AA57" s="164"/>
      <c r="AB57" s="164"/>
      <c r="AC57" s="25"/>
      <c r="AD57" s="25"/>
      <c r="AE57" s="19">
        <f t="shared" si="33"/>
        <v>-57.999999999998636</v>
      </c>
      <c r="AF57" s="21">
        <f t="shared" si="8"/>
        <v>0.96133333333333426</v>
      </c>
      <c r="AG57" s="172"/>
    </row>
    <row r="58" spans="1:33" ht="15.75" customHeight="1">
      <c r="A58" s="178" t="s">
        <v>73</v>
      </c>
      <c r="B58" s="4" t="s">
        <v>111</v>
      </c>
      <c r="C58" s="165" t="s">
        <v>129</v>
      </c>
      <c r="D58" s="165"/>
      <c r="E58" s="37">
        <v>31</v>
      </c>
      <c r="F58" s="42">
        <v>607</v>
      </c>
      <c r="G58" s="4">
        <v>18817</v>
      </c>
      <c r="H58" s="22" t="s">
        <v>139</v>
      </c>
      <c r="I58" s="16">
        <v>13</v>
      </c>
      <c r="J58" s="18">
        <v>2000</v>
      </c>
      <c r="K58" s="17">
        <f t="shared" si="0"/>
        <v>153.84615384615384</v>
      </c>
      <c r="L58" s="16">
        <v>13</v>
      </c>
      <c r="M58" s="18">
        <f t="shared" si="31"/>
        <v>1916.8421052631566</v>
      </c>
      <c r="N58" s="17">
        <f t="shared" si="2"/>
        <v>147.44939271255049</v>
      </c>
      <c r="O58" s="19">
        <f t="shared" si="3"/>
        <v>0</v>
      </c>
      <c r="P58" s="20">
        <f t="shared" si="4"/>
        <v>-6.3967611336033485</v>
      </c>
      <c r="Q58" s="21">
        <f t="shared" si="5"/>
        <v>0.95842105263157829</v>
      </c>
      <c r="R58" s="172"/>
      <c r="S58" s="28">
        <v>0.30138888888888887</v>
      </c>
      <c r="T58" s="28">
        <v>0.31458333333333333</v>
      </c>
      <c r="U58" s="4">
        <f t="shared" si="34"/>
        <v>5.9999999999999787</v>
      </c>
      <c r="V58" s="22">
        <f t="shared" si="32"/>
        <v>19.000000000000014</v>
      </c>
      <c r="W58" s="4"/>
      <c r="X58" s="4"/>
      <c r="Y58" s="4"/>
      <c r="Z58" s="4"/>
      <c r="AA58" s="164"/>
      <c r="AB58" s="164"/>
      <c r="AC58" s="25"/>
      <c r="AD58" s="25"/>
      <c r="AE58" s="19">
        <f t="shared" si="33"/>
        <v>-83.157894736843446</v>
      </c>
      <c r="AF58" s="21">
        <f t="shared" si="8"/>
        <v>0.95842105263157829</v>
      </c>
      <c r="AG58" s="172"/>
    </row>
    <row r="59" spans="1:33" ht="15.75" customHeight="1">
      <c r="A59" s="178" t="s">
        <v>73</v>
      </c>
      <c r="B59" s="4" t="s">
        <v>111</v>
      </c>
      <c r="C59" s="165" t="s">
        <v>130</v>
      </c>
      <c r="D59" s="165"/>
      <c r="E59" s="37">
        <v>37.85</v>
      </c>
      <c r="F59" s="42">
        <v>1820</v>
      </c>
      <c r="G59" s="4">
        <v>68887</v>
      </c>
      <c r="H59" s="22" t="s">
        <v>139</v>
      </c>
      <c r="I59" s="16">
        <v>12</v>
      </c>
      <c r="J59" s="18">
        <v>2000</v>
      </c>
      <c r="K59" s="17">
        <f t="shared" si="0"/>
        <v>166.66666666666666</v>
      </c>
      <c r="L59" s="16">
        <v>12</v>
      </c>
      <c r="M59" s="18">
        <f t="shared" si="31"/>
        <v>1915.789473684212</v>
      </c>
      <c r="N59" s="17">
        <f t="shared" si="2"/>
        <v>159.64912280701768</v>
      </c>
      <c r="O59" s="19">
        <f t="shared" si="3"/>
        <v>0</v>
      </c>
      <c r="P59" s="20">
        <f t="shared" si="4"/>
        <v>-7.0175438596489812</v>
      </c>
      <c r="Q59" s="21">
        <f t="shared" si="5"/>
        <v>0.95789473684210613</v>
      </c>
      <c r="R59" s="172"/>
      <c r="S59" s="28">
        <v>0.31805555555555554</v>
      </c>
      <c r="T59" s="28">
        <v>0.35763888888888884</v>
      </c>
      <c r="U59" s="4">
        <f t="shared" si="34"/>
        <v>4.9999999999999822</v>
      </c>
      <c r="V59" s="22">
        <f t="shared" si="32"/>
        <v>56.999999999999957</v>
      </c>
      <c r="W59" s="4"/>
      <c r="X59" s="4"/>
      <c r="Y59" s="4"/>
      <c r="Z59" s="4"/>
      <c r="AA59" s="164"/>
      <c r="AB59" s="164"/>
      <c r="AC59" s="25"/>
      <c r="AD59" s="25"/>
      <c r="AE59" s="19">
        <f t="shared" si="33"/>
        <v>-84.210526315788002</v>
      </c>
      <c r="AF59" s="21">
        <f t="shared" si="8"/>
        <v>0.95789473684210602</v>
      </c>
      <c r="AG59" s="172"/>
    </row>
    <row r="60" spans="1:33">
      <c r="A60" s="179" t="s">
        <v>73</v>
      </c>
      <c r="B60" s="4" t="s">
        <v>111</v>
      </c>
      <c r="C60" s="165" t="s">
        <v>131</v>
      </c>
      <c r="D60" s="165"/>
      <c r="E60" s="37">
        <v>34.36</v>
      </c>
      <c r="F60" s="42">
        <v>1429</v>
      </c>
      <c r="G60" s="4">
        <v>49100.44</v>
      </c>
      <c r="H60" s="22" t="s">
        <v>139</v>
      </c>
      <c r="I60" s="16">
        <v>10</v>
      </c>
      <c r="J60" s="18">
        <v>3000</v>
      </c>
      <c r="K60" s="17">
        <f t="shared" si="0"/>
        <v>300</v>
      </c>
      <c r="L60" s="16">
        <v>10</v>
      </c>
      <c r="M60" s="18">
        <f t="shared" si="31"/>
        <v>2858.0000000000027</v>
      </c>
      <c r="N60" s="17">
        <f t="shared" si="2"/>
        <v>285.8000000000003</v>
      </c>
      <c r="O60" s="19">
        <f t="shared" si="3"/>
        <v>0</v>
      </c>
      <c r="P60" s="20">
        <f t="shared" si="4"/>
        <v>-14.199999999999704</v>
      </c>
      <c r="Q60" s="21">
        <f t="shared" si="5"/>
        <v>0.95266666666666766</v>
      </c>
      <c r="R60" s="172"/>
      <c r="S60" s="28">
        <v>0.36319444444444438</v>
      </c>
      <c r="T60" s="28">
        <v>0.38402777777777769</v>
      </c>
      <c r="U60" s="4">
        <f t="shared" si="34"/>
        <v>7.9999999999999716</v>
      </c>
      <c r="V60" s="22">
        <f t="shared" si="32"/>
        <v>29.999999999999972</v>
      </c>
      <c r="W60" s="23"/>
      <c r="X60" s="23"/>
      <c r="Y60" s="23"/>
      <c r="Z60" s="23"/>
      <c r="AA60" s="164"/>
      <c r="AB60" s="164"/>
      <c r="AC60" s="25"/>
      <c r="AD60" s="25"/>
      <c r="AE60" s="19">
        <f t="shared" si="33"/>
        <v>-141.99999999999727</v>
      </c>
      <c r="AF60" s="21">
        <f t="shared" si="8"/>
        <v>0.95266666666666755</v>
      </c>
      <c r="AG60" s="172"/>
    </row>
    <row r="61" spans="1:33" ht="15" customHeight="1">
      <c r="A61" s="179" t="s">
        <v>2391</v>
      </c>
      <c r="B61" s="4" t="s">
        <v>111</v>
      </c>
      <c r="C61" s="173" t="s">
        <v>117</v>
      </c>
      <c r="D61" s="174"/>
      <c r="E61" s="37">
        <v>44.03</v>
      </c>
      <c r="F61" s="42">
        <v>733</v>
      </c>
      <c r="G61" s="4">
        <v>32273.99</v>
      </c>
      <c r="H61" s="22" t="s">
        <v>139</v>
      </c>
      <c r="I61" s="16">
        <v>10</v>
      </c>
      <c r="J61" s="18">
        <v>3000</v>
      </c>
      <c r="K61" s="17">
        <f t="shared" si="0"/>
        <v>300</v>
      </c>
      <c r="L61" s="16">
        <v>10</v>
      </c>
      <c r="M61" s="18">
        <f t="shared" si="31"/>
        <v>2931.999999999995</v>
      </c>
      <c r="N61" s="17">
        <f t="shared" si="2"/>
        <v>293.19999999999948</v>
      </c>
      <c r="O61" s="19">
        <f t="shared" si="3"/>
        <v>0</v>
      </c>
      <c r="P61" s="20">
        <f t="shared" si="4"/>
        <v>-6.800000000000523</v>
      </c>
      <c r="Q61" s="21">
        <f t="shared" si="5"/>
        <v>0.97733333333333161</v>
      </c>
      <c r="R61" s="172"/>
      <c r="S61" s="28">
        <v>0.3874999999999999</v>
      </c>
      <c r="T61" s="28">
        <v>0.39791666666666659</v>
      </c>
      <c r="U61" s="4">
        <f t="shared" si="34"/>
        <v>4.9999999999999822</v>
      </c>
      <c r="V61" s="22">
        <f t="shared" si="32"/>
        <v>15.000000000000027</v>
      </c>
      <c r="W61" s="4"/>
      <c r="X61" s="4"/>
      <c r="Y61" s="32"/>
      <c r="Z61" s="32"/>
      <c r="AA61" s="175"/>
      <c r="AB61" s="176"/>
      <c r="AC61" s="25"/>
      <c r="AD61" s="25"/>
      <c r="AE61" s="19">
        <f t="shared" si="33"/>
        <v>-68.000000000005002</v>
      </c>
      <c r="AF61" s="21">
        <f t="shared" si="8"/>
        <v>0.97733333333333161</v>
      </c>
      <c r="AG61" s="172"/>
    </row>
    <row r="62" spans="1:33">
      <c r="A62" s="179" t="s">
        <v>2391</v>
      </c>
      <c r="B62" s="37" t="s">
        <v>51</v>
      </c>
      <c r="C62" s="177"/>
      <c r="D62" s="177"/>
      <c r="E62" s="38"/>
      <c r="F62" s="17"/>
      <c r="G62" s="17"/>
      <c r="H62" s="4"/>
      <c r="I62" s="30">
        <v>10.5</v>
      </c>
      <c r="J62" s="18">
        <v>2166.6666666666665</v>
      </c>
      <c r="K62" s="17">
        <f t="shared" si="0"/>
        <v>206.34920634920633</v>
      </c>
      <c r="L62" s="30">
        <v>10.5</v>
      </c>
      <c r="M62" s="18">
        <f>AVERAGE(M56:M61)</f>
        <v>2084.1052631578946</v>
      </c>
      <c r="N62" s="17">
        <f t="shared" si="2"/>
        <v>198.48621553884709</v>
      </c>
      <c r="O62" s="19">
        <f t="shared" si="3"/>
        <v>0</v>
      </c>
      <c r="P62" s="20">
        <f t="shared" si="4"/>
        <v>-7.8629908103592356</v>
      </c>
      <c r="Q62" s="21">
        <f t="shared" si="5"/>
        <v>0.96189473684210525</v>
      </c>
      <c r="R62" s="172"/>
      <c r="S62" s="28"/>
      <c r="T62" s="28"/>
      <c r="U62" s="17"/>
      <c r="V62" s="22"/>
      <c r="W62" s="17"/>
      <c r="X62" s="17"/>
      <c r="Y62" s="31">
        <f>SUM(Y56:Y61)</f>
        <v>0</v>
      </c>
      <c r="Z62" s="31">
        <f>SUM(Z56:Z61)</f>
        <v>0</v>
      </c>
      <c r="AA62" s="168"/>
      <c r="AB62" s="168"/>
      <c r="AC62" s="31">
        <v>6</v>
      </c>
      <c r="AD62" s="31">
        <f>SUM(AD56:AD61)</f>
        <v>0</v>
      </c>
      <c r="AE62" s="19">
        <f t="shared" si="33"/>
        <v>-82.561403508771946</v>
      </c>
      <c r="AF62" s="21">
        <f t="shared" si="8"/>
        <v>0.96189473684210525</v>
      </c>
      <c r="AG62" s="172"/>
    </row>
    <row r="63" spans="1:33" ht="15.75" customHeight="1">
      <c r="A63" s="169" t="s">
        <v>2392</v>
      </c>
      <c r="B63" s="4" t="s">
        <v>100</v>
      </c>
      <c r="C63" s="165" t="s">
        <v>133</v>
      </c>
      <c r="D63" s="165"/>
      <c r="E63" s="37">
        <v>20.2</v>
      </c>
      <c r="F63" s="4">
        <v>1602</v>
      </c>
      <c r="G63" s="4">
        <v>32360.399999999998</v>
      </c>
      <c r="H63" s="22" t="s">
        <v>139</v>
      </c>
      <c r="I63" s="16">
        <v>19</v>
      </c>
      <c r="J63" s="18">
        <v>2400</v>
      </c>
      <c r="K63" s="17">
        <f t="shared" si="0"/>
        <v>126.31578947368421</v>
      </c>
      <c r="L63" s="16">
        <v>19</v>
      </c>
      <c r="M63" s="18">
        <f t="shared" ref="M63:M67" si="35">F63/V63*60</f>
        <v>2288.571428571428</v>
      </c>
      <c r="N63" s="17">
        <f t="shared" si="2"/>
        <v>120.45112781954884</v>
      </c>
      <c r="O63" s="19">
        <f t="shared" si="3"/>
        <v>0</v>
      </c>
      <c r="P63" s="20">
        <f t="shared" si="4"/>
        <v>-5.8646616541353609</v>
      </c>
      <c r="Q63" s="21">
        <f t="shared" si="5"/>
        <v>0.9535714285714284</v>
      </c>
      <c r="R63" s="172">
        <f>Q68</f>
        <v>0.96082063002786644</v>
      </c>
      <c r="S63" s="28">
        <v>0.125</v>
      </c>
      <c r="T63" s="28">
        <v>0.15416666666666667</v>
      </c>
      <c r="U63" s="28"/>
      <c r="V63" s="22">
        <f t="shared" ref="V63:V67" si="36">(T63-S63)*24*60</f>
        <v>42.000000000000014</v>
      </c>
      <c r="W63" s="23">
        <f>T63</f>
        <v>0.15416666666666667</v>
      </c>
      <c r="X63" s="23">
        <f>S64</f>
        <v>0.17430555555555557</v>
      </c>
      <c r="Y63" s="23"/>
      <c r="Z63" s="23"/>
      <c r="AA63" s="164"/>
      <c r="AB63" s="164"/>
      <c r="AC63" s="25">
        <v>5</v>
      </c>
      <c r="AD63" s="25"/>
      <c r="AE63" s="19">
        <f t="shared" si="33"/>
        <v>-111.42857142857201</v>
      </c>
      <c r="AF63" s="21">
        <f t="shared" si="8"/>
        <v>0.95357142857142829</v>
      </c>
      <c r="AG63" s="172">
        <f>AF68</f>
        <v>0.96082063002786644</v>
      </c>
    </row>
    <row r="64" spans="1:33" ht="15.75" customHeight="1">
      <c r="A64" s="170" t="s">
        <v>2392</v>
      </c>
      <c r="B64" s="4" t="s">
        <v>100</v>
      </c>
      <c r="C64" s="165" t="s">
        <v>109</v>
      </c>
      <c r="D64" s="165"/>
      <c r="E64" s="37">
        <v>24.45</v>
      </c>
      <c r="F64" s="4">
        <v>2124</v>
      </c>
      <c r="G64" s="4">
        <v>51931.799999999996</v>
      </c>
      <c r="H64" s="22" t="s">
        <v>139</v>
      </c>
      <c r="I64" s="16">
        <v>20</v>
      </c>
      <c r="J64" s="18">
        <v>2400</v>
      </c>
      <c r="K64" s="17">
        <f t="shared" si="0"/>
        <v>120</v>
      </c>
      <c r="L64" s="16">
        <v>20</v>
      </c>
      <c r="M64" s="18">
        <f t="shared" si="35"/>
        <v>2317.0909090909086</v>
      </c>
      <c r="N64" s="17">
        <f t="shared" si="2"/>
        <v>115.85454545454543</v>
      </c>
      <c r="O64" s="19">
        <f t="shared" si="3"/>
        <v>0</v>
      </c>
      <c r="P64" s="20">
        <f t="shared" si="4"/>
        <v>-4.1454545454545695</v>
      </c>
      <c r="Q64" s="21">
        <f t="shared" si="5"/>
        <v>0.96545454545454523</v>
      </c>
      <c r="R64" s="172"/>
      <c r="S64" s="28">
        <v>0.17430555555555557</v>
      </c>
      <c r="T64" s="28">
        <v>0.21250000000000002</v>
      </c>
      <c r="U64" s="4">
        <f t="shared" ref="U64:U67" si="37">(S64-T63)*24*60</f>
        <v>29.000000000000018</v>
      </c>
      <c r="V64" s="22">
        <f t="shared" si="36"/>
        <v>55.000000000000007</v>
      </c>
      <c r="W64" s="23"/>
      <c r="X64" s="23"/>
      <c r="Y64" s="23"/>
      <c r="Z64" s="23"/>
      <c r="AA64" s="164"/>
      <c r="AB64" s="164"/>
      <c r="AC64" s="25"/>
      <c r="AD64" s="25"/>
      <c r="AE64" s="19">
        <f t="shared" si="33"/>
        <v>-82.909090909091447</v>
      </c>
      <c r="AF64" s="21">
        <f t="shared" si="8"/>
        <v>0.96545454545454523</v>
      </c>
      <c r="AG64" s="172"/>
    </row>
    <row r="65" spans="1:33" ht="15.75" customHeight="1">
      <c r="A65" s="170" t="s">
        <v>2392</v>
      </c>
      <c r="B65" s="4" t="s">
        <v>100</v>
      </c>
      <c r="C65" s="165" t="s">
        <v>136</v>
      </c>
      <c r="D65" s="165"/>
      <c r="E65" s="37">
        <v>24.43</v>
      </c>
      <c r="F65" s="4">
        <v>5937</v>
      </c>
      <c r="G65" s="4">
        <v>145040.91</v>
      </c>
      <c r="H65" s="22" t="s">
        <v>139</v>
      </c>
      <c r="I65" s="16">
        <v>14</v>
      </c>
      <c r="J65" s="18">
        <v>2400</v>
      </c>
      <c r="K65" s="17">
        <f t="shared" si="0"/>
        <v>171.42857142857142</v>
      </c>
      <c r="L65" s="16">
        <v>14</v>
      </c>
      <c r="M65" s="18">
        <f t="shared" si="35"/>
        <v>2283.4615384615381</v>
      </c>
      <c r="N65" s="17">
        <f t="shared" si="2"/>
        <v>163.10439560439559</v>
      </c>
      <c r="O65" s="19">
        <f t="shared" si="3"/>
        <v>0</v>
      </c>
      <c r="P65" s="20">
        <f t="shared" si="4"/>
        <v>-8.3241758241758248</v>
      </c>
      <c r="Q65" s="21">
        <f t="shared" si="5"/>
        <v>0.95144230769230764</v>
      </c>
      <c r="R65" s="172"/>
      <c r="S65" s="28">
        <v>0.21805555555555559</v>
      </c>
      <c r="T65" s="28">
        <v>0.32638888888888895</v>
      </c>
      <c r="U65" s="4">
        <f t="shared" si="37"/>
        <v>8.0000000000000107</v>
      </c>
      <c r="V65" s="22">
        <f t="shared" si="36"/>
        <v>156.00000000000003</v>
      </c>
      <c r="W65" s="23"/>
      <c r="X65" s="23"/>
      <c r="Y65" s="23"/>
      <c r="Z65" s="23"/>
      <c r="AA65" s="164"/>
      <c r="AB65" s="164"/>
      <c r="AC65" s="25"/>
      <c r="AD65" s="25"/>
      <c r="AE65" s="19">
        <f t="shared" si="33"/>
        <v>-116.53846153846189</v>
      </c>
      <c r="AF65" s="21">
        <f t="shared" si="8"/>
        <v>0.95144230769230753</v>
      </c>
      <c r="AG65" s="172"/>
    </row>
    <row r="66" spans="1:33" ht="15.75" customHeight="1">
      <c r="A66" s="170" t="s">
        <v>75</v>
      </c>
      <c r="B66" s="4" t="s">
        <v>100</v>
      </c>
      <c r="C66" s="165" t="s">
        <v>138</v>
      </c>
      <c r="D66" s="165"/>
      <c r="E66" s="37">
        <v>22.69</v>
      </c>
      <c r="F66" s="4">
        <v>627</v>
      </c>
      <c r="G66" s="4">
        <v>14226.630000000001</v>
      </c>
      <c r="H66" s="22" t="s">
        <v>139</v>
      </c>
      <c r="I66" s="16">
        <v>15</v>
      </c>
      <c r="J66" s="18">
        <v>2400</v>
      </c>
      <c r="K66" s="17">
        <f t="shared" si="0"/>
        <v>160</v>
      </c>
      <c r="L66" s="16">
        <v>15</v>
      </c>
      <c r="M66" s="18">
        <f t="shared" si="35"/>
        <v>2351.2499999999968</v>
      </c>
      <c r="N66" s="17">
        <f t="shared" si="2"/>
        <v>156.7499999999998</v>
      </c>
      <c r="O66" s="19">
        <f t="shared" si="3"/>
        <v>0</v>
      </c>
      <c r="P66" s="20">
        <f t="shared" si="4"/>
        <v>-3.250000000000199</v>
      </c>
      <c r="Q66" s="21">
        <f t="shared" si="5"/>
        <v>0.97968749999999871</v>
      </c>
      <c r="R66" s="172"/>
      <c r="S66" s="28">
        <v>0.33194444444444449</v>
      </c>
      <c r="T66" s="28">
        <v>0.34305555555555561</v>
      </c>
      <c r="U66" s="4">
        <f t="shared" si="37"/>
        <v>7.9999999999999716</v>
      </c>
      <c r="V66" s="22">
        <f t="shared" si="36"/>
        <v>16.000000000000021</v>
      </c>
      <c r="W66" s="23"/>
      <c r="X66" s="23"/>
      <c r="Y66" s="23"/>
      <c r="Z66" s="23"/>
      <c r="AA66" s="164"/>
      <c r="AB66" s="164"/>
      <c r="AC66" s="25"/>
      <c r="AD66" s="25"/>
      <c r="AE66" s="19">
        <f t="shared" si="33"/>
        <v>-48.750000000003183</v>
      </c>
      <c r="AF66" s="21">
        <f t="shared" si="8"/>
        <v>0.97968749999999871</v>
      </c>
      <c r="AG66" s="172"/>
    </row>
    <row r="67" spans="1:33" ht="15.75" customHeight="1">
      <c r="A67" s="170" t="s">
        <v>2392</v>
      </c>
      <c r="B67" s="4" t="s">
        <v>100</v>
      </c>
      <c r="C67" s="165" t="s">
        <v>135</v>
      </c>
      <c r="D67" s="165"/>
      <c r="E67" s="37">
        <v>19.02</v>
      </c>
      <c r="F67" s="4">
        <v>7250</v>
      </c>
      <c r="G67" s="4">
        <v>137895</v>
      </c>
      <c r="H67" s="22" t="s">
        <v>139</v>
      </c>
      <c r="I67" s="16">
        <v>15</v>
      </c>
      <c r="J67" s="18">
        <v>2400</v>
      </c>
      <c r="K67" s="17">
        <f t="shared" si="0"/>
        <v>160</v>
      </c>
      <c r="L67" s="16">
        <v>15</v>
      </c>
      <c r="M67" s="18">
        <f t="shared" si="35"/>
        <v>2289.4736842105258</v>
      </c>
      <c r="N67" s="17">
        <f t="shared" si="2"/>
        <v>152.63157894736838</v>
      </c>
      <c r="O67" s="19">
        <f t="shared" si="3"/>
        <v>0</v>
      </c>
      <c r="P67" s="20">
        <f t="shared" si="4"/>
        <v>-7.3684210526316178</v>
      </c>
      <c r="Q67" s="21">
        <f t="shared" si="5"/>
        <v>0.95394736842105243</v>
      </c>
      <c r="R67" s="172"/>
      <c r="S67" s="28">
        <v>0.34791666666666671</v>
      </c>
      <c r="T67" s="28">
        <v>0.47986111111111118</v>
      </c>
      <c r="U67" s="4">
        <f t="shared" si="37"/>
        <v>6.9999999999999751</v>
      </c>
      <c r="V67" s="22">
        <f t="shared" si="36"/>
        <v>190.00000000000006</v>
      </c>
      <c r="W67" s="23"/>
      <c r="X67" s="23"/>
      <c r="Y67" s="23"/>
      <c r="Z67" s="23"/>
      <c r="AA67" s="164"/>
      <c r="AB67" s="164"/>
      <c r="AC67" s="25"/>
      <c r="AD67" s="25"/>
      <c r="AE67" s="19">
        <f t="shared" si="33"/>
        <v>-110.52631578947421</v>
      </c>
      <c r="AF67" s="21">
        <f t="shared" si="8"/>
        <v>0.95394736842105243</v>
      </c>
      <c r="AG67" s="172"/>
    </row>
    <row r="68" spans="1:33" ht="16.5" customHeight="1">
      <c r="A68" s="171" t="s">
        <v>2392</v>
      </c>
      <c r="B68" s="37" t="s">
        <v>51</v>
      </c>
      <c r="C68" s="166"/>
      <c r="D68" s="167"/>
      <c r="E68" s="38"/>
      <c r="F68" s="17"/>
      <c r="G68" s="17"/>
      <c r="H68" s="4"/>
      <c r="I68" s="30">
        <v>16.600000000000001</v>
      </c>
      <c r="J68" s="18">
        <v>2400</v>
      </c>
      <c r="K68" s="17">
        <f t="shared" si="0"/>
        <v>144.57831325301203</v>
      </c>
      <c r="L68" s="30">
        <v>16.600000000000001</v>
      </c>
      <c r="M68" s="18">
        <f>AVERAGE(M63:M67)</f>
        <v>2305.9695120668794</v>
      </c>
      <c r="N68" s="17">
        <f t="shared" si="2"/>
        <v>138.91382602812524</v>
      </c>
      <c r="O68" s="19">
        <f t="shared" si="3"/>
        <v>0</v>
      </c>
      <c r="P68" s="20">
        <f t="shared" si="4"/>
        <v>-5.6644872248867841</v>
      </c>
      <c r="Q68" s="21">
        <f t="shared" si="5"/>
        <v>0.96082063002786644</v>
      </c>
      <c r="R68" s="172"/>
      <c r="S68" s="28"/>
      <c r="T68" s="28"/>
      <c r="U68" s="17"/>
      <c r="V68" s="22"/>
      <c r="W68" s="17"/>
      <c r="X68" s="17"/>
      <c r="Y68" s="31">
        <f>SUM(Y63:Y67)</f>
        <v>0</v>
      </c>
      <c r="Z68" s="31">
        <f>SUM(Z63:Z67)</f>
        <v>0</v>
      </c>
      <c r="AA68" s="168"/>
      <c r="AB68" s="168"/>
      <c r="AC68" s="31">
        <v>5</v>
      </c>
      <c r="AD68" s="31">
        <f>SUM(AD63:AD67)</f>
        <v>0</v>
      </c>
      <c r="AE68" s="19">
        <f t="shared" si="33"/>
        <v>-94.030487933120639</v>
      </c>
      <c r="AF68" s="21">
        <f t="shared" si="8"/>
        <v>0.96082063002786644</v>
      </c>
      <c r="AG68" s="172"/>
    </row>
    <row r="69" spans="1:33">
      <c r="D69" s="33"/>
      <c r="E69" s="33"/>
    </row>
  </sheetData>
  <mergeCells count="189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14:D14"/>
    <mergeCell ref="R14:R19"/>
    <mergeCell ref="AA14:AB14"/>
    <mergeCell ref="AG14:AG19"/>
    <mergeCell ref="C18:D18"/>
    <mergeCell ref="AA18:AB18"/>
    <mergeCell ref="C19:D19"/>
    <mergeCell ref="AA19:AB19"/>
    <mergeCell ref="A20:A25"/>
    <mergeCell ref="C20:D20"/>
    <mergeCell ref="R20:R25"/>
    <mergeCell ref="AA20:AB20"/>
    <mergeCell ref="AA25:AB25"/>
    <mergeCell ref="A14:A19"/>
    <mergeCell ref="AG26:AG31"/>
    <mergeCell ref="C27:D27"/>
    <mergeCell ref="AA27:AB27"/>
    <mergeCell ref="C28:D28"/>
    <mergeCell ref="AA28:AB28"/>
    <mergeCell ref="C29:D29"/>
    <mergeCell ref="AG20:AG25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29:AB29"/>
    <mergeCell ref="C30:D30"/>
    <mergeCell ref="AA30:AB30"/>
    <mergeCell ref="C31:D31"/>
    <mergeCell ref="AA31:AB31"/>
    <mergeCell ref="A32:A37"/>
    <mergeCell ref="C32:D32"/>
    <mergeCell ref="R32:R37"/>
    <mergeCell ref="AA32:AB32"/>
    <mergeCell ref="AA37:AB37"/>
    <mergeCell ref="A26:A31"/>
    <mergeCell ref="C26:D26"/>
    <mergeCell ref="R26:R31"/>
    <mergeCell ref="AA26:AB26"/>
    <mergeCell ref="AG38:AG46"/>
    <mergeCell ref="C39:D39"/>
    <mergeCell ref="AA39:AB39"/>
    <mergeCell ref="C40:D40"/>
    <mergeCell ref="AA40:AB40"/>
    <mergeCell ref="C41:D41"/>
    <mergeCell ref="AG32:AG37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A41:AB41"/>
    <mergeCell ref="C42:D42"/>
    <mergeCell ref="AA42:AB42"/>
    <mergeCell ref="C43:D43"/>
    <mergeCell ref="AA43:AB43"/>
    <mergeCell ref="C44:D44"/>
    <mergeCell ref="AA44:AB44"/>
    <mergeCell ref="A38:A46"/>
    <mergeCell ref="C38:D38"/>
    <mergeCell ref="R38:R46"/>
    <mergeCell ref="AA38:AB38"/>
    <mergeCell ref="C45:D45"/>
    <mergeCell ref="AA45:AB45"/>
    <mergeCell ref="C46:D46"/>
    <mergeCell ref="AA46:AB46"/>
    <mergeCell ref="A47:A55"/>
    <mergeCell ref="C47:D47"/>
    <mergeCell ref="R47:R55"/>
    <mergeCell ref="AA47:AB47"/>
    <mergeCell ref="AA53:AB53"/>
    <mergeCell ref="C54:D54"/>
    <mergeCell ref="AG47:AG55"/>
    <mergeCell ref="C48:D48"/>
    <mergeCell ref="AA48:AB48"/>
    <mergeCell ref="C49:D49"/>
    <mergeCell ref="AA49:AB49"/>
    <mergeCell ref="AA50:AB50"/>
    <mergeCell ref="AA51:AB51"/>
    <mergeCell ref="C52:D52"/>
    <mergeCell ref="AA52:AB52"/>
    <mergeCell ref="C53:D53"/>
    <mergeCell ref="AA54:AB54"/>
    <mergeCell ref="C55:D55"/>
    <mergeCell ref="AA55:AB55"/>
    <mergeCell ref="AG63:AG68"/>
    <mergeCell ref="C64:D64"/>
    <mergeCell ref="AA64:AB64"/>
    <mergeCell ref="C65:D65"/>
    <mergeCell ref="AA65:AB65"/>
    <mergeCell ref="C66:D66"/>
    <mergeCell ref="AG56:AG62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A66:AB66"/>
    <mergeCell ref="C67:D67"/>
    <mergeCell ref="AA67:AB67"/>
    <mergeCell ref="C68:D68"/>
    <mergeCell ref="AA68:AB68"/>
    <mergeCell ref="A63:A68"/>
    <mergeCell ref="C63:D63"/>
    <mergeCell ref="R63:R68"/>
    <mergeCell ref="AA63:AB63"/>
    <mergeCell ref="A56:A62"/>
    <mergeCell ref="C56:D56"/>
    <mergeCell ref="R56:R62"/>
    <mergeCell ref="AA56:AB56"/>
    <mergeCell ref="AA61:AB61"/>
    <mergeCell ref="C62:D62"/>
    <mergeCell ref="AA62:AB62"/>
  </mergeCells>
  <phoneticPr fontId="3" type="noConversion"/>
  <conditionalFormatting sqref="O5:O68">
    <cfRule type="cellIs" dxfId="256" priority="9" operator="greaterThan">
      <formula>0</formula>
    </cfRule>
  </conditionalFormatting>
  <conditionalFormatting sqref="P5:P68">
    <cfRule type="cellIs" dxfId="255" priority="1" operator="lessThan">
      <formula>0</formula>
    </cfRule>
  </conditionalFormatting>
  <conditionalFormatting sqref="Q5:Q68 AF5:AF68">
    <cfRule type="cellIs" dxfId="254" priority="10" operator="greaterThan">
      <formula>1</formula>
    </cfRule>
    <cfRule type="cellIs" dxfId="253" priority="11" operator="lessThan">
      <formula>0.8</formula>
    </cfRule>
  </conditionalFormatting>
  <conditionalFormatting sqref="R5:R11 AG5:AG11">
    <cfRule type="cellIs" dxfId="252" priority="64" operator="lessThan">
      <formula>0.8</formula>
    </cfRule>
  </conditionalFormatting>
  <conditionalFormatting sqref="AE5:AE68">
    <cfRule type="cellIs" dxfId="251" priority="12" operator="lessThan">
      <formula>0</formula>
    </cfRule>
  </conditionalFormatting>
  <conditionalFormatting sqref="AG14:AG59 R14:R68">
    <cfRule type="cellIs" dxfId="250" priority="13" operator="lessThan">
      <formula>0.8</formula>
    </cfRule>
  </conditionalFormatting>
  <dataValidations count="1">
    <dataValidation type="list" allowBlank="1" showInputMessage="1" showErrorMessage="1" sqref="AB10 AA5:AB9 AB60:AB61 AA10:AA61 AB12:AB56 AA62:AB68" xr:uid="{00000000-0002-0000-0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32"/>
  <sheetViews>
    <sheetView zoomScale="85" zoomScaleNormal="85" workbookViewId="0">
      <selection activeCell="A13" sqref="A13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2201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2202</v>
      </c>
      <c r="C3" s="153" t="str">
        <f>TEXT('0225 4度C'!A2,"yyyy.mm.ddaaaa")</f>
        <v>2026.02.25星期三</v>
      </c>
      <c r="D3" s="154"/>
      <c r="E3" s="47" t="s">
        <v>2203</v>
      </c>
      <c r="F3" s="155">
        <f>'0225 4度C'!D1</f>
        <v>150786</v>
      </c>
      <c r="G3" s="156"/>
      <c r="H3" s="47" t="s">
        <v>2204</v>
      </c>
      <c r="I3" s="157">
        <f>'0225 4度C'!F1</f>
        <v>5058734.68</v>
      </c>
      <c r="J3" s="158"/>
      <c r="K3" s="48"/>
      <c r="L3" s="49"/>
      <c r="M3" s="49"/>
      <c r="N3" s="49"/>
    </row>
    <row r="4" spans="2:17" ht="28.5" customHeight="1">
      <c r="B4" s="159" t="s">
        <v>144</v>
      </c>
      <c r="C4" s="145" t="s">
        <v>2205</v>
      </c>
      <c r="D4" s="146"/>
      <c r="E4" s="162" t="s">
        <v>2206</v>
      </c>
      <c r="F4" s="163"/>
      <c r="G4" s="162" t="s">
        <v>2207</v>
      </c>
      <c r="H4" s="163"/>
      <c r="I4" s="162" t="s">
        <v>210</v>
      </c>
      <c r="J4" s="163"/>
      <c r="K4" s="143" t="s">
        <v>2208</v>
      </c>
      <c r="L4" s="144"/>
      <c r="M4" s="144" t="s">
        <v>2209</v>
      </c>
      <c r="N4" s="144"/>
    </row>
    <row r="5" spans="2:17" ht="28.5" customHeight="1">
      <c r="B5" s="160"/>
      <c r="C5" s="145" t="s">
        <v>2210</v>
      </c>
      <c r="D5" s="146"/>
      <c r="E5" s="145" t="s">
        <v>2211</v>
      </c>
      <c r="F5" s="146"/>
      <c r="G5" s="147" t="s">
        <v>737</v>
      </c>
      <c r="H5" s="148"/>
      <c r="I5" s="149" t="s">
        <v>2212</v>
      </c>
      <c r="J5" s="150"/>
      <c r="K5" s="50" t="s">
        <v>2213</v>
      </c>
      <c r="L5" s="51" t="s">
        <v>2214</v>
      </c>
      <c r="M5" s="50" t="s">
        <v>2215</v>
      </c>
      <c r="N5" s="51" t="s">
        <v>2216</v>
      </c>
    </row>
    <row r="6" spans="2:17" ht="28.5" customHeight="1">
      <c r="B6" s="160"/>
      <c r="C6" s="145" t="s">
        <v>158</v>
      </c>
      <c r="D6" s="146"/>
      <c r="E6" s="137">
        <f>AVERAGE(D13:M13)</f>
        <v>145.74315721148605</v>
      </c>
      <c r="F6" s="138">
        <f>AVERAGE(D31:O31,D13:J13)</f>
        <v>149.10494987025598</v>
      </c>
      <c r="G6" s="139">
        <f>AVERAGE(D13:J13)</f>
        <v>149.10494987025598</v>
      </c>
      <c r="H6" s="140"/>
      <c r="I6" s="139">
        <f>AVERAGE(K13:M13)</f>
        <v>137.89897434102286</v>
      </c>
      <c r="J6" s="140"/>
      <c r="K6" s="141">
        <f>'0225 4度C'!Y2</f>
        <v>0</v>
      </c>
      <c r="L6" s="126">
        <f>'0225 4度C'!Z2</f>
        <v>0</v>
      </c>
      <c r="M6" s="142">
        <f>'0225 4度C'!AC2</f>
        <v>61</v>
      </c>
      <c r="N6" s="126">
        <f>'0225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139.84341599398923</v>
      </c>
      <c r="F7" s="130">
        <f>AVERAGE(D32:O32,D14:J14)</f>
        <v>143.22592054242253</v>
      </c>
      <c r="G7" s="131">
        <f>AVERAGE(D14:J14)</f>
        <v>143.22592054242253</v>
      </c>
      <c r="H7" s="132"/>
      <c r="I7" s="131">
        <f>AVERAGE(K14:M14)</f>
        <v>131.95090538097818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0.95889867104873583</v>
      </c>
      <c r="F8" s="134">
        <f>AVERAGE(D15:J15,D33:O33)</f>
        <v>0.95981637392358954</v>
      </c>
      <c r="G8" s="135">
        <f>AVERAGE(D15:J15)</f>
        <v>0.95981637392358954</v>
      </c>
      <c r="H8" s="136"/>
      <c r="I8" s="135">
        <f>AVERAGE(K15:M15)</f>
        <v>0.95675736434074377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2217</v>
      </c>
      <c r="N9" s="49"/>
      <c r="O9" s="49"/>
      <c r="P9" s="49"/>
      <c r="Q9" s="49"/>
    </row>
    <row r="10" spans="2:17" ht="30" customHeight="1">
      <c r="B10" s="109" t="s">
        <v>2218</v>
      </c>
      <c r="C10" s="110"/>
      <c r="D10" s="111" t="s">
        <v>2219</v>
      </c>
      <c r="E10" s="112"/>
      <c r="F10" s="112"/>
      <c r="G10" s="112"/>
      <c r="H10" s="112"/>
      <c r="I10" s="112"/>
      <c r="J10" s="113"/>
      <c r="K10" s="114" t="s">
        <v>164</v>
      </c>
      <c r="L10" s="115"/>
      <c r="M10" s="116"/>
      <c r="P10" s="55"/>
      <c r="Q10" s="55"/>
    </row>
    <row r="11" spans="2:17" ht="17.25" customHeight="1">
      <c r="B11" s="117" t="s">
        <v>2220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2221</v>
      </c>
      <c r="C13" s="62" t="s">
        <v>2222</v>
      </c>
      <c r="D13" s="63">
        <f>SUMIFS('0225 4度C'!$K:$K,'0225 4度C'!$A:$A,"新豐6線",'0225 4度C'!$B:$B,"平均")</f>
        <v>115.38461538461539</v>
      </c>
      <c r="E13" s="64">
        <f>SUMIFS('0225 4度C'!$K:$K,'0225 4度C'!$A:$A,"新豐2線",'0225 4度C'!$B:$B,"平均")</f>
        <v>83.333333333333329</v>
      </c>
      <c r="F13" s="65">
        <f>SUMIFS('0225 4度C'!$K:$K,'0225 4度C'!$A:$A,"新豐5線",'0225 4度C'!$B:$B,"平均")</f>
        <v>100</v>
      </c>
      <c r="G13" s="65">
        <f>SUMIFS('0225 4度C'!$K:$K,'0225 4度C'!$A:$A,"新豐7線",'0225 4度C'!$B:$B,"平均")</f>
        <v>128.37837837837839</v>
      </c>
      <c r="H13" s="65">
        <f>SUMIFS('0225 4度C'!$K:$K,'0225 4度C'!$A:$A,"新豐3線",'0225 4度C'!$B:$B,"平均")</f>
        <v>306.12244897959181</v>
      </c>
      <c r="I13" s="65">
        <f>SUMIFS('0225 4度C'!$K:$K,'0225 4度C'!$A:$A,"新豐1線",'0225 4度C'!$B:$B,"平均")</f>
        <v>104.16666666666666</v>
      </c>
      <c r="J13" s="66">
        <f>SUMIFS('0225 4度C'!$K:$K,'0225 4度C'!$A:$A,"新豐10線",'0225 4度C'!$B:$B,"平均")</f>
        <v>206.34920634920633</v>
      </c>
      <c r="K13" s="67">
        <f>SUMIFS('0225 4度C'!$K:$K,'0225 4度C'!$A:$A,"新豐8線",'0225 4度C'!$B:$B,"平均")</f>
        <v>130.90909090909091</v>
      </c>
      <c r="L13" s="68">
        <f>SUMIFS('0225 4度C'!$K:$K,'0225 4度C'!$A:$A,"新豐9線",'0225 4度C'!$B:$B,"平均")</f>
        <v>135.84905660377356</v>
      </c>
      <c r="M13" s="66">
        <f>SUMIFS('0225 4度C'!$K:$K,'0225 4度C'!$A:$A,"新豐4線",'0225 4度C'!$B:$B,"平均")</f>
        <v>146.9387755102041</v>
      </c>
    </row>
    <row r="14" spans="2:17" ht="39.6" customHeight="1">
      <c r="B14" s="122"/>
      <c r="C14" s="69" t="s">
        <v>2223</v>
      </c>
      <c r="D14" s="70">
        <f>SUMIFS('0225 4度C'!$N:$N,'0225 4度C'!$A:$A,"新豐6線",'0225 4度C'!$B:$B,"平均")</f>
        <v>111.74328912998028</v>
      </c>
      <c r="E14" s="71">
        <f>SUMIFS('0225 4度C'!$N:$N,'0225 4度C'!$A:$A,"新豐2線",'0225 4度C'!$B:$B,"平均")</f>
        <v>79.657316808001724</v>
      </c>
      <c r="F14" s="71">
        <f>SUMIFS('0225 4度C'!$N:$N,'0225 4度C'!$A:$A,"新豐5線",'0225 4度C'!$B:$B,"平均")</f>
        <v>95.840225787284666</v>
      </c>
      <c r="G14" s="71">
        <f>SUMIFS('0225 4度C'!$N:$N,'0225 4度C'!$A:$A,"新豐7線",'0225 4度C'!$B:$B,"平均")</f>
        <v>123.10655646715718</v>
      </c>
      <c r="H14" s="71">
        <f>SUMIFS('0225 4度C'!$N:$N,'0225 4度C'!$A:$A,"新豐3線",'0225 4度C'!$B:$B,"平均")</f>
        <v>293.65136728291304</v>
      </c>
      <c r="I14" s="71">
        <f>SUMIFS('0225 4度C'!$N:$N,'0225 4度C'!$A:$A,"新豐1線",'0225 4度C'!$B:$B,"平均")</f>
        <v>99.037420448533453</v>
      </c>
      <c r="J14" s="72">
        <f>SUMIFS('0225 4度C'!$N:$N,'0225 4度C'!$A:$A,"新豐10線",'0225 4度C'!$B:$B,"平均")</f>
        <v>199.54526787308731</v>
      </c>
      <c r="K14" s="73">
        <f>SUMIFS('0225 4度C'!$N:$N,'0225 4度C'!$A:$A,"新豐8線",'0225 4度C'!$B:$B,"平均")</f>
        <v>125.09958069711308</v>
      </c>
      <c r="L14" s="74">
        <f>SUMIFS('0225 4度C'!$N:$N,'0225 4度C'!$A:$A,"新豐9線",'0225 4度C'!$B:$B,"平均")</f>
        <v>129.64462364339732</v>
      </c>
      <c r="M14" s="72">
        <f>SUMIFS('0225 4度C'!$N:$N,'0225 4度C'!$A:$A,"新豐4線",'0225 4度C'!$B:$B,"平均")</f>
        <v>141.1085118024242</v>
      </c>
    </row>
    <row r="15" spans="2:17" ht="40.15" customHeight="1">
      <c r="B15" s="123"/>
      <c r="C15" s="75" t="s">
        <v>2224</v>
      </c>
      <c r="D15" s="76">
        <f t="shared" ref="D15:M15" si="0">D14/D13</f>
        <v>0.96844183912649573</v>
      </c>
      <c r="E15" s="77">
        <f t="shared" si="0"/>
        <v>0.95588780169602072</v>
      </c>
      <c r="F15" s="77">
        <f t="shared" si="0"/>
        <v>0.95840225787284661</v>
      </c>
      <c r="G15" s="77">
        <f t="shared" si="0"/>
        <v>0.9589352819546979</v>
      </c>
      <c r="H15" s="77">
        <f t="shared" si="0"/>
        <v>0.95926113312418271</v>
      </c>
      <c r="I15" s="77">
        <f t="shared" si="0"/>
        <v>0.95075923630592118</v>
      </c>
      <c r="J15" s="78">
        <f t="shared" si="0"/>
        <v>0.96702706738496169</v>
      </c>
      <c r="K15" s="76">
        <f t="shared" si="0"/>
        <v>0.95562179699183603</v>
      </c>
      <c r="L15" s="77">
        <f t="shared" si="0"/>
        <v>0.95432847959723044</v>
      </c>
      <c r="M15" s="78">
        <f t="shared" si="0"/>
        <v>0.96032181643316461</v>
      </c>
    </row>
    <row r="16" spans="2:17" ht="17.25" customHeight="1">
      <c r="B16" s="124" t="s">
        <v>595</v>
      </c>
      <c r="C16" s="79" t="s">
        <v>2225</v>
      </c>
      <c r="D16" s="80">
        <f>VLOOKUP("新豐6線",'0225 4度C'!$A:$T,19,0)</f>
        <v>0.70833333333333337</v>
      </c>
      <c r="E16" s="81">
        <f>VLOOKUP("新豐2線",'0225 4度C'!$A:$T,19,0)</f>
        <v>0.20833333333333334</v>
      </c>
      <c r="F16" s="81">
        <f>VLOOKUP("新豐5線",'0225 4度C'!$A:$T,19,0)</f>
        <v>0.20833333333333334</v>
      </c>
      <c r="G16" s="81">
        <f>VLOOKUP("新豐7線",'0225 4度C'!$A:$T,19,0)</f>
        <v>0.20833333333333334</v>
      </c>
      <c r="H16" s="81">
        <f>VLOOKUP("新豐3線",'0225 4度C'!$A:$T,19,0)</f>
        <v>0.20833333333333334</v>
      </c>
      <c r="I16" s="81">
        <f>VLOOKUP("新豐1線",'0225 4度C'!$A:$T,19,0)</f>
        <v>0.20833333333333334</v>
      </c>
      <c r="J16" s="82">
        <f>VLOOKUP("新豐10線",'0225 4度C'!$A:$T,19,0)</f>
        <v>0.20833333333333334</v>
      </c>
      <c r="K16" s="83">
        <f>VLOOKUP("新豐8線",'0225 4度C'!$A:$T,19,0)</f>
        <v>0.125</v>
      </c>
      <c r="L16" s="84">
        <f>VLOOKUP("新豐9線",'0225 4度C'!$A:$T,19,0)</f>
        <v>0.125</v>
      </c>
      <c r="M16" s="85">
        <f>VLOOKUP("新豐4線",'0225 4度C'!$A:$T,19,0)</f>
        <v>0.125</v>
      </c>
    </row>
    <row r="17" spans="2:13" ht="17.25" customHeight="1">
      <c r="B17" s="125"/>
      <c r="C17" s="79" t="s">
        <v>2226</v>
      </c>
      <c r="D17" s="83">
        <f>LOOKUP(2,1/(('0225 4度C'!$A:$A="新豐6線")*('0225 4度C'!$T:$T&lt;&gt;"")),'0225 4度C'!$T:$T)</f>
        <v>0.84444444444444444</v>
      </c>
      <c r="E17" s="81">
        <f>LOOKUP(2,1/(('0225 4度C'!$A:$A="新豐2線")*('0225 4度C'!$T:$T&lt;&gt;"")),'0225 4度C'!$T:$T)</f>
        <v>0.46111111111111114</v>
      </c>
      <c r="F17" s="81">
        <f>LOOKUP(2,1/(('0225 4度C'!$A:$A="新豐5線")*('0225 4度C'!$T:$T&lt;&gt;"")),'0225 4度C'!$T:$T)</f>
        <v>0.84097222222222212</v>
      </c>
      <c r="G17" s="81">
        <f>LOOKUP(2,1/(('0225 4度C'!$A:$A="新豐7線")*('0225 4度C'!$T:$T&lt;&gt;"")),'0225 4度C'!$T:$T)</f>
        <v>0.8388888888888888</v>
      </c>
      <c r="H17" s="81">
        <f>LOOKUP(2,1/(('0225 4度C'!$A:$A="新豐3線")*('0225 4度C'!$T:$T&lt;&gt;"")),'0225 4度C'!$T:$T)</f>
        <v>0.68194444444444435</v>
      </c>
      <c r="I17" s="81">
        <f>LOOKUP(2,1/(('0225 4度C'!$A:$A="新豐1線")*('0225 4度C'!$T:$T&lt;&gt;"")),'0225 4度C'!$T:$T)</f>
        <v>0.84583333333333333</v>
      </c>
      <c r="J17" s="82">
        <f>LOOKUP(2,1/(('0225 4度C'!$A:$A="新豐10線")*('0225 4度C'!$T:$T&lt;&gt;"")),'0225 4度C'!$T:$T)</f>
        <v>0.42569444444444443</v>
      </c>
      <c r="K17" s="80">
        <f>LOOKUP(2,1/(('0225 4度C'!$A:$A="新豐8線")*('0225 4度C'!$T:$T&lt;&gt;"")),'0225 4度C'!$T:$T)</f>
        <v>0.63680555555555551</v>
      </c>
      <c r="L17" s="81">
        <f>LOOKUP(2,1/(('0225 4度C'!$A:$A="新豐9線")*('0225 4度C'!$T:$T&lt;&gt;"")),'0225 4度C'!$T:$T)</f>
        <v>0.625</v>
      </c>
      <c r="M17" s="82">
        <f>LOOKUP(2,1/(('0225 4度C'!$A:$A="新豐4線")*('0225 4度C'!$T:$T&lt;&gt;"")),'0225 4度C'!$T:$T)</f>
        <v>0.60902777777777772</v>
      </c>
    </row>
    <row r="18" spans="2:13" ht="17.25" customHeight="1">
      <c r="B18" s="103" t="s">
        <v>2227</v>
      </c>
      <c r="C18" s="86" t="s">
        <v>2228</v>
      </c>
      <c r="D18" s="87">
        <f>SUMIFS('0225 4度C'!$Y:$Y,'0225 4度C'!$A:$A,"新豐6線",'0225 4度C'!$B:$B,"平均")</f>
        <v>0</v>
      </c>
      <c r="E18" s="88">
        <f>SUMIFS('0225 4度C'!$Y:$Y,'0225 4度C'!$A:$A,"新豐2線",'0225 4度C'!$B:$B,"平均")</f>
        <v>0</v>
      </c>
      <c r="F18" s="88">
        <f>SUMIFS('0225 4度C'!$Y:$Y,'0225 4度C'!$A:$A,"新豐5線",'0225 4度C'!$B:$B,"平均")</f>
        <v>0</v>
      </c>
      <c r="G18" s="88">
        <f>SUMIFS('0225 4度C'!$Y:$Y,'0225 4度C'!$A:$A,"新豐7線",'0225 4度C'!$B:$B,"平均")</f>
        <v>0</v>
      </c>
      <c r="H18" s="88">
        <f>SUMIFS('0225 4度C'!$Y:$Y,'0225 4度C'!$A:$A,"新豐3線",'0225 4度C'!$B:$B,"平均")</f>
        <v>0</v>
      </c>
      <c r="I18" s="88">
        <f>SUMIFS('0225 4度C'!$Y:$Y,'0225 4度C'!$A:$A,"新豐1線",'0225 4度C'!$B:$B,"平均")</f>
        <v>0</v>
      </c>
      <c r="J18" s="89">
        <f>SUMIFS('0225 4度C'!$Y:$Y,'0225 4度C'!$A:$A,"新豐10線",'0225 4度C'!$B:$B,"平均")</f>
        <v>0</v>
      </c>
      <c r="K18" s="90">
        <f>SUMIFS('0225 4度C'!$Y:$Y,'0225 4度C'!$A:$A,"新豐8線",'0225 4度C'!$B:$B,"平均")</f>
        <v>0</v>
      </c>
      <c r="L18" s="88">
        <f>SUMIFS('0225 4度C'!$Y:$Y,'0225 4度C'!$A:$A,"新豐9線",'0225 4度C'!$B:$B,"平均")</f>
        <v>0</v>
      </c>
      <c r="M18" s="89">
        <f>SUMIFS('0225 4度C'!$Y:$Y,'0225 4度C'!$A:$A,"新豐4線",'0225 4度C'!$B:$B,"平均")</f>
        <v>0</v>
      </c>
    </row>
    <row r="19" spans="2:13" ht="17.25" customHeight="1">
      <c r="B19" s="104"/>
      <c r="C19" s="86" t="s">
        <v>2229</v>
      </c>
      <c r="D19" s="87">
        <f>SUMIFS('0225 4度C'!$Z:$Z,'0225 4度C'!$A:$A,"新豐6線",'0225 4度C'!$B:$B,"平均")</f>
        <v>0</v>
      </c>
      <c r="E19" s="88">
        <f>SUMIFS('0225 4度C'!$Z:$Z,'0225 4度C'!$A:$A,"新豐2線",'0225 4度C'!$B:$B,"平均")</f>
        <v>0</v>
      </c>
      <c r="F19" s="88">
        <f>SUMIFS('0225 4度C'!$Z:$Z,'0225 4度C'!$A:$A,"新豐5線",'0225 4度C'!$B:$B,"平均")</f>
        <v>0</v>
      </c>
      <c r="G19" s="88">
        <f>SUMIFS('0225 4度C'!$Z:$Z,'0225 4度C'!$A:$A,"新豐7線",'0225 4度C'!$B:$B,"平均")</f>
        <v>0</v>
      </c>
      <c r="H19" s="88">
        <f>SUMIFS('0225 4度C'!$Z:$Z,'0225 4度C'!$A:$A,"新豐3線",'0225 4度C'!$B:$B,"平均")</f>
        <v>0</v>
      </c>
      <c r="I19" s="88">
        <f>SUMIFS('0225 4度C'!$Z:$Z,'0225 4度C'!$A:$A,"新豐1線",'0225 4度C'!$B:$B,"平均")</f>
        <v>0</v>
      </c>
      <c r="J19" s="89">
        <f>SUMIFS('0225 4度C'!$Z:$Z,'0225 4度C'!$A:$A,"新豐10線",'0225 4度C'!$B:$B,"平均")</f>
        <v>0</v>
      </c>
      <c r="K19" s="90">
        <f>SUMIFS('0225 4度C'!$Z:$Z,'0225 4度C'!$A:$A,"新豐8線",'0225 4度C'!$B:$B,"平均")</f>
        <v>0</v>
      </c>
      <c r="L19" s="88">
        <f>SUMIFS('0225 4度C'!$Z:$Z,'0225 4度C'!$A:$A,"新豐9線",'0225 4度C'!$B:$B,"平均")</f>
        <v>0</v>
      </c>
      <c r="M19" s="89">
        <f>SUMIFS('0225 4度C'!$Z:$Z,'0225 4度C'!$A:$A,"新豐4線",'0225 4度C'!$B:$B,"平均")</f>
        <v>0</v>
      </c>
    </row>
    <row r="20" spans="2:13" ht="17.25" customHeight="1">
      <c r="B20" s="103" t="s">
        <v>2230</v>
      </c>
      <c r="C20" s="86" t="s">
        <v>42</v>
      </c>
      <c r="D20" s="87">
        <f>SUMIFS('0225 4度C'!$AC:$AC,'0225 4度C'!$A:$A,"新豐6線",'0225 4度C'!$B:$B,"平均")</f>
        <v>6</v>
      </c>
      <c r="E20" s="88">
        <f>SUMIFS('0225 4度C'!$AC:$AC,'0225 4度C'!$A:$A,"新豐2線",'0225 4度C'!$B:$B,"平均")</f>
        <v>2</v>
      </c>
      <c r="F20" s="88">
        <f>SUMIFS('0225 4度C'!$AC:$AC,'0225 4度C'!$A:$A,"新豐5線",'0225 4度C'!$B:$B,"平均")</f>
        <v>5</v>
      </c>
      <c r="G20" s="88">
        <f>SUMIFS('0225 4度C'!$AC:$AC,'0225 4度C'!$A:$A,"新豐7線",'0225 4度C'!$B:$B,"平均")</f>
        <v>5</v>
      </c>
      <c r="H20" s="88">
        <f>SUMIFS('0225 4度C'!$AC:$AC,'0225 4度C'!$A:$A,"新豐3線",'0225 4度C'!$B:$B,"平均")</f>
        <v>10</v>
      </c>
      <c r="I20" s="88">
        <f>SUMIFS('0225 4度C'!$AC:$AC,'0225 4度C'!$A:$A,"新豐1線",'0225 4度C'!$B:$B,"平均")</f>
        <v>9</v>
      </c>
      <c r="J20" s="89">
        <f>SUMIFS('0225 4度C'!$AC:$AC,'0225 4度C'!$A:$A,"新豐10線",'0225 4度C'!$B:$B,"平均")</f>
        <v>6</v>
      </c>
      <c r="K20" s="90">
        <f>SUMIFS('0225 4度C'!$AC:$AC,'0225 4度C'!$A:$A,"新豐8線",'0225 4度C'!$B:$B,"平均")</f>
        <v>6</v>
      </c>
      <c r="L20" s="88">
        <f>SUMIFS('0225 4度C'!$AC:$AC,'0225 4度C'!$A:$A,"新豐9線",'0225 4度C'!$B:$B,"平均")</f>
        <v>6</v>
      </c>
      <c r="M20" s="89">
        <f>SUMIFS('0225 4度C'!$AC:$AC,'0225 4度C'!$A:$A,"新豐4線",'0225 4度C'!$B:$B,"平均")</f>
        <v>6</v>
      </c>
    </row>
    <row r="21" spans="2:13" ht="17.25" customHeight="1">
      <c r="B21" s="104"/>
      <c r="C21" s="86" t="s">
        <v>188</v>
      </c>
      <c r="D21" s="87">
        <f>SUMIFS('0225 4度C'!$AD:$AD,'0225 4度C'!$A:$A,"新豐6線",'0225 4度C'!$B:$B,"平均")</f>
        <v>0</v>
      </c>
      <c r="E21" s="88">
        <f>SUMIFS('0225 4度C'!$AD:$AD,'0225 4度C'!$A:$A,"新豐2線",'0225 4度C'!$B:$B,"平均")</f>
        <v>0</v>
      </c>
      <c r="F21" s="88">
        <f>SUMIFS('0225 4度C'!$AD:$AD,'0225 4度C'!$A:$A,"新豐5線",'0225 4度C'!$B:$B,"平均")</f>
        <v>0</v>
      </c>
      <c r="G21" s="88">
        <f>SUMIFS('0225 4度C'!$AD:$AD,'0225 4度C'!$A:$A,"新豐7線",'0225 4度C'!$B:$B,"平均")</f>
        <v>0</v>
      </c>
      <c r="H21" s="88">
        <f>SUMIFS('0225 4度C'!$AD:$AD,'0225 4度C'!$A:$A,"新豐3線",'0225 4度C'!$B:$B,"平均")</f>
        <v>0</v>
      </c>
      <c r="I21" s="88">
        <f>SUMIFS('0225 4度C'!$AD:$AD,'0225 4度C'!$A:$A,"新豐1線",'0225 4度C'!$B:$B,"平均")</f>
        <v>0</v>
      </c>
      <c r="J21" s="89">
        <f>SUMIFS('0225 4度C'!$AD:$AD,'0225 4度C'!$A:$A,"新豐10線",'0225 4度C'!$B:$B,"平均")</f>
        <v>0</v>
      </c>
      <c r="K21" s="90">
        <f>SUMIFS('0225 4度C'!$AD:$AD,'0225 4度C'!$A:$A,"新豐8線",'0225 4度C'!$B:$B,"平均")</f>
        <v>0</v>
      </c>
      <c r="L21" s="88">
        <f>SUMIFS('0225 4度C'!$AD:$AD,'0225 4度C'!$A:$A,"新豐9線",'0225 4度C'!$B:$B,"平均")</f>
        <v>0</v>
      </c>
      <c r="M21" s="89">
        <f>SUMIFS('0225 4度C'!$AD:$AD,'0225 4度C'!$A:$A,"新豐4線",'0225 4度C'!$B:$B,"平均")</f>
        <v>0</v>
      </c>
    </row>
    <row r="22" spans="2:13" ht="17.25" customHeight="1">
      <c r="B22" s="105" t="s">
        <v>189</v>
      </c>
      <c r="C22" s="106"/>
      <c r="D22" s="91">
        <f>SUMIFS('0225 4度C'!$I:$I,'0225 4度C'!$A:$A,"新豐6線",'0225 4度C'!$B:$B,"平均")</f>
        <v>17.333333333333332</v>
      </c>
      <c r="E22" s="92">
        <f>SUMIFS('0225 4度C'!$I:$I,'0225 4度C'!$A:$A,"新豐2線",'0225 4度C'!$B:$B,"平均")</f>
        <v>18</v>
      </c>
      <c r="F22" s="92">
        <f>SUMIFS('0225 4度C'!$I:$I,'0225 4度C'!$A:$A,"新豐5線",'0225 4度C'!$B:$B,"平均")</f>
        <v>18</v>
      </c>
      <c r="G22" s="92">
        <f>SUMIFS('0225 4度C'!$I:$I,'0225 4度C'!$A:$A,"新豐7線",'0225 4度C'!$B:$B,"平均")</f>
        <v>14.8</v>
      </c>
      <c r="H22" s="92">
        <f>SUMIFS('0225 4度C'!$I:$I,'0225 4度C'!$A:$A,"新豐3線",'0225 4度C'!$B:$B,"平均")</f>
        <v>9.8000000000000007</v>
      </c>
      <c r="I22" s="92">
        <f>SUMIFS('0225 4度C'!$I:$I,'0225 4度C'!$A:$A,"新豐1線",'0225 4度C'!$B:$B,"平均")</f>
        <v>18.666666666666668</v>
      </c>
      <c r="J22" s="93">
        <f>SUMIFS('0225 4度C'!$I:$I,'0225 4度C'!$A:$A,"新豐10線",'0225 4度C'!$B:$B,"平均")</f>
        <v>10.5</v>
      </c>
      <c r="K22" s="91">
        <f>SUMIFS('0225 4度C'!$I:$I,'0225 4度C'!$A:$A,"新豐8線",'0225 4度C'!$B:$B,"平均")</f>
        <v>18.333333333333332</v>
      </c>
      <c r="L22" s="92">
        <f>SUMIFS('0225 4度C'!$I:$I,'0225 4度C'!$A:$A,"新豐9線",'0225 4度C'!$B:$B,"平均")</f>
        <v>17.666666666666668</v>
      </c>
      <c r="M22" s="93">
        <f>SUMIFS('0225 4度C'!$I:$I,'0225 4度C'!$A:$A,"新豐4線",'0225 4度C'!$B:$B,"平均")</f>
        <v>16.333333333333332</v>
      </c>
    </row>
    <row r="23" spans="2:13" ht="17.25" customHeight="1">
      <c r="B23" s="105" t="s">
        <v>2231</v>
      </c>
      <c r="C23" s="106"/>
      <c r="D23" s="94" t="s">
        <v>191</v>
      </c>
      <c r="E23" s="95" t="s">
        <v>192</v>
      </c>
      <c r="F23" s="95" t="s">
        <v>2232</v>
      </c>
      <c r="G23" s="95" t="s">
        <v>2232</v>
      </c>
      <c r="H23" s="95" t="s">
        <v>194</v>
      </c>
      <c r="I23" s="95" t="s">
        <v>191</v>
      </c>
      <c r="J23" s="96" t="s">
        <v>194</v>
      </c>
      <c r="K23" s="94" t="s">
        <v>606</v>
      </c>
      <c r="L23" s="95" t="s">
        <v>2233</v>
      </c>
      <c r="M23" s="96" t="s">
        <v>2233</v>
      </c>
    </row>
    <row r="24" spans="2:13" ht="17.25" customHeight="1">
      <c r="B24" s="105" t="s">
        <v>2234</v>
      </c>
      <c r="C24" s="106"/>
      <c r="D24" s="94"/>
      <c r="E24" s="95"/>
      <c r="F24" s="95" t="s">
        <v>2235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2236</v>
      </c>
      <c r="C25" s="108"/>
      <c r="D25" s="97"/>
      <c r="E25" s="98" t="s">
        <v>2237</v>
      </c>
      <c r="F25" s="101" t="s">
        <v>2238</v>
      </c>
      <c r="G25" s="102"/>
      <c r="H25" s="98" t="s">
        <v>2239</v>
      </c>
      <c r="I25" s="98" t="s">
        <v>2240</v>
      </c>
      <c r="J25" s="99" t="s">
        <v>201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4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A9" sqref="A9"/>
      <selection pane="bottomLeft" activeCell="A9" sqref="A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2241</v>
      </c>
      <c r="B1" s="1"/>
      <c r="C1" s="2" t="s">
        <v>2242</v>
      </c>
      <c r="D1" s="3">
        <f>SUM(F5:F75)</f>
        <v>150786</v>
      </c>
      <c r="E1" s="4" t="s">
        <v>2243</v>
      </c>
      <c r="F1" s="1">
        <f>SUM(G5:G75)</f>
        <v>5058734.68</v>
      </c>
      <c r="G1" s="1" t="s">
        <v>2244</v>
      </c>
      <c r="H1" s="5">
        <f>L11+L14+L51+L61+L20+L68+L33+L40+L26+L75</f>
        <v>159.43333333333334</v>
      </c>
      <c r="I1" s="214" t="s">
        <v>2245</v>
      </c>
      <c r="J1" s="214"/>
      <c r="K1" s="214"/>
      <c r="L1" s="214" t="s">
        <v>2246</v>
      </c>
      <c r="M1" s="214"/>
      <c r="N1" s="214"/>
      <c r="O1" s="214" t="s">
        <v>2247</v>
      </c>
      <c r="P1" s="214"/>
      <c r="Q1" s="214"/>
      <c r="R1" s="214"/>
      <c r="S1" s="214" t="s">
        <v>2248</v>
      </c>
      <c r="T1" s="214"/>
      <c r="U1" s="214"/>
      <c r="V1" s="214"/>
      <c r="W1" s="214"/>
      <c r="X1" s="214"/>
      <c r="Y1" s="6" t="s">
        <v>2249</v>
      </c>
      <c r="Z1" s="7" t="s">
        <v>2250</v>
      </c>
      <c r="AA1" s="215" t="s">
        <v>2251</v>
      </c>
      <c r="AB1" s="215"/>
      <c r="AC1" s="8" t="s">
        <v>2252</v>
      </c>
      <c r="AD1" s="7" t="s">
        <v>2253</v>
      </c>
      <c r="AE1" s="214" t="s">
        <v>2254</v>
      </c>
      <c r="AF1" s="216"/>
      <c r="AG1" s="216"/>
    </row>
    <row r="2" spans="1:33" ht="26.25" customHeight="1">
      <c r="A2" s="35">
        <v>46078</v>
      </c>
      <c r="B2" s="36" t="s">
        <v>457</v>
      </c>
      <c r="C2" s="2" t="s">
        <v>2255</v>
      </c>
      <c r="D2" s="10">
        <f>AVERAGE(N11,N14,N51,N61,N20,N68,N26,N33,N40,N75)</f>
        <v>139.84341599398923</v>
      </c>
      <c r="E2" s="11" t="s">
        <v>14</v>
      </c>
      <c r="F2" s="12">
        <f>F1/D1</f>
        <v>33.549100579629403</v>
      </c>
      <c r="G2" s="1" t="s">
        <v>2256</v>
      </c>
      <c r="H2" s="13">
        <f>COUNT(H5:H75)</f>
        <v>7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SUM(Y11+Y14+Y20+Y26+Y33+Y40+Y51+Y61+Y68+Y75)</f>
        <v>0</v>
      </c>
      <c r="Z2" s="14">
        <f>SUM(Z11+Z14+Z20+Z26+Z33+Z40+Z51+Z61+Z68+Z75)</f>
        <v>0</v>
      </c>
      <c r="AA2" s="215"/>
      <c r="AB2" s="215"/>
      <c r="AC2" s="14">
        <v>61</v>
      </c>
      <c r="AD2" s="14">
        <f>SUM(AD11+AD14+AD20+AD26+AD33+AD40+AD51+AD61+AD68+AD75)</f>
        <v>0</v>
      </c>
      <c r="AE2" s="216"/>
      <c r="AF2" s="216"/>
      <c r="AG2" s="216"/>
    </row>
    <row r="3" spans="1:33" ht="40.5" customHeight="1">
      <c r="A3" s="164" t="s">
        <v>2257</v>
      </c>
      <c r="B3" s="164" t="s">
        <v>2258</v>
      </c>
      <c r="C3" s="164" t="s">
        <v>2259</v>
      </c>
      <c r="D3" s="164"/>
      <c r="E3" s="212" t="s">
        <v>2260</v>
      </c>
      <c r="F3" s="164" t="s">
        <v>2261</v>
      </c>
      <c r="G3" s="212" t="s">
        <v>2262</v>
      </c>
      <c r="H3" s="206" t="s">
        <v>2263</v>
      </c>
      <c r="I3" s="204" t="s">
        <v>2264</v>
      </c>
      <c r="J3" s="201" t="s">
        <v>2265</v>
      </c>
      <c r="K3" s="211" t="s">
        <v>2255</v>
      </c>
      <c r="L3" s="204" t="s">
        <v>2266</v>
      </c>
      <c r="M3" s="201" t="s">
        <v>2265</v>
      </c>
      <c r="N3" s="211" t="s">
        <v>2267</v>
      </c>
      <c r="O3" s="204" t="s">
        <v>2264</v>
      </c>
      <c r="P3" s="211" t="s">
        <v>2255</v>
      </c>
      <c r="Q3" s="202" t="s">
        <v>2268</v>
      </c>
      <c r="R3" s="182" t="s">
        <v>2269</v>
      </c>
      <c r="S3" s="164" t="s">
        <v>30</v>
      </c>
      <c r="T3" s="164"/>
      <c r="U3" s="206" t="s">
        <v>31</v>
      </c>
      <c r="V3" s="206" t="s">
        <v>2270</v>
      </c>
      <c r="W3" s="164" t="s">
        <v>2271</v>
      </c>
      <c r="X3" s="164"/>
      <c r="Y3" s="207" t="s">
        <v>2272</v>
      </c>
      <c r="Z3" s="168"/>
      <c r="AA3" s="208" t="s">
        <v>2273</v>
      </c>
      <c r="AB3" s="209"/>
      <c r="AC3" s="207" t="s">
        <v>2274</v>
      </c>
      <c r="AD3" s="168"/>
      <c r="AE3" s="201" t="s">
        <v>2275</v>
      </c>
      <c r="AF3" s="202" t="s">
        <v>2276</v>
      </c>
      <c r="AG3" s="182" t="s">
        <v>2269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2277</v>
      </c>
      <c r="X4" s="4" t="s">
        <v>2278</v>
      </c>
      <c r="Y4" s="15" t="s">
        <v>2279</v>
      </c>
      <c r="Z4" s="15" t="s">
        <v>2280</v>
      </c>
      <c r="AA4" s="210"/>
      <c r="AB4" s="209"/>
      <c r="AC4" s="15" t="s">
        <v>2281</v>
      </c>
      <c r="AD4" s="15" t="s">
        <v>2282</v>
      </c>
      <c r="AE4" s="201"/>
      <c r="AF4" s="202"/>
      <c r="AG4" s="182"/>
    </row>
    <row r="5" spans="1:33">
      <c r="A5" s="203" t="s">
        <v>2283</v>
      </c>
      <c r="B5" s="37" t="s">
        <v>78</v>
      </c>
      <c r="C5" s="205" t="s">
        <v>79</v>
      </c>
      <c r="D5" s="205"/>
      <c r="E5" s="37">
        <v>50.67</v>
      </c>
      <c r="F5" s="4">
        <v>1385</v>
      </c>
      <c r="G5" s="4">
        <f t="shared" ref="G5:G10" si="0">E5*F5</f>
        <v>70177.95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10" si="2">F5/V5*60</f>
        <v>1932.5581395348834</v>
      </c>
      <c r="N5" s="17">
        <f t="shared" ref="N5:N68" si="3">M5/L5</f>
        <v>113.67989056087549</v>
      </c>
      <c r="O5" s="19">
        <f t="shared" ref="O5:O68" si="4">L5-I5</f>
        <v>0</v>
      </c>
      <c r="P5" s="20">
        <f t="shared" ref="P5:P68" si="5">N5-K5</f>
        <v>-3.9671682626539138</v>
      </c>
      <c r="Q5" s="21">
        <f t="shared" ref="Q5:Q68" si="6">N5/K5</f>
        <v>0.96627906976744171</v>
      </c>
      <c r="R5" s="172">
        <f>Q11</f>
        <v>0.96844183912649573</v>
      </c>
      <c r="S5" s="28">
        <v>0.70833333333333337</v>
      </c>
      <c r="T5" s="28">
        <v>0.73819444444444449</v>
      </c>
      <c r="U5" s="4"/>
      <c r="V5" s="22">
        <f t="shared" ref="V5:V10" si="7">(T5-S5)*24*60</f>
        <v>43.000000000000007</v>
      </c>
      <c r="W5" s="23"/>
      <c r="X5" s="24"/>
      <c r="Y5" s="24"/>
      <c r="Z5" s="24"/>
      <c r="AA5" s="164"/>
      <c r="AB5" s="164"/>
      <c r="AC5" s="25">
        <v>6</v>
      </c>
      <c r="AD5" s="25"/>
      <c r="AE5" s="19">
        <f t="shared" ref="AE5:AE60" si="8">M5-J5</f>
        <v>-67.441860465116633</v>
      </c>
      <c r="AF5" s="21">
        <f t="shared" ref="AF5:AF68" si="9">M5/J5</f>
        <v>0.96627906976744171</v>
      </c>
      <c r="AG5" s="172">
        <f>AF11</f>
        <v>0.96844183912649562</v>
      </c>
    </row>
    <row r="6" spans="1:33">
      <c r="A6" s="204" t="s">
        <v>2284</v>
      </c>
      <c r="B6" s="37" t="s">
        <v>78</v>
      </c>
      <c r="C6" s="205" t="s">
        <v>80</v>
      </c>
      <c r="D6" s="205"/>
      <c r="E6" s="37">
        <v>54.09</v>
      </c>
      <c r="F6" s="4">
        <v>1114</v>
      </c>
      <c r="G6" s="4">
        <f t="shared" si="0"/>
        <v>60256.26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1909.7142857142837</v>
      </c>
      <c r="N6" s="17">
        <f t="shared" si="3"/>
        <v>100.51127819548861</v>
      </c>
      <c r="O6" s="19">
        <f t="shared" si="4"/>
        <v>0</v>
      </c>
      <c r="P6" s="20">
        <f t="shared" si="5"/>
        <v>-4.7518796992482208</v>
      </c>
      <c r="Q6" s="21">
        <f t="shared" si="6"/>
        <v>0.95485714285714185</v>
      </c>
      <c r="R6" s="172"/>
      <c r="S6" s="28">
        <v>0.7416666666666667</v>
      </c>
      <c r="T6" s="28">
        <v>0.76597222222222228</v>
      </c>
      <c r="U6" s="4">
        <f t="shared" ref="U6:U10" si="10">IF(S6=TIME(17,0,0),"",(S6-T5)*24*60)</f>
        <v>4.9999999999999822</v>
      </c>
      <c r="V6" s="22">
        <f t="shared" si="7"/>
        <v>35.000000000000036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-90.285714285716267</v>
      </c>
      <c r="AF6" s="21">
        <f t="shared" si="9"/>
        <v>0.95485714285714185</v>
      </c>
      <c r="AG6" s="172"/>
    </row>
    <row r="7" spans="1:33">
      <c r="A7" s="204" t="s">
        <v>2284</v>
      </c>
      <c r="B7" s="37" t="s">
        <v>78</v>
      </c>
      <c r="C7" s="196" t="s">
        <v>81</v>
      </c>
      <c r="D7" s="197"/>
      <c r="E7" s="37">
        <v>50.29</v>
      </c>
      <c r="F7" s="4">
        <v>476</v>
      </c>
      <c r="G7" s="4">
        <f t="shared" si="0"/>
        <v>23938.04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1904.0000000000066</v>
      </c>
      <c r="N7" s="17">
        <f t="shared" si="3"/>
        <v>119.00000000000041</v>
      </c>
      <c r="O7" s="19">
        <f t="shared" si="4"/>
        <v>0</v>
      </c>
      <c r="P7" s="20">
        <f t="shared" si="5"/>
        <v>-5.9999999999995879</v>
      </c>
      <c r="Q7" s="21">
        <f t="shared" si="6"/>
        <v>0.95200000000000329</v>
      </c>
      <c r="R7" s="172"/>
      <c r="S7" s="28">
        <v>0.76944444444444449</v>
      </c>
      <c r="T7" s="28">
        <v>0.77986111111111112</v>
      </c>
      <c r="U7" s="4">
        <f t="shared" si="10"/>
        <v>4.9999999999999822</v>
      </c>
      <c r="V7" s="22">
        <f t="shared" si="7"/>
        <v>14.999999999999947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-95.999999999993406</v>
      </c>
      <c r="AF7" s="21">
        <f t="shared" si="9"/>
        <v>0.95200000000000329</v>
      </c>
      <c r="AG7" s="172"/>
    </row>
    <row r="8" spans="1:33">
      <c r="A8" s="204" t="s">
        <v>2285</v>
      </c>
      <c r="B8" s="37" t="s">
        <v>78</v>
      </c>
      <c r="C8" s="196" t="s">
        <v>82</v>
      </c>
      <c r="D8" s="197"/>
      <c r="E8" s="37">
        <v>57.3</v>
      </c>
      <c r="F8" s="4">
        <v>1066</v>
      </c>
      <c r="G8" s="4">
        <f t="shared" si="0"/>
        <v>61081.799999999996</v>
      </c>
      <c r="H8" s="22" t="s">
        <v>139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1938.1818181818157</v>
      </c>
      <c r="N8" s="17">
        <f t="shared" si="3"/>
        <v>129.21212121212105</v>
      </c>
      <c r="O8" s="19">
        <f t="shared" si="4"/>
        <v>0</v>
      </c>
      <c r="P8" s="20">
        <f t="shared" si="5"/>
        <v>-4.1212121212122952</v>
      </c>
      <c r="Q8" s="21">
        <f t="shared" si="6"/>
        <v>0.96909090909090778</v>
      </c>
      <c r="R8" s="172"/>
      <c r="S8" s="28">
        <v>0.78472222222222221</v>
      </c>
      <c r="T8" s="28">
        <v>0.80763888888888891</v>
      </c>
      <c r="U8" s="4">
        <f t="shared" si="10"/>
        <v>6.9999999999999751</v>
      </c>
      <c r="V8" s="22">
        <f t="shared" si="7"/>
        <v>33.000000000000043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-61.818181818184257</v>
      </c>
      <c r="AF8" s="21">
        <f t="shared" si="9"/>
        <v>0.96909090909090789</v>
      </c>
      <c r="AG8" s="172"/>
    </row>
    <row r="9" spans="1:33">
      <c r="A9" s="204" t="s">
        <v>2283</v>
      </c>
      <c r="B9" s="37" t="s">
        <v>78</v>
      </c>
      <c r="C9" s="196" t="s">
        <v>83</v>
      </c>
      <c r="D9" s="197"/>
      <c r="E9" s="37">
        <v>50.67</v>
      </c>
      <c r="F9" s="4">
        <v>526</v>
      </c>
      <c r="G9" s="4">
        <f t="shared" si="0"/>
        <v>26652.420000000002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1972.5000000000068</v>
      </c>
      <c r="N9" s="17">
        <f t="shared" si="3"/>
        <v>93.928571428571757</v>
      </c>
      <c r="O9" s="19">
        <f t="shared" si="4"/>
        <v>0</v>
      </c>
      <c r="P9" s="20">
        <f t="shared" si="5"/>
        <v>-1.3095238095234834</v>
      </c>
      <c r="Q9" s="21">
        <f t="shared" si="6"/>
        <v>0.9862500000000034</v>
      </c>
      <c r="R9" s="172"/>
      <c r="S9" s="28">
        <v>0.81180555555555556</v>
      </c>
      <c r="T9" s="28">
        <v>0.82291666666666663</v>
      </c>
      <c r="U9" s="4">
        <f t="shared" si="10"/>
        <v>5.9999999999999787</v>
      </c>
      <c r="V9" s="22">
        <f t="shared" si="7"/>
        <v>15.999999999999943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-27.499999999993179</v>
      </c>
      <c r="AF9" s="21">
        <f t="shared" si="9"/>
        <v>0.9862500000000034</v>
      </c>
      <c r="AG9" s="172"/>
    </row>
    <row r="10" spans="1:33">
      <c r="A10" s="204" t="s">
        <v>2283</v>
      </c>
      <c r="B10" s="37" t="s">
        <v>78</v>
      </c>
      <c r="C10" s="196" t="s">
        <v>98</v>
      </c>
      <c r="D10" s="197"/>
      <c r="E10" s="37">
        <v>50.67</v>
      </c>
      <c r="F10" s="4">
        <v>753</v>
      </c>
      <c r="G10" s="4">
        <f t="shared" si="0"/>
        <v>38154.51</v>
      </c>
      <c r="H10" s="22" t="s">
        <v>139</v>
      </c>
      <c r="I10" s="16">
        <v>16</v>
      </c>
      <c r="J10" s="18">
        <v>2000</v>
      </c>
      <c r="K10" s="17">
        <f t="shared" si="1"/>
        <v>125</v>
      </c>
      <c r="L10" s="16">
        <v>16</v>
      </c>
      <c r="M10" s="18">
        <f t="shared" si="2"/>
        <v>1964.3478260869497</v>
      </c>
      <c r="N10" s="17">
        <f t="shared" si="3"/>
        <v>122.77173913043436</v>
      </c>
      <c r="O10" s="19">
        <f t="shared" si="4"/>
        <v>0</v>
      </c>
      <c r="P10" s="20">
        <f t="shared" si="5"/>
        <v>-2.228260869565645</v>
      </c>
      <c r="Q10" s="21">
        <f t="shared" si="6"/>
        <v>0.98217391304347479</v>
      </c>
      <c r="R10" s="172"/>
      <c r="S10" s="28">
        <v>0.82847222222222217</v>
      </c>
      <c r="T10" s="28">
        <v>0.84444444444444444</v>
      </c>
      <c r="U10" s="4">
        <f t="shared" si="10"/>
        <v>7.9999999999999716</v>
      </c>
      <c r="V10" s="22">
        <f t="shared" si="7"/>
        <v>23.000000000000078</v>
      </c>
      <c r="W10" s="23"/>
      <c r="X10" s="23"/>
      <c r="Y10" s="26"/>
      <c r="Z10" s="26"/>
      <c r="AA10" s="175"/>
      <c r="AB10" s="176"/>
      <c r="AC10" s="25"/>
      <c r="AD10" s="27"/>
      <c r="AE10" s="19">
        <f t="shared" si="8"/>
        <v>-35.652173913050319</v>
      </c>
      <c r="AF10" s="21">
        <f t="shared" si="9"/>
        <v>0.98217391304347479</v>
      </c>
      <c r="AG10" s="172"/>
    </row>
    <row r="11" spans="1:33">
      <c r="A11" s="204" t="s">
        <v>2286</v>
      </c>
      <c r="B11" s="37" t="s">
        <v>2287</v>
      </c>
      <c r="C11" s="177"/>
      <c r="D11" s="177"/>
      <c r="E11" s="38"/>
      <c r="F11" s="17"/>
      <c r="G11" s="17"/>
      <c r="H11" s="4"/>
      <c r="I11" s="30">
        <v>17.333333333333332</v>
      </c>
      <c r="J11" s="18">
        <v>2000</v>
      </c>
      <c r="K11" s="17">
        <f t="shared" si="1"/>
        <v>115.38461538461539</v>
      </c>
      <c r="L11" s="30">
        <v>17.333333333333332</v>
      </c>
      <c r="M11" s="18">
        <f>AVERAGE(M5:M10)</f>
        <v>1936.8836782529913</v>
      </c>
      <c r="N11" s="17">
        <f t="shared" si="3"/>
        <v>111.74328912998028</v>
      </c>
      <c r="O11" s="19">
        <f t="shared" si="4"/>
        <v>0</v>
      </c>
      <c r="P11" s="20">
        <f t="shared" si="5"/>
        <v>-3.6413262546351035</v>
      </c>
      <c r="Q11" s="21">
        <f t="shared" si="6"/>
        <v>0.96844183912649573</v>
      </c>
      <c r="R11" s="172"/>
      <c r="S11" s="28"/>
      <c r="T11" s="28"/>
      <c r="U11" s="4"/>
      <c r="V11" s="22"/>
      <c r="W11" s="17"/>
      <c r="X11" s="17"/>
      <c r="Y11" s="31">
        <f>SUM(Y5:Y10)</f>
        <v>0</v>
      </c>
      <c r="Z11" s="31">
        <f>SUM(Z5:Z10)</f>
        <v>0</v>
      </c>
      <c r="AA11" s="168"/>
      <c r="AB11" s="168"/>
      <c r="AC11" s="31">
        <v>6</v>
      </c>
      <c r="AD11" s="31">
        <f>SUM(AD5:AD10)</f>
        <v>0</v>
      </c>
      <c r="AE11" s="19">
        <f t="shared" si="8"/>
        <v>-63.116321747008669</v>
      </c>
      <c r="AF11" s="21">
        <f t="shared" si="9"/>
        <v>0.96844183912649562</v>
      </c>
      <c r="AG11" s="172"/>
    </row>
    <row r="12" spans="1:33" ht="15.75" customHeight="1">
      <c r="A12" s="200" t="s">
        <v>2288</v>
      </c>
      <c r="B12" s="37" t="s">
        <v>84</v>
      </c>
      <c r="C12" s="196" t="s">
        <v>85</v>
      </c>
      <c r="D12" s="197"/>
      <c r="E12" s="37">
        <v>39.619999999999997</v>
      </c>
      <c r="F12" s="4">
        <v>3344</v>
      </c>
      <c r="G12" s="4">
        <f t="shared" ref="G12:G13" si="11">E12*F12</f>
        <v>132489.28</v>
      </c>
      <c r="H12" s="22" t="s">
        <v>139</v>
      </c>
      <c r="I12" s="16">
        <v>19</v>
      </c>
      <c r="J12" s="18">
        <v>1500</v>
      </c>
      <c r="K12" s="17">
        <f t="shared" si="1"/>
        <v>78.94736842105263</v>
      </c>
      <c r="L12" s="16">
        <v>19</v>
      </c>
      <c r="M12" s="18">
        <f t="shared" ref="M12:M13" si="12">F12/V12*60</f>
        <v>1433.1428571428569</v>
      </c>
      <c r="N12" s="17">
        <f t="shared" si="3"/>
        <v>75.428571428571416</v>
      </c>
      <c r="O12" s="19">
        <f t="shared" si="4"/>
        <v>0</v>
      </c>
      <c r="P12" s="20">
        <f t="shared" si="5"/>
        <v>-3.5187969924812137</v>
      </c>
      <c r="Q12" s="21">
        <f t="shared" si="6"/>
        <v>0.95542857142857129</v>
      </c>
      <c r="R12" s="172">
        <f>Q14</f>
        <v>0.95588780169602072</v>
      </c>
      <c r="S12" s="28">
        <v>0.20833333333333334</v>
      </c>
      <c r="T12" s="28">
        <v>0.30555555555555558</v>
      </c>
      <c r="U12" s="4"/>
      <c r="V12" s="22">
        <f t="shared" ref="V12:V13" si="13">(T12-S12)*24*60</f>
        <v>140.00000000000003</v>
      </c>
      <c r="W12" s="23"/>
      <c r="X12" s="23"/>
      <c r="Y12" s="23"/>
      <c r="Z12" s="23"/>
      <c r="AA12" s="164"/>
      <c r="AB12" s="164"/>
      <c r="AC12" s="25">
        <v>2</v>
      </c>
      <c r="AD12" s="25"/>
      <c r="AE12" s="19">
        <f t="shared" si="8"/>
        <v>-66.857142857143117</v>
      </c>
      <c r="AF12" s="21">
        <f t="shared" si="9"/>
        <v>0.95542857142857129</v>
      </c>
      <c r="AG12" s="172">
        <f>AF14</f>
        <v>0.95588780169602072</v>
      </c>
    </row>
    <row r="13" spans="1:33" ht="15.75" customHeight="1">
      <c r="A13" s="200" t="s">
        <v>2288</v>
      </c>
      <c r="B13" s="37" t="s">
        <v>84</v>
      </c>
      <c r="C13" s="196" t="s">
        <v>86</v>
      </c>
      <c r="D13" s="197"/>
      <c r="E13" s="37">
        <v>39.799999999999997</v>
      </c>
      <c r="F13" s="4">
        <v>5236</v>
      </c>
      <c r="G13" s="4">
        <f t="shared" si="11"/>
        <v>208392.8</v>
      </c>
      <c r="H13" s="22" t="s">
        <v>139</v>
      </c>
      <c r="I13" s="16">
        <v>17</v>
      </c>
      <c r="J13" s="18">
        <v>1500</v>
      </c>
      <c r="K13" s="17">
        <f t="shared" si="1"/>
        <v>88.235294117647058</v>
      </c>
      <c r="L13" s="16">
        <v>17</v>
      </c>
      <c r="M13" s="18">
        <f t="shared" si="12"/>
        <v>1434.5205479452052</v>
      </c>
      <c r="N13" s="17">
        <f t="shared" si="3"/>
        <v>84.383561643835606</v>
      </c>
      <c r="O13" s="19">
        <f t="shared" si="4"/>
        <v>0</v>
      </c>
      <c r="P13" s="20">
        <f t="shared" si="5"/>
        <v>-3.8517324738114525</v>
      </c>
      <c r="Q13" s="21">
        <f t="shared" si="6"/>
        <v>0.95634703196347015</v>
      </c>
      <c r="R13" s="172"/>
      <c r="S13" s="28">
        <v>0.30902777777777779</v>
      </c>
      <c r="T13" s="28">
        <v>0.46111111111111114</v>
      </c>
      <c r="U13" s="4">
        <f t="shared" ref="U13" si="14">IF(S13=TIME(17,0,0),"",(S13-T12)*24*60)</f>
        <v>4.9999999999999822</v>
      </c>
      <c r="V13" s="22">
        <f t="shared" si="13"/>
        <v>219.00000000000003</v>
      </c>
      <c r="W13" s="23"/>
      <c r="X13" s="23"/>
      <c r="Y13" s="23"/>
      <c r="Z13" s="23"/>
      <c r="AA13" s="164"/>
      <c r="AB13" s="164"/>
      <c r="AC13" s="25"/>
      <c r="AD13" s="25"/>
      <c r="AE13" s="19">
        <f t="shared" si="8"/>
        <v>-65.47945205479482</v>
      </c>
      <c r="AF13" s="21">
        <f t="shared" si="9"/>
        <v>0.95634703196347015</v>
      </c>
      <c r="AG13" s="172"/>
    </row>
    <row r="14" spans="1:33" ht="16.5" customHeight="1">
      <c r="A14" s="200" t="s">
        <v>2288</v>
      </c>
      <c r="B14" s="37" t="s">
        <v>2289</v>
      </c>
      <c r="C14" s="177"/>
      <c r="D14" s="177"/>
      <c r="E14" s="38"/>
      <c r="F14" s="18"/>
      <c r="G14" s="18"/>
      <c r="H14" s="4"/>
      <c r="I14" s="30">
        <v>18</v>
      </c>
      <c r="J14" s="18">
        <v>1500</v>
      </c>
      <c r="K14" s="17">
        <f t="shared" si="1"/>
        <v>83.333333333333329</v>
      </c>
      <c r="L14" s="30">
        <v>18</v>
      </c>
      <c r="M14" s="18">
        <f>AVERAGE(M12:M13)</f>
        <v>1433.831702544031</v>
      </c>
      <c r="N14" s="17">
        <f t="shared" si="3"/>
        <v>79.657316808001724</v>
      </c>
      <c r="O14" s="19">
        <f t="shared" si="4"/>
        <v>0</v>
      </c>
      <c r="P14" s="20">
        <f t="shared" si="5"/>
        <v>-3.6760165253316046</v>
      </c>
      <c r="Q14" s="21">
        <f t="shared" si="6"/>
        <v>0.95588780169602072</v>
      </c>
      <c r="R14" s="172"/>
      <c r="S14" s="28"/>
      <c r="T14" s="28"/>
      <c r="U14" s="17"/>
      <c r="V14" s="22"/>
      <c r="W14" s="17"/>
      <c r="X14" s="17"/>
      <c r="Y14" s="31">
        <f>SUM(Y12:Y13)</f>
        <v>0</v>
      </c>
      <c r="Z14" s="31">
        <f>SUM(Z12:Z13)</f>
        <v>0</v>
      </c>
      <c r="AA14" s="168"/>
      <c r="AB14" s="168"/>
      <c r="AC14" s="31">
        <v>2</v>
      </c>
      <c r="AD14" s="31">
        <f>SUM(AD12:AD13)</f>
        <v>0</v>
      </c>
      <c r="AE14" s="19">
        <f t="shared" si="8"/>
        <v>-66.168297455968968</v>
      </c>
      <c r="AF14" s="21">
        <f t="shared" si="9"/>
        <v>0.95588780169602072</v>
      </c>
      <c r="AG14" s="172"/>
    </row>
    <row r="15" spans="1:33" ht="16.5" customHeight="1">
      <c r="A15" s="198" t="s">
        <v>2290</v>
      </c>
      <c r="B15" s="4" t="s">
        <v>87</v>
      </c>
      <c r="C15" s="190" t="s">
        <v>88</v>
      </c>
      <c r="D15" s="190"/>
      <c r="E15" s="37">
        <v>41</v>
      </c>
      <c r="F15" s="4">
        <v>2035</v>
      </c>
      <c r="G15" s="4">
        <f t="shared" ref="G15:G19" si="15">E15*F15</f>
        <v>83435</v>
      </c>
      <c r="H15" s="22" t="s">
        <v>139</v>
      </c>
      <c r="I15" s="16">
        <v>26</v>
      </c>
      <c r="J15" s="18">
        <v>1500</v>
      </c>
      <c r="K15" s="17">
        <f t="shared" si="1"/>
        <v>57.692307692307693</v>
      </c>
      <c r="L15" s="16">
        <v>26</v>
      </c>
      <c r="M15" s="18">
        <f t="shared" ref="M15:M19" si="16">F15/V15*60</f>
        <v>1436.4705882352946</v>
      </c>
      <c r="N15" s="17">
        <f t="shared" si="3"/>
        <v>55.24886877828056</v>
      </c>
      <c r="O15" s="19">
        <f t="shared" si="4"/>
        <v>0</v>
      </c>
      <c r="P15" s="20">
        <f t="shared" si="5"/>
        <v>-2.4434389140271335</v>
      </c>
      <c r="Q15" s="21">
        <f t="shared" si="6"/>
        <v>0.95764705882352974</v>
      </c>
      <c r="R15" s="172">
        <f>Q20</f>
        <v>0.95840225787284661</v>
      </c>
      <c r="S15" s="28">
        <v>0.20833333333333334</v>
      </c>
      <c r="T15" s="28">
        <v>0.2673611111111111</v>
      </c>
      <c r="U15" s="4"/>
      <c r="V15" s="22">
        <f t="shared" ref="V15:V19" si="17">(T15-S15)*24*60</f>
        <v>84.999999999999972</v>
      </c>
      <c r="W15" s="28"/>
      <c r="X15" s="28"/>
      <c r="Y15" s="28"/>
      <c r="Z15" s="28"/>
      <c r="AA15" s="164"/>
      <c r="AB15" s="164"/>
      <c r="AC15" s="25">
        <v>5</v>
      </c>
      <c r="AD15" s="25"/>
      <c r="AE15" s="19">
        <f t="shared" si="8"/>
        <v>-63.529411764705401</v>
      </c>
      <c r="AF15" s="21">
        <f t="shared" si="9"/>
        <v>0.95764705882352974</v>
      </c>
      <c r="AG15" s="172">
        <f>AF20</f>
        <v>0.95840225787284672</v>
      </c>
    </row>
    <row r="16" spans="1:33" ht="16.5" customHeight="1">
      <c r="A16" s="199" t="s">
        <v>2291</v>
      </c>
      <c r="B16" s="4" t="s">
        <v>89</v>
      </c>
      <c r="C16" s="190" t="s">
        <v>90</v>
      </c>
      <c r="D16" s="190"/>
      <c r="E16" s="37">
        <v>72.400000000000006</v>
      </c>
      <c r="F16" s="4">
        <v>524</v>
      </c>
      <c r="G16" s="4">
        <f t="shared" si="15"/>
        <v>37937.600000000006</v>
      </c>
      <c r="H16" s="22" t="s">
        <v>139</v>
      </c>
      <c r="I16" s="16">
        <v>18</v>
      </c>
      <c r="J16" s="18">
        <v>1500</v>
      </c>
      <c r="K16" s="17">
        <f t="shared" si="1"/>
        <v>83.333333333333329</v>
      </c>
      <c r="L16" s="16">
        <v>18</v>
      </c>
      <c r="M16" s="18">
        <f t="shared" si="16"/>
        <v>1429.090909090909</v>
      </c>
      <c r="N16" s="17">
        <f t="shared" si="3"/>
        <v>79.393939393939391</v>
      </c>
      <c r="O16" s="19">
        <f t="shared" si="4"/>
        <v>0</v>
      </c>
      <c r="P16" s="20">
        <f t="shared" si="5"/>
        <v>-3.9393939393939377</v>
      </c>
      <c r="Q16" s="21">
        <f t="shared" si="6"/>
        <v>0.95272727272727276</v>
      </c>
      <c r="R16" s="172"/>
      <c r="S16" s="28">
        <v>0.27291666666666664</v>
      </c>
      <c r="T16" s="28">
        <v>0.28819444444444442</v>
      </c>
      <c r="U16" s="4">
        <f t="shared" ref="U16:U19" si="18">IF(S16=TIME(17,0,0),"",(S16-T15)*24*60)</f>
        <v>7.9999999999999716</v>
      </c>
      <c r="V16" s="22">
        <f t="shared" si="17"/>
        <v>22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-70.909090909090992</v>
      </c>
      <c r="AF16" s="21">
        <f t="shared" si="9"/>
        <v>0.95272727272727264</v>
      </c>
      <c r="AG16" s="172"/>
    </row>
    <row r="17" spans="1:33" ht="16.5" customHeight="1">
      <c r="A17" s="199" t="s">
        <v>2290</v>
      </c>
      <c r="B17" s="4" t="s">
        <v>78</v>
      </c>
      <c r="C17" s="190" t="s">
        <v>91</v>
      </c>
      <c r="D17" s="190"/>
      <c r="E17" s="37">
        <v>50.98</v>
      </c>
      <c r="F17" s="4">
        <v>2181</v>
      </c>
      <c r="G17" s="4">
        <f t="shared" si="15"/>
        <v>111187.37999999999</v>
      </c>
      <c r="H17" s="22" t="s">
        <v>139</v>
      </c>
      <c r="I17" s="16">
        <v>16</v>
      </c>
      <c r="J17" s="18">
        <v>2000</v>
      </c>
      <c r="K17" s="17">
        <f t="shared" si="1"/>
        <v>125</v>
      </c>
      <c r="L17" s="16">
        <v>16</v>
      </c>
      <c r="M17" s="18">
        <f t="shared" si="16"/>
        <v>1924.4117647058847</v>
      </c>
      <c r="N17" s="17">
        <f t="shared" si="3"/>
        <v>120.27573529411779</v>
      </c>
      <c r="O17" s="19">
        <f t="shared" si="4"/>
        <v>0</v>
      </c>
      <c r="P17" s="20">
        <f t="shared" si="5"/>
        <v>-4.7242647058822058</v>
      </c>
      <c r="Q17" s="21">
        <f t="shared" si="6"/>
        <v>0.96220588235294235</v>
      </c>
      <c r="R17" s="172"/>
      <c r="S17" s="28">
        <v>0.70833333333333337</v>
      </c>
      <c r="T17" s="28">
        <v>0.75555555555555554</v>
      </c>
      <c r="U17" s="4" t="str">
        <f t="shared" si="18"/>
        <v/>
      </c>
      <c r="V17" s="22">
        <f t="shared" si="17"/>
        <v>67.999999999999915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-75.588235294115293</v>
      </c>
      <c r="AF17" s="21">
        <f t="shared" si="9"/>
        <v>0.96220588235294235</v>
      </c>
      <c r="AG17" s="172"/>
    </row>
    <row r="18" spans="1:33" ht="16.5" customHeight="1">
      <c r="A18" s="199" t="s">
        <v>2290</v>
      </c>
      <c r="B18" s="4" t="s">
        <v>78</v>
      </c>
      <c r="C18" s="190" t="s">
        <v>92</v>
      </c>
      <c r="D18" s="190"/>
      <c r="E18" s="37">
        <v>50.92</v>
      </c>
      <c r="F18" s="4">
        <v>2162</v>
      </c>
      <c r="G18" s="4">
        <f t="shared" si="15"/>
        <v>110089.04000000001</v>
      </c>
      <c r="H18" s="22" t="s">
        <v>139</v>
      </c>
      <c r="I18" s="16">
        <v>15</v>
      </c>
      <c r="J18" s="18">
        <v>2000</v>
      </c>
      <c r="K18" s="17">
        <f t="shared" si="1"/>
        <v>133.33333333333334</v>
      </c>
      <c r="L18" s="16">
        <v>15</v>
      </c>
      <c r="M18" s="18">
        <f t="shared" si="16"/>
        <v>1907.647058823532</v>
      </c>
      <c r="N18" s="17">
        <f t="shared" si="3"/>
        <v>127.17647058823546</v>
      </c>
      <c r="O18" s="19">
        <f t="shared" si="4"/>
        <v>0</v>
      </c>
      <c r="P18" s="20">
        <f t="shared" si="5"/>
        <v>-6.1568627450978823</v>
      </c>
      <c r="Q18" s="21">
        <f t="shared" si="6"/>
        <v>0.95382352941176585</v>
      </c>
      <c r="R18" s="172"/>
      <c r="S18" s="28">
        <v>0.75902777777777775</v>
      </c>
      <c r="T18" s="28">
        <v>0.80624999999999991</v>
      </c>
      <c r="U18" s="4">
        <f t="shared" si="18"/>
        <v>4.9999999999999822</v>
      </c>
      <c r="V18" s="22">
        <f t="shared" si="17"/>
        <v>67.999999999999915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-92.352941176467994</v>
      </c>
      <c r="AF18" s="21">
        <f t="shared" si="9"/>
        <v>0.95382352941176596</v>
      </c>
      <c r="AG18" s="172"/>
    </row>
    <row r="19" spans="1:33" ht="16.5" customHeight="1">
      <c r="A19" s="199" t="s">
        <v>2291</v>
      </c>
      <c r="B19" s="4" t="s">
        <v>78</v>
      </c>
      <c r="C19" s="190" t="s">
        <v>93</v>
      </c>
      <c r="D19" s="190"/>
      <c r="E19" s="37">
        <v>50.67</v>
      </c>
      <c r="F19" s="4">
        <v>1446</v>
      </c>
      <c r="G19" s="4">
        <f t="shared" si="15"/>
        <v>73268.820000000007</v>
      </c>
      <c r="H19" s="22" t="s">
        <v>139</v>
      </c>
      <c r="I19" s="16">
        <v>15</v>
      </c>
      <c r="J19" s="18">
        <v>2000</v>
      </c>
      <c r="K19" s="17">
        <f t="shared" si="1"/>
        <v>133.33333333333334</v>
      </c>
      <c r="L19" s="16">
        <v>15</v>
      </c>
      <c r="M19" s="18">
        <f t="shared" si="16"/>
        <v>1928</v>
      </c>
      <c r="N19" s="17">
        <f t="shared" si="3"/>
        <v>128.53333333333333</v>
      </c>
      <c r="O19" s="19">
        <f t="shared" si="4"/>
        <v>0</v>
      </c>
      <c r="P19" s="20">
        <f t="shared" si="5"/>
        <v>-4.8000000000000114</v>
      </c>
      <c r="Q19" s="21">
        <f t="shared" si="6"/>
        <v>0.96399999999999997</v>
      </c>
      <c r="R19" s="172"/>
      <c r="S19" s="28">
        <v>0.80972222222222212</v>
      </c>
      <c r="T19" s="28">
        <v>0.84097222222222212</v>
      </c>
      <c r="U19" s="4">
        <f t="shared" si="18"/>
        <v>4.9999999999999822</v>
      </c>
      <c r="V19" s="22">
        <f t="shared" si="17"/>
        <v>45</v>
      </c>
      <c r="W19" s="23"/>
      <c r="X19" s="23"/>
      <c r="Y19" s="23"/>
      <c r="Z19" s="23"/>
      <c r="AA19" s="164"/>
      <c r="AB19" s="164"/>
      <c r="AC19" s="25"/>
      <c r="AD19" s="25"/>
      <c r="AE19" s="19">
        <f t="shared" si="8"/>
        <v>-72</v>
      </c>
      <c r="AF19" s="21">
        <f t="shared" si="9"/>
        <v>0.96399999999999997</v>
      </c>
      <c r="AG19" s="172"/>
    </row>
    <row r="20" spans="1:33" ht="16.5" customHeight="1">
      <c r="A20" s="199" t="s">
        <v>2291</v>
      </c>
      <c r="B20" s="37" t="s">
        <v>2287</v>
      </c>
      <c r="C20" s="177"/>
      <c r="D20" s="177"/>
      <c r="E20" s="38"/>
      <c r="F20" s="17"/>
      <c r="G20" s="17"/>
      <c r="H20" s="4"/>
      <c r="I20" s="30">
        <v>18</v>
      </c>
      <c r="J20" s="18">
        <v>1800</v>
      </c>
      <c r="K20" s="17">
        <f t="shared" si="1"/>
        <v>100</v>
      </c>
      <c r="L20" s="30">
        <v>18</v>
      </c>
      <c r="M20" s="18">
        <f>AVERAGE(M15:M19)</f>
        <v>1725.124064171124</v>
      </c>
      <c r="N20" s="17">
        <f t="shared" si="3"/>
        <v>95.840225787284666</v>
      </c>
      <c r="O20" s="19">
        <f t="shared" si="4"/>
        <v>0</v>
      </c>
      <c r="P20" s="20">
        <f t="shared" si="5"/>
        <v>-4.1597742127153339</v>
      </c>
      <c r="Q20" s="21">
        <f t="shared" si="6"/>
        <v>0.95840225787284661</v>
      </c>
      <c r="R20" s="172"/>
      <c r="S20" s="28"/>
      <c r="T20" s="28"/>
      <c r="U20" s="4"/>
      <c r="V20" s="22"/>
      <c r="W20" s="17"/>
      <c r="X20" s="17"/>
      <c r="Y20" s="31">
        <f>SUM(Y15:Y19)</f>
        <v>0</v>
      </c>
      <c r="Z20" s="31">
        <f>SUM(Z15:Z19)</f>
        <v>0</v>
      </c>
      <c r="AA20" s="168"/>
      <c r="AB20" s="168"/>
      <c r="AC20" s="31">
        <v>5</v>
      </c>
      <c r="AD20" s="31">
        <f>SUM(AD15:AD19)</f>
        <v>0</v>
      </c>
      <c r="AE20" s="19">
        <f t="shared" si="8"/>
        <v>-74.875935828875981</v>
      </c>
      <c r="AF20" s="21">
        <f t="shared" si="9"/>
        <v>0.95840225787284672</v>
      </c>
      <c r="AG20" s="172"/>
    </row>
    <row r="21" spans="1:33" ht="15.75" customHeight="1">
      <c r="A21" s="194" t="s">
        <v>2292</v>
      </c>
      <c r="B21" s="37" t="s">
        <v>78</v>
      </c>
      <c r="C21" s="190" t="s">
        <v>95</v>
      </c>
      <c r="D21" s="190"/>
      <c r="E21" s="37">
        <v>57.73</v>
      </c>
      <c r="F21" s="4">
        <v>2592</v>
      </c>
      <c r="G21" s="4">
        <f t="shared" ref="G21:G25" si="19">E21*F21</f>
        <v>149636.16</v>
      </c>
      <c r="H21" s="22" t="s">
        <v>139</v>
      </c>
      <c r="I21" s="16">
        <v>14</v>
      </c>
      <c r="J21" s="18">
        <v>2000</v>
      </c>
      <c r="K21" s="17">
        <f t="shared" si="1"/>
        <v>142.85714285714286</v>
      </c>
      <c r="L21" s="16">
        <v>14</v>
      </c>
      <c r="M21" s="18">
        <f t="shared" ref="M21:M25" si="20">F21/V21*60</f>
        <v>1920.0000000000005</v>
      </c>
      <c r="N21" s="17">
        <f t="shared" si="3"/>
        <v>137.14285714285717</v>
      </c>
      <c r="O21" s="19">
        <f t="shared" si="4"/>
        <v>0</v>
      </c>
      <c r="P21" s="20">
        <f t="shared" si="5"/>
        <v>-5.714285714285694</v>
      </c>
      <c r="Q21" s="21">
        <f t="shared" si="6"/>
        <v>0.96000000000000019</v>
      </c>
      <c r="R21" s="172">
        <f>Q26</f>
        <v>0.9589352819546979</v>
      </c>
      <c r="S21" s="28">
        <v>0.20833333333333334</v>
      </c>
      <c r="T21" s="28">
        <v>0.26458333333333334</v>
      </c>
      <c r="U21" s="4"/>
      <c r="V21" s="22">
        <f t="shared" ref="V21:V25" si="21">(T21-S21)*24*60</f>
        <v>80.999999999999986</v>
      </c>
      <c r="W21" s="28"/>
      <c r="X21" s="28"/>
      <c r="Y21" s="28"/>
      <c r="Z21" s="28"/>
      <c r="AA21" s="164"/>
      <c r="AB21" s="164"/>
      <c r="AC21" s="25">
        <v>5</v>
      </c>
      <c r="AD21" s="25"/>
      <c r="AE21" s="19">
        <f t="shared" si="8"/>
        <v>-79.999999999999545</v>
      </c>
      <c r="AF21" s="21">
        <f t="shared" si="9"/>
        <v>0.96000000000000019</v>
      </c>
      <c r="AG21" s="172">
        <f>AF26</f>
        <v>0.95893528195469813</v>
      </c>
    </row>
    <row r="22" spans="1:33" ht="15.75" customHeight="1">
      <c r="A22" s="195" t="s">
        <v>2293</v>
      </c>
      <c r="B22" s="37" t="s">
        <v>78</v>
      </c>
      <c r="C22" s="190" t="s">
        <v>96</v>
      </c>
      <c r="D22" s="190"/>
      <c r="E22" s="37">
        <v>53.68</v>
      </c>
      <c r="F22" s="4">
        <v>1438</v>
      </c>
      <c r="G22" s="4">
        <f t="shared" si="19"/>
        <v>77191.839999999997</v>
      </c>
      <c r="H22" s="22" t="s">
        <v>139</v>
      </c>
      <c r="I22" s="16">
        <v>16</v>
      </c>
      <c r="J22" s="18">
        <v>2000</v>
      </c>
      <c r="K22" s="17">
        <f t="shared" si="1"/>
        <v>125</v>
      </c>
      <c r="L22" s="16">
        <v>16</v>
      </c>
      <c r="M22" s="18">
        <f t="shared" si="20"/>
        <v>1917.3333333333333</v>
      </c>
      <c r="N22" s="17">
        <f t="shared" si="3"/>
        <v>119.83333333333333</v>
      </c>
      <c r="O22" s="19">
        <f t="shared" si="4"/>
        <v>0</v>
      </c>
      <c r="P22" s="20">
        <f t="shared" si="5"/>
        <v>-5.1666666666666714</v>
      </c>
      <c r="Q22" s="21">
        <f t="shared" si="6"/>
        <v>0.95866666666666667</v>
      </c>
      <c r="R22" s="172"/>
      <c r="S22" s="28">
        <v>0.27013888888888887</v>
      </c>
      <c r="T22" s="28">
        <v>0.30138888888888887</v>
      </c>
      <c r="U22" s="4">
        <f t="shared" ref="U22:U25" si="22">IF(S22=TIME(17,0,0),"",(S22-T21)*24*60)</f>
        <v>7.9999999999999716</v>
      </c>
      <c r="V22" s="22">
        <f t="shared" si="21"/>
        <v>45</v>
      </c>
      <c r="W22" s="23"/>
      <c r="X22" s="4"/>
      <c r="Y22" s="4"/>
      <c r="Z22" s="4"/>
      <c r="AA22" s="164"/>
      <c r="AB22" s="164"/>
      <c r="AC22" s="25"/>
      <c r="AD22" s="25"/>
      <c r="AE22" s="19">
        <f t="shared" si="8"/>
        <v>-82.666666666666742</v>
      </c>
      <c r="AF22" s="21">
        <f t="shared" si="9"/>
        <v>0.95866666666666667</v>
      </c>
      <c r="AG22" s="172"/>
    </row>
    <row r="23" spans="1:33" ht="15.75" customHeight="1">
      <c r="A23" s="195" t="s">
        <v>2292</v>
      </c>
      <c r="B23" s="37" t="s">
        <v>78</v>
      </c>
      <c r="C23" s="190" t="s">
        <v>97</v>
      </c>
      <c r="D23" s="190"/>
      <c r="E23" s="37">
        <v>50.49</v>
      </c>
      <c r="F23" s="4">
        <v>1858</v>
      </c>
      <c r="G23" s="4">
        <f t="shared" si="19"/>
        <v>93810.42</v>
      </c>
      <c r="H23" s="22" t="s">
        <v>139</v>
      </c>
      <c r="I23" s="16">
        <v>15</v>
      </c>
      <c r="J23" s="18">
        <v>2000</v>
      </c>
      <c r="K23" s="17">
        <f t="shared" si="1"/>
        <v>133.33333333333334</v>
      </c>
      <c r="L23" s="16">
        <v>15</v>
      </c>
      <c r="M23" s="18">
        <f t="shared" si="20"/>
        <v>1922.0689655172428</v>
      </c>
      <c r="N23" s="17">
        <f t="shared" si="3"/>
        <v>128.13793103448285</v>
      </c>
      <c r="O23" s="19">
        <f t="shared" si="4"/>
        <v>0</v>
      </c>
      <c r="P23" s="20">
        <f t="shared" si="5"/>
        <v>-5.195402298850496</v>
      </c>
      <c r="Q23" s="21">
        <f t="shared" si="6"/>
        <v>0.96103448275862124</v>
      </c>
      <c r="R23" s="172"/>
      <c r="S23" s="28">
        <v>0.70833333333333337</v>
      </c>
      <c r="T23" s="28">
        <v>0.74861111111111112</v>
      </c>
      <c r="U23" s="4" t="str">
        <f t="shared" si="22"/>
        <v/>
      </c>
      <c r="V23" s="22">
        <f t="shared" si="21"/>
        <v>57.999999999999957</v>
      </c>
      <c r="W23" s="23"/>
      <c r="X23" s="4"/>
      <c r="Y23" s="4"/>
      <c r="Z23" s="4"/>
      <c r="AA23" s="164"/>
      <c r="AB23" s="164"/>
      <c r="AC23" s="25"/>
      <c r="AD23" s="25"/>
      <c r="AE23" s="19">
        <f t="shared" si="8"/>
        <v>-77.931034482757241</v>
      </c>
      <c r="AF23" s="21">
        <f t="shared" si="9"/>
        <v>0.96103448275862136</v>
      </c>
      <c r="AG23" s="172"/>
    </row>
    <row r="24" spans="1:33" ht="15.75" customHeight="1">
      <c r="A24" s="195" t="s">
        <v>2293</v>
      </c>
      <c r="B24" s="37" t="s">
        <v>78</v>
      </c>
      <c r="C24" s="190" t="s">
        <v>94</v>
      </c>
      <c r="D24" s="190"/>
      <c r="E24" s="37">
        <v>57.3</v>
      </c>
      <c r="F24" s="4">
        <v>1630</v>
      </c>
      <c r="G24" s="4">
        <f t="shared" si="19"/>
        <v>93399</v>
      </c>
      <c r="H24" s="22" t="s">
        <v>139</v>
      </c>
      <c r="I24" s="16">
        <v>13</v>
      </c>
      <c r="J24" s="18">
        <v>2000</v>
      </c>
      <c r="K24" s="17">
        <f t="shared" si="1"/>
        <v>153.84615384615384</v>
      </c>
      <c r="L24" s="16">
        <v>13</v>
      </c>
      <c r="M24" s="18">
        <f t="shared" si="20"/>
        <v>1917.6470588235302</v>
      </c>
      <c r="N24" s="17">
        <f t="shared" si="3"/>
        <v>147.51131221719464</v>
      </c>
      <c r="O24" s="19">
        <f t="shared" si="4"/>
        <v>0</v>
      </c>
      <c r="P24" s="20">
        <f t="shared" si="5"/>
        <v>-6.3348416289591967</v>
      </c>
      <c r="Q24" s="21">
        <f t="shared" si="6"/>
        <v>0.95882352941176519</v>
      </c>
      <c r="R24" s="172"/>
      <c r="S24" s="28">
        <v>0.75347222222222221</v>
      </c>
      <c r="T24" s="28">
        <v>0.78888888888888886</v>
      </c>
      <c r="U24" s="4">
        <f t="shared" si="22"/>
        <v>6.9999999999999751</v>
      </c>
      <c r="V24" s="22">
        <f t="shared" si="21"/>
        <v>50.999999999999979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-82.352941176469812</v>
      </c>
      <c r="AF24" s="21">
        <f t="shared" si="9"/>
        <v>0.95882352941176507</v>
      </c>
      <c r="AG24" s="172"/>
    </row>
    <row r="25" spans="1:33" ht="15.75" customHeight="1">
      <c r="A25" s="195" t="s">
        <v>2293</v>
      </c>
      <c r="B25" s="37" t="s">
        <v>78</v>
      </c>
      <c r="C25" s="190" t="s">
        <v>99</v>
      </c>
      <c r="D25" s="190"/>
      <c r="E25" s="37">
        <v>53.68</v>
      </c>
      <c r="F25" s="4">
        <v>1600</v>
      </c>
      <c r="G25" s="4">
        <f t="shared" si="19"/>
        <v>85888</v>
      </c>
      <c r="H25" s="22" t="s">
        <v>139</v>
      </c>
      <c r="I25" s="16">
        <v>16</v>
      </c>
      <c r="J25" s="18">
        <v>1500</v>
      </c>
      <c r="K25" s="17">
        <f t="shared" si="1"/>
        <v>93.75</v>
      </c>
      <c r="L25" s="16">
        <v>16</v>
      </c>
      <c r="M25" s="18">
        <f t="shared" si="20"/>
        <v>1432.8358208955242</v>
      </c>
      <c r="N25" s="17">
        <f t="shared" si="3"/>
        <v>89.552238805970262</v>
      </c>
      <c r="O25" s="19">
        <f t="shared" si="4"/>
        <v>0</v>
      </c>
      <c r="P25" s="20">
        <f t="shared" si="5"/>
        <v>-4.1977611940297379</v>
      </c>
      <c r="Q25" s="21">
        <f t="shared" si="6"/>
        <v>0.95522388059701613</v>
      </c>
      <c r="R25" s="172"/>
      <c r="S25" s="28">
        <v>0.79236111111111107</v>
      </c>
      <c r="T25" s="28">
        <v>0.8388888888888888</v>
      </c>
      <c r="U25" s="4">
        <f t="shared" si="22"/>
        <v>4.9999999999999822</v>
      </c>
      <c r="V25" s="22">
        <f t="shared" si="21"/>
        <v>66.999999999999915</v>
      </c>
      <c r="W25" s="23"/>
      <c r="X25" s="23"/>
      <c r="Y25" s="4"/>
      <c r="Z25" s="4"/>
      <c r="AA25" s="164"/>
      <c r="AB25" s="164"/>
      <c r="AC25" s="25"/>
      <c r="AD25" s="25"/>
      <c r="AE25" s="19">
        <f t="shared" si="8"/>
        <v>-67.164179104475807</v>
      </c>
      <c r="AF25" s="21">
        <f t="shared" si="9"/>
        <v>0.95522388059701613</v>
      </c>
      <c r="AG25" s="172"/>
    </row>
    <row r="26" spans="1:33" ht="15.75" customHeight="1">
      <c r="A26" s="195" t="s">
        <v>2292</v>
      </c>
      <c r="B26" s="37" t="s">
        <v>2294</v>
      </c>
      <c r="C26" s="177"/>
      <c r="D26" s="177"/>
      <c r="E26" s="38"/>
      <c r="F26" s="4"/>
      <c r="G26" s="4"/>
      <c r="H26" s="4"/>
      <c r="I26" s="30">
        <v>14.8</v>
      </c>
      <c r="J26" s="18">
        <v>1900</v>
      </c>
      <c r="K26" s="17">
        <f t="shared" si="1"/>
        <v>128.37837837837839</v>
      </c>
      <c r="L26" s="30">
        <v>14.8</v>
      </c>
      <c r="M26" s="18">
        <f>AVERAGE(M21:M25)</f>
        <v>1821.9770357139264</v>
      </c>
      <c r="N26" s="17">
        <f t="shared" si="3"/>
        <v>123.10655646715718</v>
      </c>
      <c r="O26" s="19">
        <f t="shared" si="4"/>
        <v>0</v>
      </c>
      <c r="P26" s="20">
        <f t="shared" si="5"/>
        <v>-5.2718219112212097</v>
      </c>
      <c r="Q26" s="21">
        <f t="shared" si="6"/>
        <v>0.9589352819546979</v>
      </c>
      <c r="R26" s="172"/>
      <c r="S26" s="28"/>
      <c r="T26" s="28"/>
      <c r="U26" s="17"/>
      <c r="V26" s="22"/>
      <c r="W26" s="17"/>
      <c r="X26" s="17"/>
      <c r="Y26" s="31">
        <f>SUM(Y21:Y25)</f>
        <v>0</v>
      </c>
      <c r="Z26" s="31">
        <f>SUM(Z21:Z25)</f>
        <v>0</v>
      </c>
      <c r="AA26" s="168"/>
      <c r="AB26" s="168"/>
      <c r="AC26" s="31">
        <v>5</v>
      </c>
      <c r="AD26" s="31">
        <f>SUM(AD21:AD25)</f>
        <v>0</v>
      </c>
      <c r="AE26" s="19">
        <f t="shared" si="8"/>
        <v>-78.022964286073602</v>
      </c>
      <c r="AF26" s="21">
        <f t="shared" si="9"/>
        <v>0.95893528195469813</v>
      </c>
      <c r="AG26" s="172"/>
    </row>
    <row r="27" spans="1:33" ht="15.75" customHeight="1">
      <c r="A27" s="193" t="s">
        <v>2295</v>
      </c>
      <c r="B27" s="37" t="s">
        <v>100</v>
      </c>
      <c r="C27" s="190" t="s">
        <v>101</v>
      </c>
      <c r="D27" s="190"/>
      <c r="E27" s="37">
        <v>31.29</v>
      </c>
      <c r="F27" s="4">
        <v>4500</v>
      </c>
      <c r="G27" s="4">
        <f t="shared" ref="G27:G32" si="23">E27*F27</f>
        <v>140805</v>
      </c>
      <c r="H27" s="22">
        <v>2</v>
      </c>
      <c r="I27" s="16">
        <v>18</v>
      </c>
      <c r="J27" s="18">
        <v>2400</v>
      </c>
      <c r="K27" s="17">
        <f t="shared" si="1"/>
        <v>133.33333333333334</v>
      </c>
      <c r="L27" s="16">
        <v>18</v>
      </c>
      <c r="M27" s="18">
        <f t="shared" ref="M27:M32" si="24">F27/V27*60</f>
        <v>2288.1355932203396</v>
      </c>
      <c r="N27" s="17">
        <f t="shared" si="3"/>
        <v>127.11864406779665</v>
      </c>
      <c r="O27" s="19">
        <f t="shared" si="4"/>
        <v>0</v>
      </c>
      <c r="P27" s="20">
        <f t="shared" si="5"/>
        <v>-6.2146892655366912</v>
      </c>
      <c r="Q27" s="21">
        <f t="shared" si="6"/>
        <v>0.95338983050847481</v>
      </c>
      <c r="R27" s="172">
        <f>Q33</f>
        <v>0.95562179699183603</v>
      </c>
      <c r="S27" s="28">
        <v>0.125</v>
      </c>
      <c r="T27" s="28">
        <v>0.20694444444444443</v>
      </c>
      <c r="U27" s="4"/>
      <c r="V27" s="22">
        <f t="shared" ref="V27:V32" si="25">(T27-S27)*24*60</f>
        <v>117.99999999999999</v>
      </c>
      <c r="W27" s="23">
        <f>T27</f>
        <v>0.20694444444444443</v>
      </c>
      <c r="X27" s="23">
        <f>S28</f>
        <v>0.22777777777777777</v>
      </c>
      <c r="Y27" s="23"/>
      <c r="Z27" s="23"/>
      <c r="AA27" s="164"/>
      <c r="AB27" s="164"/>
      <c r="AC27" s="25">
        <v>6</v>
      </c>
      <c r="AD27" s="25"/>
      <c r="AE27" s="19">
        <f t="shared" si="8"/>
        <v>-111.86440677966038</v>
      </c>
      <c r="AF27" s="21">
        <f t="shared" si="9"/>
        <v>0.95338983050847481</v>
      </c>
      <c r="AG27" s="172">
        <f>AF33</f>
        <v>0.95562179699183603</v>
      </c>
    </row>
    <row r="28" spans="1:33" ht="15.75" customHeight="1">
      <c r="A28" s="193" t="s">
        <v>2296</v>
      </c>
      <c r="B28" s="37" t="s">
        <v>100</v>
      </c>
      <c r="C28" s="190" t="s">
        <v>105</v>
      </c>
      <c r="D28" s="190"/>
      <c r="E28" s="37">
        <v>25.98</v>
      </c>
      <c r="F28" s="4">
        <v>3030</v>
      </c>
      <c r="G28" s="4">
        <f t="shared" si="23"/>
        <v>78719.399999999994</v>
      </c>
      <c r="H28" s="22" t="s">
        <v>139</v>
      </c>
      <c r="I28" s="16">
        <v>21</v>
      </c>
      <c r="J28" s="18">
        <v>2400</v>
      </c>
      <c r="K28" s="17">
        <f t="shared" si="1"/>
        <v>114.28571428571429</v>
      </c>
      <c r="L28" s="16">
        <v>21</v>
      </c>
      <c r="M28" s="18">
        <f t="shared" si="24"/>
        <v>2301.2658227848101</v>
      </c>
      <c r="N28" s="17">
        <f t="shared" si="3"/>
        <v>109.58408679927668</v>
      </c>
      <c r="O28" s="19">
        <f t="shared" si="4"/>
        <v>0</v>
      </c>
      <c r="P28" s="20">
        <f t="shared" si="5"/>
        <v>-4.7016274864376157</v>
      </c>
      <c r="Q28" s="21">
        <f t="shared" si="6"/>
        <v>0.95886075949367089</v>
      </c>
      <c r="R28" s="172"/>
      <c r="S28" s="28">
        <v>0.22777777777777777</v>
      </c>
      <c r="T28" s="28">
        <v>0.28263888888888888</v>
      </c>
      <c r="U28" s="4">
        <f t="shared" ref="U28:U32" si="26">(S28-T27)*24*60</f>
        <v>30.000000000000014</v>
      </c>
      <c r="V28" s="22">
        <f t="shared" si="25"/>
        <v>79</v>
      </c>
      <c r="W28" s="23"/>
      <c r="X28" s="23"/>
      <c r="Y28" s="23"/>
      <c r="Z28" s="23"/>
      <c r="AA28" s="164"/>
      <c r="AB28" s="164"/>
      <c r="AC28" s="25"/>
      <c r="AD28" s="25"/>
      <c r="AE28" s="19">
        <f t="shared" si="8"/>
        <v>-98.734177215189902</v>
      </c>
      <c r="AF28" s="21">
        <f t="shared" si="9"/>
        <v>0.95886075949367089</v>
      </c>
      <c r="AG28" s="172"/>
    </row>
    <row r="29" spans="1:33" ht="15.75" customHeight="1">
      <c r="A29" s="193" t="s">
        <v>2296</v>
      </c>
      <c r="B29" s="37" t="s">
        <v>100</v>
      </c>
      <c r="C29" s="190" t="s">
        <v>102</v>
      </c>
      <c r="D29" s="190"/>
      <c r="E29" s="37">
        <v>26.2</v>
      </c>
      <c r="F29" s="4">
        <v>5308</v>
      </c>
      <c r="G29" s="4">
        <f t="shared" si="23"/>
        <v>139069.6</v>
      </c>
      <c r="H29" s="22" t="s">
        <v>139</v>
      </c>
      <c r="I29" s="16">
        <v>20</v>
      </c>
      <c r="J29" s="18">
        <v>2400</v>
      </c>
      <c r="K29" s="17">
        <f t="shared" si="1"/>
        <v>120</v>
      </c>
      <c r="L29" s="16">
        <v>20</v>
      </c>
      <c r="M29" s="18">
        <f t="shared" si="24"/>
        <v>2291.223021582734</v>
      </c>
      <c r="N29" s="17">
        <f t="shared" si="3"/>
        <v>114.56115107913669</v>
      </c>
      <c r="O29" s="19">
        <f t="shared" si="4"/>
        <v>0</v>
      </c>
      <c r="P29" s="20">
        <f t="shared" si="5"/>
        <v>-5.4388489208633075</v>
      </c>
      <c r="Q29" s="21">
        <f t="shared" si="6"/>
        <v>0.95467625899280573</v>
      </c>
      <c r="R29" s="172"/>
      <c r="S29" s="28">
        <v>0.28819444444444442</v>
      </c>
      <c r="T29" s="28">
        <v>0.38472222222222219</v>
      </c>
      <c r="U29" s="4">
        <f t="shared" si="26"/>
        <v>7.9999999999999716</v>
      </c>
      <c r="V29" s="22">
        <f t="shared" si="25"/>
        <v>139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8"/>
        <v>-108.77697841726604</v>
      </c>
      <c r="AF29" s="21">
        <f t="shared" si="9"/>
        <v>0.95467625899280584</v>
      </c>
      <c r="AG29" s="172"/>
    </row>
    <row r="30" spans="1:33" ht="15.75" customHeight="1">
      <c r="A30" s="193" t="s">
        <v>2297</v>
      </c>
      <c r="B30" s="37" t="s">
        <v>100</v>
      </c>
      <c r="C30" s="190" t="s">
        <v>103</v>
      </c>
      <c r="D30" s="190"/>
      <c r="E30" s="37">
        <v>25.99</v>
      </c>
      <c r="F30" s="4">
        <v>4192</v>
      </c>
      <c r="G30" s="4">
        <f t="shared" si="23"/>
        <v>108950.07999999999</v>
      </c>
      <c r="H30" s="22" t="s">
        <v>139</v>
      </c>
      <c r="I30" s="16">
        <v>14</v>
      </c>
      <c r="J30" s="18">
        <v>2400</v>
      </c>
      <c r="K30" s="17">
        <f t="shared" si="1"/>
        <v>171.42857142857142</v>
      </c>
      <c r="L30" s="16">
        <v>14</v>
      </c>
      <c r="M30" s="18">
        <f t="shared" si="24"/>
        <v>2286.545454545454</v>
      </c>
      <c r="N30" s="17">
        <f t="shared" si="3"/>
        <v>163.3246753246753</v>
      </c>
      <c r="O30" s="19">
        <f t="shared" si="4"/>
        <v>0</v>
      </c>
      <c r="P30" s="20">
        <f t="shared" si="5"/>
        <v>-8.103896103896119</v>
      </c>
      <c r="Q30" s="21">
        <f t="shared" si="6"/>
        <v>0.95272727272727264</v>
      </c>
      <c r="R30" s="172"/>
      <c r="S30" s="28">
        <v>0.38888888888888884</v>
      </c>
      <c r="T30" s="28">
        <v>0.46527777777777773</v>
      </c>
      <c r="U30" s="4">
        <f t="shared" si="26"/>
        <v>5.9999999999999787</v>
      </c>
      <c r="V30" s="22">
        <f t="shared" si="25"/>
        <v>110.00000000000001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8"/>
        <v>-113.45454545454595</v>
      </c>
      <c r="AF30" s="21">
        <f t="shared" si="9"/>
        <v>0.95272727272727253</v>
      </c>
      <c r="AG30" s="172"/>
    </row>
    <row r="31" spans="1:33" ht="15.75" customHeight="1">
      <c r="A31" s="193" t="s">
        <v>2296</v>
      </c>
      <c r="B31" s="37" t="s">
        <v>100</v>
      </c>
      <c r="C31" s="190" t="s">
        <v>107</v>
      </c>
      <c r="D31" s="190"/>
      <c r="E31" s="37">
        <v>26.18</v>
      </c>
      <c r="F31" s="4">
        <v>2038</v>
      </c>
      <c r="G31" s="4">
        <f t="shared" si="23"/>
        <v>53354.84</v>
      </c>
      <c r="H31" s="22" t="s">
        <v>139</v>
      </c>
      <c r="I31" s="16">
        <v>19</v>
      </c>
      <c r="J31" s="18">
        <v>2400</v>
      </c>
      <c r="K31" s="17">
        <f t="shared" si="1"/>
        <v>126.31578947368421</v>
      </c>
      <c r="L31" s="16">
        <v>19</v>
      </c>
      <c r="M31" s="18">
        <f t="shared" si="24"/>
        <v>2307.1698113207526</v>
      </c>
      <c r="N31" s="17">
        <f t="shared" si="3"/>
        <v>121.42999006951329</v>
      </c>
      <c r="O31" s="19">
        <f t="shared" si="4"/>
        <v>0</v>
      </c>
      <c r="P31" s="20">
        <f t="shared" si="5"/>
        <v>-4.8857994041709105</v>
      </c>
      <c r="Q31" s="21">
        <f t="shared" si="6"/>
        <v>0.96132075471698031</v>
      </c>
      <c r="R31" s="172"/>
      <c r="S31" s="28">
        <v>0.46944444444444439</v>
      </c>
      <c r="T31" s="28">
        <v>0.50624999999999998</v>
      </c>
      <c r="U31" s="4">
        <f t="shared" si="26"/>
        <v>5.9999999999999787</v>
      </c>
      <c r="V31" s="22">
        <f t="shared" si="25"/>
        <v>53.00000000000005</v>
      </c>
      <c r="W31" s="23">
        <f>T31</f>
        <v>0.50624999999999998</v>
      </c>
      <c r="X31" s="23">
        <f>S32</f>
        <v>0.54861111111111105</v>
      </c>
      <c r="Y31" s="23"/>
      <c r="Z31" s="23"/>
      <c r="AA31" s="164"/>
      <c r="AB31" s="164"/>
      <c r="AC31" s="25"/>
      <c r="AD31" s="25"/>
      <c r="AE31" s="19">
        <f t="shared" si="8"/>
        <v>-92.830188679247385</v>
      </c>
      <c r="AF31" s="21">
        <f t="shared" si="9"/>
        <v>0.96132075471698031</v>
      </c>
      <c r="AG31" s="172"/>
    </row>
    <row r="32" spans="1:33" ht="15.75" customHeight="1">
      <c r="A32" s="193" t="s">
        <v>2296</v>
      </c>
      <c r="B32" s="37" t="s">
        <v>100</v>
      </c>
      <c r="C32" s="190" t="s">
        <v>101</v>
      </c>
      <c r="D32" s="190"/>
      <c r="E32" s="37">
        <v>31.29</v>
      </c>
      <c r="F32" s="4">
        <v>4840</v>
      </c>
      <c r="G32" s="4">
        <f t="shared" si="23"/>
        <v>151443.6</v>
      </c>
      <c r="H32" s="22" t="s">
        <v>139</v>
      </c>
      <c r="I32" s="16">
        <v>18</v>
      </c>
      <c r="J32" s="18">
        <v>2400</v>
      </c>
      <c r="K32" s="17">
        <f t="shared" si="1"/>
        <v>133.33333333333334</v>
      </c>
      <c r="L32" s="16">
        <v>18</v>
      </c>
      <c r="M32" s="18">
        <f t="shared" si="24"/>
        <v>2286.6141732283459</v>
      </c>
      <c r="N32" s="17">
        <f t="shared" si="3"/>
        <v>127.0341207349081</v>
      </c>
      <c r="O32" s="19">
        <f t="shared" si="4"/>
        <v>0</v>
      </c>
      <c r="P32" s="20">
        <f t="shared" si="5"/>
        <v>-6.2992125984252425</v>
      </c>
      <c r="Q32" s="21">
        <f t="shared" si="6"/>
        <v>0.95275590551181066</v>
      </c>
      <c r="R32" s="172"/>
      <c r="S32" s="28">
        <v>0.54861111111111105</v>
      </c>
      <c r="T32" s="28">
        <v>0.63680555555555551</v>
      </c>
      <c r="U32" s="4">
        <f t="shared" si="26"/>
        <v>60.999999999999943</v>
      </c>
      <c r="V32" s="22">
        <f t="shared" si="25"/>
        <v>127.00000000000003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8"/>
        <v>-113.38582677165414</v>
      </c>
      <c r="AF32" s="21">
        <f t="shared" si="9"/>
        <v>0.95275590551181077</v>
      </c>
      <c r="AG32" s="172"/>
    </row>
    <row r="33" spans="1:33" ht="15.75" customHeight="1">
      <c r="A33" s="193" t="s">
        <v>2296</v>
      </c>
      <c r="B33" s="37" t="s">
        <v>2287</v>
      </c>
      <c r="C33" s="177"/>
      <c r="D33" s="177"/>
      <c r="E33" s="38"/>
      <c r="F33" s="4"/>
      <c r="G33" s="4"/>
      <c r="H33" s="4"/>
      <c r="I33" s="30">
        <v>18.333333333333332</v>
      </c>
      <c r="J33" s="18">
        <v>2400</v>
      </c>
      <c r="K33" s="17">
        <f t="shared" si="1"/>
        <v>130.90909090909091</v>
      </c>
      <c r="L33" s="30">
        <v>18.333333333333332</v>
      </c>
      <c r="M33" s="18">
        <f>AVERAGE(M27:M32)</f>
        <v>2293.4923127804063</v>
      </c>
      <c r="N33" s="17">
        <f t="shared" si="3"/>
        <v>125.09958069711308</v>
      </c>
      <c r="O33" s="19">
        <f t="shared" si="4"/>
        <v>0</v>
      </c>
      <c r="P33" s="20">
        <f t="shared" si="5"/>
        <v>-5.8095102119778232</v>
      </c>
      <c r="Q33" s="21">
        <f t="shared" si="6"/>
        <v>0.95562179699183603</v>
      </c>
      <c r="R33" s="172"/>
      <c r="S33" s="28"/>
      <c r="T33" s="28"/>
      <c r="U33" s="4"/>
      <c r="V33" s="22"/>
      <c r="W33" s="4"/>
      <c r="X33" s="4"/>
      <c r="Y33" s="31">
        <f>SUM(Y27:Y32)</f>
        <v>0</v>
      </c>
      <c r="Z33" s="31">
        <f>SUM(Z27:Z32)</f>
        <v>0</v>
      </c>
      <c r="AA33" s="168"/>
      <c r="AB33" s="168"/>
      <c r="AC33" s="31">
        <v>6</v>
      </c>
      <c r="AD33" s="31">
        <f>SUM(AD27:AD32)</f>
        <v>0</v>
      </c>
      <c r="AE33" s="19">
        <f t="shared" si="8"/>
        <v>-106.50768721959366</v>
      </c>
      <c r="AF33" s="21">
        <f t="shared" si="9"/>
        <v>0.95562179699183603</v>
      </c>
      <c r="AG33" s="172"/>
    </row>
    <row r="34" spans="1:33" ht="15.75" customHeight="1">
      <c r="A34" s="191" t="s">
        <v>2298</v>
      </c>
      <c r="B34" s="37" t="s">
        <v>100</v>
      </c>
      <c r="C34" s="165" t="s">
        <v>106</v>
      </c>
      <c r="D34" s="165"/>
      <c r="E34" s="37">
        <v>26.2</v>
      </c>
      <c r="F34" s="4">
        <v>2900</v>
      </c>
      <c r="G34" s="4">
        <f t="shared" ref="G34:G39" si="27">E34*F34</f>
        <v>75980</v>
      </c>
      <c r="H34" s="22">
        <v>2</v>
      </c>
      <c r="I34" s="16">
        <v>18</v>
      </c>
      <c r="J34" s="18">
        <v>2400</v>
      </c>
      <c r="K34" s="17">
        <f t="shared" si="1"/>
        <v>133.33333333333334</v>
      </c>
      <c r="L34" s="16">
        <v>18</v>
      </c>
      <c r="M34" s="18">
        <f t="shared" ref="M34:M39" si="28">F34/V34*60</f>
        <v>2289.4736842105258</v>
      </c>
      <c r="N34" s="17">
        <f t="shared" si="3"/>
        <v>127.19298245614033</v>
      </c>
      <c r="O34" s="19">
        <f t="shared" si="4"/>
        <v>0</v>
      </c>
      <c r="P34" s="20">
        <f t="shared" si="5"/>
        <v>-6.1403508771930149</v>
      </c>
      <c r="Q34" s="21">
        <f t="shared" si="6"/>
        <v>0.95394736842105243</v>
      </c>
      <c r="R34" s="172">
        <f>Q40</f>
        <v>0.95432847959723044</v>
      </c>
      <c r="S34" s="28">
        <v>0.125</v>
      </c>
      <c r="T34" s="28">
        <v>0.17777777777777778</v>
      </c>
      <c r="U34" s="4"/>
      <c r="V34" s="22">
        <f t="shared" ref="V34:V39" si="29">(T34-S34)*24*60</f>
        <v>76.000000000000014</v>
      </c>
      <c r="W34" s="28">
        <f>T34</f>
        <v>0.17777777777777778</v>
      </c>
      <c r="X34" s="28">
        <f>S35</f>
        <v>0.19722222222222222</v>
      </c>
      <c r="Y34" s="28"/>
      <c r="Z34" s="28"/>
      <c r="AA34" s="164"/>
      <c r="AB34" s="164"/>
      <c r="AC34" s="25">
        <v>6</v>
      </c>
      <c r="AD34" s="25"/>
      <c r="AE34" s="19">
        <f t="shared" si="8"/>
        <v>-110.52631578947421</v>
      </c>
      <c r="AF34" s="21">
        <f t="shared" si="9"/>
        <v>0.95394736842105243</v>
      </c>
      <c r="AG34" s="172">
        <f>AF40</f>
        <v>0.95432847959723044</v>
      </c>
    </row>
    <row r="35" spans="1:33" ht="15.75" customHeight="1">
      <c r="A35" s="191" t="s">
        <v>2298</v>
      </c>
      <c r="B35" s="37" t="s">
        <v>100</v>
      </c>
      <c r="C35" s="165" t="s">
        <v>104</v>
      </c>
      <c r="D35" s="165"/>
      <c r="E35" s="37">
        <v>20.52</v>
      </c>
      <c r="F35" s="4">
        <v>3995</v>
      </c>
      <c r="G35" s="4">
        <f t="shared" si="27"/>
        <v>81977.399999999994</v>
      </c>
      <c r="H35" s="22" t="s">
        <v>139</v>
      </c>
      <c r="I35" s="16">
        <v>18</v>
      </c>
      <c r="J35" s="18">
        <v>2400</v>
      </c>
      <c r="K35" s="17">
        <f t="shared" si="1"/>
        <v>133.33333333333334</v>
      </c>
      <c r="L35" s="16">
        <v>18</v>
      </c>
      <c r="M35" s="18">
        <f t="shared" si="28"/>
        <v>2282.8571428571431</v>
      </c>
      <c r="N35" s="17">
        <f t="shared" si="3"/>
        <v>126.82539682539684</v>
      </c>
      <c r="O35" s="19">
        <f t="shared" si="4"/>
        <v>0</v>
      </c>
      <c r="P35" s="20">
        <f t="shared" si="5"/>
        <v>-6.5079365079365061</v>
      </c>
      <c r="Q35" s="21">
        <f t="shared" si="6"/>
        <v>0.95119047619047625</v>
      </c>
      <c r="R35" s="172"/>
      <c r="S35" s="28">
        <v>0.19722222222222222</v>
      </c>
      <c r="T35" s="28">
        <v>0.27013888888888887</v>
      </c>
      <c r="U35" s="4">
        <f t="shared" ref="U35:U39" si="30">(S35-T34)*24*60</f>
        <v>27.999999999999979</v>
      </c>
      <c r="V35" s="22">
        <f t="shared" si="29"/>
        <v>104.99999999999999</v>
      </c>
      <c r="W35" s="4"/>
      <c r="X35" s="4"/>
      <c r="Y35" s="4"/>
      <c r="Z35" s="4"/>
      <c r="AA35" s="164"/>
      <c r="AB35" s="164"/>
      <c r="AC35" s="25"/>
      <c r="AD35" s="25"/>
      <c r="AE35" s="19">
        <f t="shared" si="8"/>
        <v>-117.14285714285688</v>
      </c>
      <c r="AF35" s="21">
        <f t="shared" si="9"/>
        <v>0.95119047619047625</v>
      </c>
      <c r="AG35" s="172"/>
    </row>
    <row r="36" spans="1:33">
      <c r="A36" s="192" t="s">
        <v>2298</v>
      </c>
      <c r="B36" s="37" t="s">
        <v>100</v>
      </c>
      <c r="C36" s="165" t="s">
        <v>108</v>
      </c>
      <c r="D36" s="165"/>
      <c r="E36" s="37">
        <v>26.39</v>
      </c>
      <c r="F36" s="4">
        <v>6063</v>
      </c>
      <c r="G36" s="4">
        <f t="shared" si="27"/>
        <v>160002.57</v>
      </c>
      <c r="H36" s="22" t="s">
        <v>139</v>
      </c>
      <c r="I36" s="16">
        <v>19</v>
      </c>
      <c r="J36" s="18">
        <v>2400</v>
      </c>
      <c r="K36" s="17">
        <f t="shared" si="1"/>
        <v>126.31578947368421</v>
      </c>
      <c r="L36" s="16">
        <v>19</v>
      </c>
      <c r="M36" s="18">
        <f t="shared" si="28"/>
        <v>2287.9245283018868</v>
      </c>
      <c r="N36" s="17">
        <f t="shared" si="3"/>
        <v>120.4170804369414</v>
      </c>
      <c r="O36" s="19">
        <f t="shared" si="4"/>
        <v>0</v>
      </c>
      <c r="P36" s="20">
        <f t="shared" si="5"/>
        <v>-5.898709036742801</v>
      </c>
      <c r="Q36" s="21">
        <f t="shared" si="6"/>
        <v>0.95330188679245287</v>
      </c>
      <c r="R36" s="172"/>
      <c r="S36" s="28">
        <v>0.27569444444444441</v>
      </c>
      <c r="T36" s="28">
        <v>0.38611111111111107</v>
      </c>
      <c r="U36" s="4">
        <f t="shared" si="30"/>
        <v>7.9999999999999716</v>
      </c>
      <c r="V36" s="22">
        <f t="shared" si="29"/>
        <v>159</v>
      </c>
      <c r="W36" s="4"/>
      <c r="X36" s="4"/>
      <c r="Y36" s="4"/>
      <c r="Z36" s="4"/>
      <c r="AA36" s="164"/>
      <c r="AB36" s="164"/>
      <c r="AC36" s="25"/>
      <c r="AD36" s="25"/>
      <c r="AE36" s="19">
        <f t="shared" si="8"/>
        <v>-112.07547169811323</v>
      </c>
      <c r="AF36" s="21">
        <f t="shared" si="9"/>
        <v>0.95330188679245287</v>
      </c>
      <c r="AG36" s="172"/>
    </row>
    <row r="37" spans="1:33">
      <c r="A37" s="192" t="s">
        <v>2298</v>
      </c>
      <c r="B37" s="37" t="s">
        <v>100</v>
      </c>
      <c r="C37" s="165" t="s">
        <v>137</v>
      </c>
      <c r="D37" s="165"/>
      <c r="E37" s="37">
        <v>20.21</v>
      </c>
      <c r="F37" s="4">
        <v>3285</v>
      </c>
      <c r="G37" s="4">
        <f t="shared" si="27"/>
        <v>66389.850000000006</v>
      </c>
      <c r="H37" s="22" t="s">
        <v>139</v>
      </c>
      <c r="I37" s="16">
        <v>15</v>
      </c>
      <c r="J37" s="18">
        <v>2400</v>
      </c>
      <c r="K37" s="17">
        <f t="shared" si="1"/>
        <v>160</v>
      </c>
      <c r="L37" s="16">
        <v>15</v>
      </c>
      <c r="M37" s="18">
        <f t="shared" si="28"/>
        <v>2291.8604651162786</v>
      </c>
      <c r="N37" s="17">
        <f t="shared" si="3"/>
        <v>152.79069767441857</v>
      </c>
      <c r="O37" s="19">
        <f t="shared" si="4"/>
        <v>0</v>
      </c>
      <c r="P37" s="20">
        <f t="shared" si="5"/>
        <v>-7.209302325581433</v>
      </c>
      <c r="Q37" s="21">
        <f t="shared" si="6"/>
        <v>0.95494186046511609</v>
      </c>
      <c r="R37" s="172"/>
      <c r="S37" s="28">
        <v>0.39027777777777772</v>
      </c>
      <c r="T37" s="28">
        <v>0.44999999999999996</v>
      </c>
      <c r="U37" s="4">
        <f t="shared" si="30"/>
        <v>5.9999999999999787</v>
      </c>
      <c r="V37" s="22">
        <f t="shared" si="29"/>
        <v>86.000000000000014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8"/>
        <v>-108.13953488372135</v>
      </c>
      <c r="AF37" s="21">
        <f t="shared" si="9"/>
        <v>0.95494186046511609</v>
      </c>
      <c r="AG37" s="172"/>
    </row>
    <row r="38" spans="1:33">
      <c r="A38" s="192" t="s">
        <v>2298</v>
      </c>
      <c r="B38" s="37" t="s">
        <v>100</v>
      </c>
      <c r="C38" s="165" t="s">
        <v>134</v>
      </c>
      <c r="D38" s="165"/>
      <c r="E38" s="37">
        <v>20.52</v>
      </c>
      <c r="F38" s="4">
        <v>3071</v>
      </c>
      <c r="G38" s="4">
        <f t="shared" si="27"/>
        <v>63016.92</v>
      </c>
      <c r="H38" s="22" t="s">
        <v>139</v>
      </c>
      <c r="I38" s="16">
        <v>18</v>
      </c>
      <c r="J38" s="18">
        <v>2400</v>
      </c>
      <c r="K38" s="17">
        <f t="shared" si="1"/>
        <v>133.33333333333334</v>
      </c>
      <c r="L38" s="16">
        <v>18</v>
      </c>
      <c r="M38" s="18">
        <f t="shared" si="28"/>
        <v>2303.2499999999991</v>
      </c>
      <c r="N38" s="17">
        <f t="shared" si="3"/>
        <v>127.95833333333329</v>
      </c>
      <c r="O38" s="19">
        <f t="shared" si="4"/>
        <v>0</v>
      </c>
      <c r="P38" s="20">
        <f t="shared" si="5"/>
        <v>-5.3750000000000568</v>
      </c>
      <c r="Q38" s="21">
        <f t="shared" si="6"/>
        <v>0.95968749999999958</v>
      </c>
      <c r="R38" s="172"/>
      <c r="S38" s="28">
        <v>0.45347222222222217</v>
      </c>
      <c r="T38" s="28">
        <v>0.50902777777777775</v>
      </c>
      <c r="U38" s="4">
        <f t="shared" si="30"/>
        <v>4.9999999999999822</v>
      </c>
      <c r="V38" s="22">
        <f t="shared" si="29"/>
        <v>80.000000000000028</v>
      </c>
      <c r="W38" s="23">
        <f>T38</f>
        <v>0.50902777777777775</v>
      </c>
      <c r="X38" s="23">
        <f>S39</f>
        <v>0.54722222222222217</v>
      </c>
      <c r="Y38" s="23"/>
      <c r="Z38" s="23"/>
      <c r="AA38" s="164"/>
      <c r="AB38" s="164"/>
      <c r="AC38" s="25"/>
      <c r="AD38" s="25"/>
      <c r="AE38" s="19">
        <f t="shared" si="8"/>
        <v>-96.750000000000909</v>
      </c>
      <c r="AF38" s="21">
        <f t="shared" si="9"/>
        <v>0.95968749999999958</v>
      </c>
      <c r="AG38" s="172"/>
    </row>
    <row r="39" spans="1:33">
      <c r="A39" s="192" t="s">
        <v>2298</v>
      </c>
      <c r="B39" s="37" t="s">
        <v>100</v>
      </c>
      <c r="C39" s="165" t="s">
        <v>106</v>
      </c>
      <c r="D39" s="165"/>
      <c r="E39" s="37">
        <v>26.2</v>
      </c>
      <c r="F39" s="4">
        <v>4269</v>
      </c>
      <c r="G39" s="4">
        <f t="shared" si="27"/>
        <v>111847.8</v>
      </c>
      <c r="H39" s="22" t="s">
        <v>139</v>
      </c>
      <c r="I39" s="16">
        <v>18</v>
      </c>
      <c r="J39" s="18">
        <v>2400</v>
      </c>
      <c r="K39" s="17">
        <f t="shared" si="1"/>
        <v>133.33333333333334</v>
      </c>
      <c r="L39" s="16">
        <v>18</v>
      </c>
      <c r="M39" s="18">
        <f t="shared" si="28"/>
        <v>2286.964285714284</v>
      </c>
      <c r="N39" s="17">
        <f t="shared" si="3"/>
        <v>127.05357142857133</v>
      </c>
      <c r="O39" s="19">
        <f t="shared" si="4"/>
        <v>0</v>
      </c>
      <c r="P39" s="20">
        <f t="shared" si="5"/>
        <v>-6.2797619047620117</v>
      </c>
      <c r="Q39" s="21">
        <f t="shared" si="6"/>
        <v>0.95290178571428497</v>
      </c>
      <c r="R39" s="172"/>
      <c r="S39" s="28">
        <v>0.54722222222222217</v>
      </c>
      <c r="T39" s="28">
        <v>0.625</v>
      </c>
      <c r="U39" s="4">
        <f t="shared" si="30"/>
        <v>54.999999999999964</v>
      </c>
      <c r="V39" s="22">
        <f t="shared" si="29"/>
        <v>112.00000000000009</v>
      </c>
      <c r="W39" s="23"/>
      <c r="X39" s="23"/>
      <c r="Y39" s="23"/>
      <c r="Z39" s="23"/>
      <c r="AA39" s="164"/>
      <c r="AB39" s="164"/>
      <c r="AC39" s="25"/>
      <c r="AD39" s="25"/>
      <c r="AE39" s="19">
        <f t="shared" si="8"/>
        <v>-113.03571428571604</v>
      </c>
      <c r="AF39" s="21">
        <f t="shared" si="9"/>
        <v>0.95290178571428497</v>
      </c>
      <c r="AG39" s="172"/>
    </row>
    <row r="40" spans="1:33">
      <c r="A40" s="192" t="s">
        <v>2299</v>
      </c>
      <c r="B40" s="17" t="s">
        <v>2300</v>
      </c>
      <c r="C40" s="177"/>
      <c r="D40" s="177"/>
      <c r="E40" s="38"/>
      <c r="F40" s="17"/>
      <c r="G40" s="17"/>
      <c r="H40" s="4"/>
      <c r="I40" s="30">
        <v>17.666666666666668</v>
      </c>
      <c r="J40" s="18">
        <v>2400</v>
      </c>
      <c r="K40" s="17">
        <f t="shared" si="1"/>
        <v>135.84905660377356</v>
      </c>
      <c r="L40" s="30">
        <v>17.666666666666668</v>
      </c>
      <c r="M40" s="18">
        <f>AVERAGE(M34:M39)</f>
        <v>2290.388351033353</v>
      </c>
      <c r="N40" s="17">
        <f t="shared" si="3"/>
        <v>129.64462364339732</v>
      </c>
      <c r="O40" s="19">
        <f t="shared" si="4"/>
        <v>0</v>
      </c>
      <c r="P40" s="20">
        <f t="shared" si="5"/>
        <v>-6.2044329603762378</v>
      </c>
      <c r="Q40" s="21">
        <f t="shared" si="6"/>
        <v>0.95432847959723044</v>
      </c>
      <c r="R40" s="172"/>
      <c r="S40" s="28"/>
      <c r="T40" s="28"/>
      <c r="U40" s="17"/>
      <c r="V40" s="22"/>
      <c r="W40" s="17"/>
      <c r="X40" s="17"/>
      <c r="Y40" s="31">
        <f>SUM(Y34:Y39)</f>
        <v>0</v>
      </c>
      <c r="Z40" s="31">
        <f>SUM(Z34:Z39)</f>
        <v>0</v>
      </c>
      <c r="AA40" s="168"/>
      <c r="AB40" s="168"/>
      <c r="AC40" s="31">
        <v>6</v>
      </c>
      <c r="AD40" s="31">
        <f>SUM(AD34:AD39)</f>
        <v>0</v>
      </c>
      <c r="AE40" s="19">
        <f t="shared" si="8"/>
        <v>-109.61164896664695</v>
      </c>
      <c r="AF40" s="21">
        <f t="shared" si="9"/>
        <v>0.95432847959723044</v>
      </c>
      <c r="AG40" s="172"/>
    </row>
    <row r="41" spans="1:33" ht="15.75" customHeight="1">
      <c r="A41" s="184" t="s">
        <v>2301</v>
      </c>
      <c r="B41" s="37" t="s">
        <v>111</v>
      </c>
      <c r="C41" s="173" t="s">
        <v>403</v>
      </c>
      <c r="D41" s="174"/>
      <c r="E41" s="37">
        <v>34.36</v>
      </c>
      <c r="F41" s="4">
        <v>2538</v>
      </c>
      <c r="G41" s="4">
        <f t="shared" ref="G41:G50" si="31">E41*F41</f>
        <v>87205.68</v>
      </c>
      <c r="H41" s="22" t="s">
        <v>139</v>
      </c>
      <c r="I41" s="16">
        <v>10</v>
      </c>
      <c r="J41" s="18">
        <v>3000</v>
      </c>
      <c r="K41" s="17">
        <f t="shared" si="1"/>
        <v>300</v>
      </c>
      <c r="L41" s="16">
        <v>10</v>
      </c>
      <c r="M41" s="18">
        <f t="shared" ref="M41:M50" si="32">F41/V41*60</f>
        <v>2873.2075471698108</v>
      </c>
      <c r="N41" s="18">
        <f t="shared" si="3"/>
        <v>287.32075471698107</v>
      </c>
      <c r="O41" s="19">
        <f t="shared" si="4"/>
        <v>0</v>
      </c>
      <c r="P41" s="20">
        <f t="shared" si="5"/>
        <v>-12.679245283018929</v>
      </c>
      <c r="Q41" s="21">
        <f t="shared" si="6"/>
        <v>0.95773584905660358</v>
      </c>
      <c r="R41" s="187">
        <f>Q51</f>
        <v>0.95926113312418271</v>
      </c>
      <c r="S41" s="28">
        <v>0.20833333333333334</v>
      </c>
      <c r="T41" s="28">
        <v>0.24513888888888891</v>
      </c>
      <c r="U41" s="28"/>
      <c r="V41" s="22">
        <f t="shared" ref="V41:V50" si="33">(T41-S41)*24*60</f>
        <v>53.000000000000014</v>
      </c>
      <c r="W41" s="23"/>
      <c r="X41" s="23"/>
      <c r="Y41" s="26"/>
      <c r="Z41" s="26"/>
      <c r="AA41" s="175"/>
      <c r="AB41" s="176"/>
      <c r="AC41" s="25">
        <v>10</v>
      </c>
      <c r="AD41" s="25"/>
      <c r="AE41" s="19">
        <f t="shared" si="8"/>
        <v>-126.79245283018918</v>
      </c>
      <c r="AF41" s="21">
        <f t="shared" si="9"/>
        <v>0.95773584905660358</v>
      </c>
      <c r="AG41" s="187">
        <f>AF51</f>
        <v>0.95926113312418271</v>
      </c>
    </row>
    <row r="42" spans="1:33" ht="15.75" customHeight="1">
      <c r="A42" s="185" t="s">
        <v>2301</v>
      </c>
      <c r="B42" s="37" t="s">
        <v>111</v>
      </c>
      <c r="C42" s="173" t="s">
        <v>114</v>
      </c>
      <c r="D42" s="174"/>
      <c r="E42" s="37">
        <v>35.119999999999997</v>
      </c>
      <c r="F42" s="4">
        <v>3700</v>
      </c>
      <c r="G42" s="4">
        <f t="shared" si="31"/>
        <v>129943.99999999999</v>
      </c>
      <c r="H42" s="22">
        <v>2</v>
      </c>
      <c r="I42" s="16">
        <v>10</v>
      </c>
      <c r="J42" s="18">
        <v>3000</v>
      </c>
      <c r="K42" s="17">
        <f t="shared" si="1"/>
        <v>300</v>
      </c>
      <c r="L42" s="16">
        <v>10</v>
      </c>
      <c r="M42" s="18">
        <f t="shared" si="32"/>
        <v>2883.1168831168829</v>
      </c>
      <c r="N42" s="18">
        <f t="shared" si="3"/>
        <v>288.31168831168827</v>
      </c>
      <c r="O42" s="19">
        <f t="shared" si="4"/>
        <v>0</v>
      </c>
      <c r="P42" s="20">
        <f t="shared" si="5"/>
        <v>-11.688311688311728</v>
      </c>
      <c r="Q42" s="21">
        <f t="shared" si="6"/>
        <v>0.96103896103896091</v>
      </c>
      <c r="R42" s="188"/>
      <c r="S42" s="28">
        <v>0.24930555555555559</v>
      </c>
      <c r="T42" s="28">
        <v>0.30277777777777781</v>
      </c>
      <c r="U42" s="4">
        <f t="shared" ref="U42:U50" si="34">(S42-T41)*24*60</f>
        <v>6.0000000000000187</v>
      </c>
      <c r="V42" s="22">
        <f t="shared" si="33"/>
        <v>77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8"/>
        <v>-116.88311688311705</v>
      </c>
      <c r="AF42" s="21">
        <f t="shared" si="9"/>
        <v>0.96103896103896103</v>
      </c>
      <c r="AG42" s="188"/>
    </row>
    <row r="43" spans="1:33" ht="15.75" customHeight="1">
      <c r="A43" s="185" t="s">
        <v>2301</v>
      </c>
      <c r="B43" s="37" t="s">
        <v>111</v>
      </c>
      <c r="C43" s="173" t="s">
        <v>115</v>
      </c>
      <c r="D43" s="174"/>
      <c r="E43" s="37">
        <v>26.78</v>
      </c>
      <c r="F43" s="4">
        <v>2875</v>
      </c>
      <c r="G43" s="4">
        <f t="shared" si="31"/>
        <v>76992.5</v>
      </c>
      <c r="H43" s="22" t="s">
        <v>139</v>
      </c>
      <c r="I43" s="16">
        <v>10</v>
      </c>
      <c r="J43" s="18">
        <v>3000</v>
      </c>
      <c r="K43" s="17">
        <f t="shared" si="1"/>
        <v>300</v>
      </c>
      <c r="L43" s="16">
        <v>10</v>
      </c>
      <c r="M43" s="18">
        <f t="shared" si="32"/>
        <v>2874.9999999999986</v>
      </c>
      <c r="N43" s="18">
        <f t="shared" si="3"/>
        <v>287.49999999999989</v>
      </c>
      <c r="O43" s="19">
        <f t="shared" si="4"/>
        <v>0</v>
      </c>
      <c r="P43" s="20">
        <f t="shared" si="5"/>
        <v>-12.500000000000114</v>
      </c>
      <c r="Q43" s="21">
        <f t="shared" si="6"/>
        <v>0.95833333333333293</v>
      </c>
      <c r="R43" s="188"/>
      <c r="S43" s="28">
        <v>0.30694444444444446</v>
      </c>
      <c r="T43" s="28">
        <v>0.34861111111111115</v>
      </c>
      <c r="U43" s="4">
        <f t="shared" si="34"/>
        <v>5.9999999999999787</v>
      </c>
      <c r="V43" s="22">
        <f t="shared" si="33"/>
        <v>60.000000000000028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8"/>
        <v>-125.00000000000136</v>
      </c>
      <c r="AF43" s="21">
        <f t="shared" si="9"/>
        <v>0.95833333333333293</v>
      </c>
      <c r="AG43" s="188"/>
    </row>
    <row r="44" spans="1:33" ht="15.75" customHeight="1">
      <c r="A44" s="185" t="s">
        <v>2301</v>
      </c>
      <c r="B44" s="37" t="s">
        <v>111</v>
      </c>
      <c r="C44" s="173" t="s">
        <v>112</v>
      </c>
      <c r="D44" s="174"/>
      <c r="E44" s="37">
        <v>21.13</v>
      </c>
      <c r="F44" s="4">
        <v>3300</v>
      </c>
      <c r="G44" s="4">
        <f t="shared" si="31"/>
        <v>69729</v>
      </c>
      <c r="H44" s="22">
        <v>2</v>
      </c>
      <c r="I44" s="16">
        <v>10</v>
      </c>
      <c r="J44" s="18">
        <v>3000</v>
      </c>
      <c r="K44" s="17">
        <f t="shared" si="1"/>
        <v>300</v>
      </c>
      <c r="L44" s="16">
        <v>10</v>
      </c>
      <c r="M44" s="18">
        <f t="shared" si="32"/>
        <v>2869.5652173913045</v>
      </c>
      <c r="N44" s="18">
        <f t="shared" si="3"/>
        <v>286.95652173913044</v>
      </c>
      <c r="O44" s="19">
        <f t="shared" si="4"/>
        <v>0</v>
      </c>
      <c r="P44" s="20">
        <f t="shared" si="5"/>
        <v>-13.043478260869563</v>
      </c>
      <c r="Q44" s="21">
        <f t="shared" si="6"/>
        <v>0.95652173913043481</v>
      </c>
      <c r="R44" s="188"/>
      <c r="S44" s="28">
        <v>0.3527777777777778</v>
      </c>
      <c r="T44" s="28">
        <v>0.40069444444444446</v>
      </c>
      <c r="U44" s="4">
        <f t="shared" si="34"/>
        <v>5.9999999999999787</v>
      </c>
      <c r="V44" s="22">
        <f t="shared" si="33"/>
        <v>69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-130.43478260869551</v>
      </c>
      <c r="AF44" s="21">
        <f t="shared" si="9"/>
        <v>0.95652173913043481</v>
      </c>
      <c r="AG44" s="188"/>
    </row>
    <row r="45" spans="1:33" ht="15.75" customHeight="1">
      <c r="A45" s="185" t="s">
        <v>2301</v>
      </c>
      <c r="B45" s="37" t="s">
        <v>111</v>
      </c>
      <c r="C45" s="173" t="s">
        <v>113</v>
      </c>
      <c r="D45" s="174"/>
      <c r="E45" s="37">
        <v>27.17</v>
      </c>
      <c r="F45" s="4">
        <v>4500</v>
      </c>
      <c r="G45" s="4">
        <f t="shared" si="31"/>
        <v>122265.00000000001</v>
      </c>
      <c r="H45" s="22">
        <v>2</v>
      </c>
      <c r="I45" s="16">
        <v>10</v>
      </c>
      <c r="J45" s="18">
        <v>3000</v>
      </c>
      <c r="K45" s="17">
        <f t="shared" si="1"/>
        <v>300</v>
      </c>
      <c r="L45" s="16">
        <v>10</v>
      </c>
      <c r="M45" s="18">
        <f t="shared" si="32"/>
        <v>2872.3404255319156</v>
      </c>
      <c r="N45" s="18">
        <f t="shared" si="3"/>
        <v>287.23404255319156</v>
      </c>
      <c r="O45" s="19">
        <f t="shared" si="4"/>
        <v>0</v>
      </c>
      <c r="P45" s="20">
        <f t="shared" si="5"/>
        <v>-12.765957446808443</v>
      </c>
      <c r="Q45" s="21">
        <f t="shared" si="6"/>
        <v>0.95744680851063857</v>
      </c>
      <c r="R45" s="188"/>
      <c r="S45" s="28">
        <v>0.40555555555555556</v>
      </c>
      <c r="T45" s="28">
        <v>0.47083333333333333</v>
      </c>
      <c r="U45" s="4">
        <f t="shared" si="34"/>
        <v>6.9999999999999751</v>
      </c>
      <c r="V45" s="22">
        <f t="shared" si="33"/>
        <v>93.999999999999986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8"/>
        <v>-127.65957446808443</v>
      </c>
      <c r="AF45" s="21">
        <f t="shared" si="9"/>
        <v>0.95744680851063857</v>
      </c>
      <c r="AG45" s="188"/>
    </row>
    <row r="46" spans="1:33" ht="15.75" customHeight="1">
      <c r="A46" s="185" t="s">
        <v>2301</v>
      </c>
      <c r="B46" s="37" t="s">
        <v>111</v>
      </c>
      <c r="C46" s="173" t="s">
        <v>116</v>
      </c>
      <c r="D46" s="174"/>
      <c r="E46" s="37">
        <v>35.869999999999997</v>
      </c>
      <c r="F46" s="4">
        <v>2000</v>
      </c>
      <c r="G46" s="4">
        <f t="shared" si="31"/>
        <v>71740</v>
      </c>
      <c r="H46" s="22">
        <v>2</v>
      </c>
      <c r="I46" s="16">
        <v>9</v>
      </c>
      <c r="J46" s="18">
        <v>3000</v>
      </c>
      <c r="K46" s="17">
        <f t="shared" si="1"/>
        <v>333.33333333333331</v>
      </c>
      <c r="L46" s="16">
        <v>9</v>
      </c>
      <c r="M46" s="18">
        <f t="shared" si="32"/>
        <v>2857.1428571428564</v>
      </c>
      <c r="N46" s="18">
        <f t="shared" si="3"/>
        <v>317.46031746031736</v>
      </c>
      <c r="O46" s="19">
        <f t="shared" si="4"/>
        <v>0</v>
      </c>
      <c r="P46" s="20">
        <f t="shared" si="5"/>
        <v>-15.873015873015959</v>
      </c>
      <c r="Q46" s="21">
        <f t="shared" si="6"/>
        <v>0.95238095238095211</v>
      </c>
      <c r="R46" s="188"/>
      <c r="S46" s="28">
        <v>0.47499999999999998</v>
      </c>
      <c r="T46" s="28">
        <v>0.50416666666666665</v>
      </c>
      <c r="U46" s="4">
        <f t="shared" si="34"/>
        <v>5.9999999999999787</v>
      </c>
      <c r="V46" s="22">
        <f t="shared" si="33"/>
        <v>42.000000000000014</v>
      </c>
      <c r="W46" s="23">
        <f>T46</f>
        <v>0.50416666666666665</v>
      </c>
      <c r="X46" s="23">
        <f>S47</f>
        <v>0.54583333333333328</v>
      </c>
      <c r="Y46" s="26"/>
      <c r="Z46" s="26"/>
      <c r="AA46" s="175"/>
      <c r="AB46" s="176"/>
      <c r="AC46" s="25"/>
      <c r="AD46" s="25"/>
      <c r="AE46" s="19">
        <f t="shared" si="8"/>
        <v>-142.85714285714357</v>
      </c>
      <c r="AF46" s="21">
        <f t="shared" si="9"/>
        <v>0.95238095238095211</v>
      </c>
      <c r="AG46" s="188"/>
    </row>
    <row r="47" spans="1:33" ht="15.75" customHeight="1">
      <c r="A47" s="185" t="s">
        <v>2301</v>
      </c>
      <c r="B47" s="37" t="s">
        <v>111</v>
      </c>
      <c r="C47" s="173" t="s">
        <v>116</v>
      </c>
      <c r="D47" s="174"/>
      <c r="E47" s="37">
        <v>35.869999999999997</v>
      </c>
      <c r="F47" s="4">
        <v>2012</v>
      </c>
      <c r="G47" s="4">
        <f t="shared" si="31"/>
        <v>72170.439999999988</v>
      </c>
      <c r="H47" s="22" t="s">
        <v>139</v>
      </c>
      <c r="I47" s="16">
        <v>9</v>
      </c>
      <c r="J47" s="18">
        <v>3000</v>
      </c>
      <c r="K47" s="17">
        <f t="shared" si="1"/>
        <v>333.33333333333331</v>
      </c>
      <c r="L47" s="16">
        <v>9</v>
      </c>
      <c r="M47" s="18">
        <f t="shared" si="32"/>
        <v>2874.2857142857133</v>
      </c>
      <c r="N47" s="18">
        <f t="shared" si="3"/>
        <v>319.36507936507928</v>
      </c>
      <c r="O47" s="19">
        <f t="shared" si="4"/>
        <v>0</v>
      </c>
      <c r="P47" s="20">
        <f t="shared" si="5"/>
        <v>-13.968253968254032</v>
      </c>
      <c r="Q47" s="21">
        <f t="shared" si="6"/>
        <v>0.95809523809523789</v>
      </c>
      <c r="R47" s="188"/>
      <c r="S47" s="28">
        <v>0.54583333333333328</v>
      </c>
      <c r="T47" s="28">
        <v>0.57499999999999996</v>
      </c>
      <c r="U47" s="4">
        <f t="shared" si="34"/>
        <v>59.999999999999943</v>
      </c>
      <c r="V47" s="22">
        <f t="shared" si="33"/>
        <v>42.000000000000014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8"/>
        <v>-125.71428571428669</v>
      </c>
      <c r="AF47" s="21">
        <f t="shared" si="9"/>
        <v>0.95809523809523778</v>
      </c>
      <c r="AG47" s="188"/>
    </row>
    <row r="48" spans="1:33" ht="15.75" customHeight="1">
      <c r="A48" s="185" t="s">
        <v>2301</v>
      </c>
      <c r="B48" s="37" t="s">
        <v>111</v>
      </c>
      <c r="C48" s="173" t="s">
        <v>112</v>
      </c>
      <c r="D48" s="174"/>
      <c r="E48" s="37">
        <v>21.13</v>
      </c>
      <c r="F48" s="4">
        <v>1848</v>
      </c>
      <c r="G48" s="4">
        <f t="shared" si="31"/>
        <v>39048.239999999998</v>
      </c>
      <c r="H48" s="22" t="s">
        <v>139</v>
      </c>
      <c r="I48" s="16">
        <v>10</v>
      </c>
      <c r="J48" s="18">
        <v>3000</v>
      </c>
      <c r="K48" s="17">
        <f t="shared" si="1"/>
        <v>300</v>
      </c>
      <c r="L48" s="16">
        <v>10</v>
      </c>
      <c r="M48" s="18">
        <f t="shared" si="32"/>
        <v>2917.8947368421032</v>
      </c>
      <c r="N48" s="18">
        <f t="shared" si="3"/>
        <v>291.78947368421029</v>
      </c>
      <c r="O48" s="19">
        <f t="shared" si="4"/>
        <v>0</v>
      </c>
      <c r="P48" s="20">
        <f t="shared" si="5"/>
        <v>-8.210526315789707</v>
      </c>
      <c r="Q48" s="21">
        <f t="shared" si="6"/>
        <v>0.97263157894736763</v>
      </c>
      <c r="R48" s="188"/>
      <c r="S48" s="28">
        <v>0.57847222222222217</v>
      </c>
      <c r="T48" s="28">
        <v>0.60486111111111107</v>
      </c>
      <c r="U48" s="4">
        <f t="shared" si="34"/>
        <v>4.9999999999999822</v>
      </c>
      <c r="V48" s="22">
        <f t="shared" si="33"/>
        <v>38.000000000000028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-82.105263157896843</v>
      </c>
      <c r="AF48" s="21">
        <f t="shared" si="9"/>
        <v>0.97263157894736774</v>
      </c>
      <c r="AG48" s="188"/>
    </row>
    <row r="49" spans="1:33" ht="15.75" customHeight="1">
      <c r="A49" s="185" t="s">
        <v>2301</v>
      </c>
      <c r="B49" s="37" t="s">
        <v>111</v>
      </c>
      <c r="C49" s="173" t="s">
        <v>113</v>
      </c>
      <c r="D49" s="174"/>
      <c r="E49" s="37">
        <v>27.17</v>
      </c>
      <c r="F49" s="4">
        <v>2341</v>
      </c>
      <c r="G49" s="4">
        <f t="shared" si="31"/>
        <v>63604.97</v>
      </c>
      <c r="H49" s="22" t="s">
        <v>139</v>
      </c>
      <c r="I49" s="16">
        <v>10</v>
      </c>
      <c r="J49" s="18">
        <v>3000</v>
      </c>
      <c r="K49" s="17">
        <f t="shared" si="1"/>
        <v>300</v>
      </c>
      <c r="L49" s="16">
        <v>10</v>
      </c>
      <c r="M49" s="18">
        <f t="shared" si="32"/>
        <v>2866.5306122448987</v>
      </c>
      <c r="N49" s="18">
        <f t="shared" si="3"/>
        <v>286.65306122448987</v>
      </c>
      <c r="O49" s="19">
        <f t="shared" si="4"/>
        <v>0</v>
      </c>
      <c r="P49" s="20">
        <f t="shared" si="5"/>
        <v>-13.346938775510125</v>
      </c>
      <c r="Q49" s="21">
        <f t="shared" si="6"/>
        <v>0.9555102040816329</v>
      </c>
      <c r="R49" s="188"/>
      <c r="S49" s="28">
        <v>0.60902777777777772</v>
      </c>
      <c r="T49" s="28">
        <v>0.64305555555555549</v>
      </c>
      <c r="U49" s="4">
        <f t="shared" si="34"/>
        <v>5.9999999999999787</v>
      </c>
      <c r="V49" s="22">
        <f t="shared" si="33"/>
        <v>48.999999999999986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-133.46938775510125</v>
      </c>
      <c r="AF49" s="21">
        <f t="shared" si="9"/>
        <v>0.9555102040816329</v>
      </c>
      <c r="AG49" s="188"/>
    </row>
    <row r="50" spans="1:33" ht="15.75" customHeight="1">
      <c r="A50" s="185" t="s">
        <v>2301</v>
      </c>
      <c r="B50" s="37" t="s">
        <v>111</v>
      </c>
      <c r="C50" s="173" t="s">
        <v>114</v>
      </c>
      <c r="D50" s="174"/>
      <c r="E50" s="37">
        <v>35.119999999999997</v>
      </c>
      <c r="F50" s="4">
        <v>2311</v>
      </c>
      <c r="G50" s="4">
        <f t="shared" si="31"/>
        <v>81162.319999999992</v>
      </c>
      <c r="H50" s="22" t="s">
        <v>139</v>
      </c>
      <c r="I50" s="16">
        <v>10</v>
      </c>
      <c r="J50" s="18">
        <v>3000</v>
      </c>
      <c r="K50" s="17">
        <f t="shared" si="1"/>
        <v>300</v>
      </c>
      <c r="L50" s="16">
        <v>10</v>
      </c>
      <c r="M50" s="18">
        <f t="shared" si="32"/>
        <v>2888.7500000000009</v>
      </c>
      <c r="N50" s="18">
        <f t="shared" si="3"/>
        <v>288.87500000000011</v>
      </c>
      <c r="O50" s="19">
        <f t="shared" si="4"/>
        <v>0</v>
      </c>
      <c r="P50" s="20">
        <f t="shared" si="5"/>
        <v>-11.124999999999886</v>
      </c>
      <c r="Q50" s="21">
        <f t="shared" si="6"/>
        <v>0.96291666666666709</v>
      </c>
      <c r="R50" s="188"/>
      <c r="S50" s="28">
        <v>0.64861111111111103</v>
      </c>
      <c r="T50" s="28">
        <v>0.68194444444444435</v>
      </c>
      <c r="U50" s="4">
        <f t="shared" si="34"/>
        <v>7.9999999999999716</v>
      </c>
      <c r="V50" s="22">
        <f t="shared" si="33"/>
        <v>47.999999999999986</v>
      </c>
      <c r="W50" s="23"/>
      <c r="X50" s="23"/>
      <c r="Y50" s="26"/>
      <c r="Z50" s="26"/>
      <c r="AA50" s="175"/>
      <c r="AB50" s="176"/>
      <c r="AC50" s="25"/>
      <c r="AD50" s="25"/>
      <c r="AE50" s="19">
        <f t="shared" si="8"/>
        <v>-111.24999999999909</v>
      </c>
      <c r="AF50" s="21">
        <f t="shared" si="9"/>
        <v>0.96291666666666698</v>
      </c>
      <c r="AG50" s="188"/>
    </row>
    <row r="51" spans="1:33" ht="15.75" customHeight="1">
      <c r="A51" s="186" t="s">
        <v>2301</v>
      </c>
      <c r="B51" s="37" t="s">
        <v>2287</v>
      </c>
      <c r="C51" s="166"/>
      <c r="D51" s="167"/>
      <c r="E51" s="41"/>
      <c r="F51" s="4"/>
      <c r="G51" s="4"/>
      <c r="H51" s="4"/>
      <c r="I51" s="30">
        <v>9.8000000000000007</v>
      </c>
      <c r="J51" s="18">
        <v>3000</v>
      </c>
      <c r="K51" s="17">
        <f t="shared" si="1"/>
        <v>306.12244897959181</v>
      </c>
      <c r="L51" s="30">
        <v>9.8000000000000007</v>
      </c>
      <c r="M51" s="18">
        <f>AVERAGE(M41:M50)</f>
        <v>2877.783399372548</v>
      </c>
      <c r="N51" s="17">
        <f t="shared" si="3"/>
        <v>293.65136728291304</v>
      </c>
      <c r="O51" s="19">
        <f t="shared" si="4"/>
        <v>0</v>
      </c>
      <c r="P51" s="20">
        <f t="shared" si="5"/>
        <v>-12.471081696678766</v>
      </c>
      <c r="Q51" s="21">
        <f t="shared" si="6"/>
        <v>0.95926113312418271</v>
      </c>
      <c r="R51" s="189"/>
      <c r="S51" s="28"/>
      <c r="T51" s="28"/>
      <c r="U51" s="4"/>
      <c r="V51" s="22"/>
      <c r="W51" s="23"/>
      <c r="X51" s="23"/>
      <c r="Y51" s="31">
        <f>SUM(Y41:Y50)</f>
        <v>0</v>
      </c>
      <c r="Z51" s="31">
        <f>SUM(Z41:Z50)</f>
        <v>0</v>
      </c>
      <c r="AA51" s="180"/>
      <c r="AB51" s="181"/>
      <c r="AC51" s="31">
        <v>10</v>
      </c>
      <c r="AD51" s="31">
        <f>SUM(AD41:AD50)</f>
        <v>0</v>
      </c>
      <c r="AE51" s="19">
        <f t="shared" si="8"/>
        <v>-122.21660062745195</v>
      </c>
      <c r="AF51" s="21">
        <f t="shared" si="9"/>
        <v>0.95926113312418271</v>
      </c>
      <c r="AG51" s="189"/>
    </row>
    <row r="52" spans="1:33" ht="15.75" customHeight="1">
      <c r="A52" s="182" t="s">
        <v>2302</v>
      </c>
      <c r="B52" s="37" t="s">
        <v>84</v>
      </c>
      <c r="C52" s="165" t="s">
        <v>118</v>
      </c>
      <c r="D52" s="165"/>
      <c r="E52" s="37">
        <v>46</v>
      </c>
      <c r="F52" s="42">
        <v>1598</v>
      </c>
      <c r="G52" s="4">
        <f t="shared" ref="G52:G60" si="35">E52*F52</f>
        <v>73508</v>
      </c>
      <c r="H52" s="22" t="s">
        <v>139</v>
      </c>
      <c r="I52" s="16">
        <v>17</v>
      </c>
      <c r="J52" s="18">
        <v>2000</v>
      </c>
      <c r="K52" s="17">
        <f t="shared" si="1"/>
        <v>117.64705882352941</v>
      </c>
      <c r="L52" s="16">
        <v>17</v>
      </c>
      <c r="M52" s="18">
        <f t="shared" ref="M52:M60" si="36">F52/V52*60</f>
        <v>1917.5999999999992</v>
      </c>
      <c r="N52" s="18">
        <f t="shared" si="3"/>
        <v>112.79999999999995</v>
      </c>
      <c r="O52" s="19">
        <f t="shared" si="4"/>
        <v>0</v>
      </c>
      <c r="P52" s="20">
        <f t="shared" si="5"/>
        <v>-4.8470588235294514</v>
      </c>
      <c r="Q52" s="21">
        <f t="shared" si="6"/>
        <v>0.95879999999999965</v>
      </c>
      <c r="R52" s="172">
        <f>Q61</f>
        <v>0.95075923630592118</v>
      </c>
      <c r="S52" s="28">
        <v>0.20833333333333334</v>
      </c>
      <c r="T52" s="28">
        <v>0.24305555555555558</v>
      </c>
      <c r="U52" s="28"/>
      <c r="V52" s="22">
        <f t="shared" ref="V52:V60" si="37">(T52-S52)*24*60</f>
        <v>50.000000000000021</v>
      </c>
      <c r="W52" s="28"/>
      <c r="X52" s="28"/>
      <c r="Y52" s="28"/>
      <c r="Z52" s="28"/>
      <c r="AA52" s="164"/>
      <c r="AB52" s="164"/>
      <c r="AC52" s="25">
        <v>9</v>
      </c>
      <c r="AD52" s="25"/>
      <c r="AE52" s="19">
        <f t="shared" si="8"/>
        <v>-82.400000000000773</v>
      </c>
      <c r="AF52" s="21">
        <f t="shared" si="9"/>
        <v>0.95879999999999965</v>
      </c>
      <c r="AG52" s="172">
        <f>AF61</f>
        <v>0.9507592363059213</v>
      </c>
    </row>
    <row r="53" spans="1:33" ht="15.75" customHeight="1">
      <c r="A53" s="182" t="s">
        <v>2302</v>
      </c>
      <c r="B53" s="37" t="s">
        <v>84</v>
      </c>
      <c r="C53" s="165" t="s">
        <v>119</v>
      </c>
      <c r="D53" s="165"/>
      <c r="E53" s="37">
        <v>46</v>
      </c>
      <c r="F53" s="42">
        <v>1734</v>
      </c>
      <c r="G53" s="4">
        <f t="shared" si="35"/>
        <v>79764</v>
      </c>
      <c r="H53" s="22" t="s">
        <v>139</v>
      </c>
      <c r="I53" s="16">
        <v>17</v>
      </c>
      <c r="J53" s="18">
        <v>2000</v>
      </c>
      <c r="K53" s="17">
        <f t="shared" si="1"/>
        <v>117.64705882352941</v>
      </c>
      <c r="L53" s="16">
        <v>17</v>
      </c>
      <c r="M53" s="18">
        <f t="shared" si="36"/>
        <v>1926.6666666666665</v>
      </c>
      <c r="N53" s="18">
        <f t="shared" si="3"/>
        <v>113.33333333333333</v>
      </c>
      <c r="O53" s="19">
        <f t="shared" si="4"/>
        <v>0</v>
      </c>
      <c r="P53" s="20">
        <f t="shared" si="5"/>
        <v>-4.3137254901960773</v>
      </c>
      <c r="Q53" s="21">
        <f t="shared" si="6"/>
        <v>0.96333333333333337</v>
      </c>
      <c r="R53" s="172"/>
      <c r="S53" s="28">
        <v>0.24861111111111114</v>
      </c>
      <c r="T53" s="28">
        <v>0.28611111111111115</v>
      </c>
      <c r="U53" s="4">
        <f t="shared" ref="U53:U60" si="38">IF(S53=TIME(17,0,0),"",(S53-T52)*24*60)</f>
        <v>8.0000000000000107</v>
      </c>
      <c r="V53" s="22">
        <f t="shared" si="37"/>
        <v>54.000000000000007</v>
      </c>
      <c r="W53" s="23"/>
      <c r="X53" s="23"/>
      <c r="Y53" s="23"/>
      <c r="Z53" s="23"/>
      <c r="AA53" s="164"/>
      <c r="AB53" s="164"/>
      <c r="AC53" s="25"/>
      <c r="AD53" s="25"/>
      <c r="AE53" s="19">
        <f t="shared" si="8"/>
        <v>-73.333333333333485</v>
      </c>
      <c r="AF53" s="21">
        <f t="shared" si="9"/>
        <v>0.96333333333333326</v>
      </c>
      <c r="AG53" s="172"/>
    </row>
    <row r="54" spans="1:33" ht="15.75" customHeight="1">
      <c r="A54" s="182" t="s">
        <v>2302</v>
      </c>
      <c r="B54" s="37" t="s">
        <v>78</v>
      </c>
      <c r="C54" s="173" t="s">
        <v>120</v>
      </c>
      <c r="D54" s="174"/>
      <c r="E54" s="37">
        <v>56.43</v>
      </c>
      <c r="F54" s="42">
        <v>1839</v>
      </c>
      <c r="G54" s="4">
        <f t="shared" si="35"/>
        <v>103774.77</v>
      </c>
      <c r="H54" s="22" t="s">
        <v>139</v>
      </c>
      <c r="I54" s="16">
        <v>22</v>
      </c>
      <c r="J54" s="18">
        <v>2000</v>
      </c>
      <c r="K54" s="17">
        <f t="shared" si="1"/>
        <v>90.909090909090907</v>
      </c>
      <c r="L54" s="16">
        <v>22</v>
      </c>
      <c r="M54" s="18">
        <f t="shared" si="36"/>
        <v>1838.9999999999991</v>
      </c>
      <c r="N54" s="18">
        <f t="shared" si="3"/>
        <v>83.590909090909051</v>
      </c>
      <c r="O54" s="19">
        <f t="shared" si="4"/>
        <v>0</v>
      </c>
      <c r="P54" s="20">
        <f t="shared" si="5"/>
        <v>-7.3181818181818556</v>
      </c>
      <c r="Q54" s="21">
        <f t="shared" si="6"/>
        <v>0.91949999999999954</v>
      </c>
      <c r="R54" s="172"/>
      <c r="S54" s="28">
        <v>0.29166666666666669</v>
      </c>
      <c r="T54" s="28">
        <v>0.33333333333333337</v>
      </c>
      <c r="U54" s="4">
        <f t="shared" si="38"/>
        <v>7.9999999999999716</v>
      </c>
      <c r="V54" s="22">
        <f t="shared" si="37"/>
        <v>60.000000000000028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8"/>
        <v>-161.00000000000091</v>
      </c>
      <c r="AF54" s="21">
        <f t="shared" si="9"/>
        <v>0.91949999999999954</v>
      </c>
      <c r="AG54" s="172"/>
    </row>
    <row r="55" spans="1:33" ht="15.75" customHeight="1">
      <c r="A55" s="182" t="s">
        <v>2302</v>
      </c>
      <c r="B55" s="37" t="s">
        <v>78</v>
      </c>
      <c r="C55" s="43" t="s">
        <v>121</v>
      </c>
      <c r="D55" s="44"/>
      <c r="E55" s="37">
        <v>51.75</v>
      </c>
      <c r="F55" s="42">
        <v>1509</v>
      </c>
      <c r="G55" s="4">
        <f t="shared" si="35"/>
        <v>78090.75</v>
      </c>
      <c r="H55" s="22" t="s">
        <v>139</v>
      </c>
      <c r="I55" s="16">
        <v>25</v>
      </c>
      <c r="J55" s="18">
        <v>2000</v>
      </c>
      <c r="K55" s="17">
        <f t="shared" si="1"/>
        <v>80</v>
      </c>
      <c r="L55" s="16">
        <v>25</v>
      </c>
      <c r="M55" s="18">
        <f t="shared" si="36"/>
        <v>1847.7551020408168</v>
      </c>
      <c r="N55" s="18">
        <f t="shared" si="3"/>
        <v>73.910204081632671</v>
      </c>
      <c r="O55" s="19">
        <f t="shared" si="4"/>
        <v>0</v>
      </c>
      <c r="P55" s="20">
        <f t="shared" si="5"/>
        <v>-6.0897959183673294</v>
      </c>
      <c r="Q55" s="21">
        <f t="shared" si="6"/>
        <v>0.92387755102040836</v>
      </c>
      <c r="R55" s="172"/>
      <c r="S55" s="28">
        <v>0.33888888888888891</v>
      </c>
      <c r="T55" s="28">
        <v>0.37291666666666667</v>
      </c>
      <c r="U55" s="4">
        <f t="shared" si="38"/>
        <v>7.9999999999999716</v>
      </c>
      <c r="V55" s="22">
        <f t="shared" si="37"/>
        <v>48.999999999999986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8"/>
        <v>-152.24489795918316</v>
      </c>
      <c r="AF55" s="21">
        <f t="shared" si="9"/>
        <v>0.92387755102040847</v>
      </c>
      <c r="AG55" s="172"/>
    </row>
    <row r="56" spans="1:33" ht="15.75" customHeight="1">
      <c r="A56" s="182" t="s">
        <v>2302</v>
      </c>
      <c r="B56" s="37" t="s">
        <v>78</v>
      </c>
      <c r="C56" s="43" t="s">
        <v>122</v>
      </c>
      <c r="D56" s="44"/>
      <c r="E56" s="37">
        <v>54.09</v>
      </c>
      <c r="F56" s="42">
        <v>1162</v>
      </c>
      <c r="G56" s="4">
        <f t="shared" si="35"/>
        <v>62852.58</v>
      </c>
      <c r="H56" s="22" t="s">
        <v>139</v>
      </c>
      <c r="I56" s="16">
        <v>19</v>
      </c>
      <c r="J56" s="18">
        <v>2000</v>
      </c>
      <c r="K56" s="17">
        <f t="shared" si="1"/>
        <v>105.26315789473684</v>
      </c>
      <c r="L56" s="16">
        <v>19</v>
      </c>
      <c r="M56" s="18">
        <f t="shared" si="36"/>
        <v>1884.324324324323</v>
      </c>
      <c r="N56" s="18">
        <f t="shared" si="3"/>
        <v>99.174964438122259</v>
      </c>
      <c r="O56" s="19">
        <f t="shared" si="4"/>
        <v>0</v>
      </c>
      <c r="P56" s="20">
        <f t="shared" si="5"/>
        <v>-6.0881934566145759</v>
      </c>
      <c r="Q56" s="21">
        <f t="shared" si="6"/>
        <v>0.94216216216216153</v>
      </c>
      <c r="R56" s="172"/>
      <c r="S56" s="28">
        <v>0.37708333333333333</v>
      </c>
      <c r="T56" s="28">
        <v>0.40277777777777779</v>
      </c>
      <c r="U56" s="4">
        <f t="shared" si="38"/>
        <v>5.9999999999999787</v>
      </c>
      <c r="V56" s="22">
        <f t="shared" si="37"/>
        <v>37.000000000000028</v>
      </c>
      <c r="W56" s="23"/>
      <c r="X56" s="23"/>
      <c r="Y56" s="26"/>
      <c r="Z56" s="26"/>
      <c r="AA56" s="164"/>
      <c r="AB56" s="164"/>
      <c r="AC56" s="25"/>
      <c r="AD56" s="25"/>
      <c r="AE56" s="19">
        <f t="shared" si="8"/>
        <v>-115.67567567567698</v>
      </c>
      <c r="AF56" s="21">
        <f t="shared" si="9"/>
        <v>0.94216216216216153</v>
      </c>
      <c r="AG56" s="172"/>
    </row>
    <row r="57" spans="1:33" ht="15.75" customHeight="1">
      <c r="A57" s="182" t="s">
        <v>2302</v>
      </c>
      <c r="B57" s="37" t="s">
        <v>78</v>
      </c>
      <c r="C57" s="173" t="s">
        <v>123</v>
      </c>
      <c r="D57" s="174"/>
      <c r="E57" s="37">
        <v>55.56</v>
      </c>
      <c r="F57" s="42">
        <v>1808</v>
      </c>
      <c r="G57" s="4">
        <f t="shared" si="35"/>
        <v>100452.48000000001</v>
      </c>
      <c r="H57" s="22" t="s">
        <v>139</v>
      </c>
      <c r="I57" s="16">
        <v>17</v>
      </c>
      <c r="J57" s="18">
        <v>2000</v>
      </c>
      <c r="K57" s="17">
        <f t="shared" si="1"/>
        <v>117.64705882352941</v>
      </c>
      <c r="L57" s="16">
        <v>17</v>
      </c>
      <c r="M57" s="18">
        <f t="shared" si="36"/>
        <v>1903.1578947368434</v>
      </c>
      <c r="N57" s="18">
        <f t="shared" si="3"/>
        <v>111.95046439628491</v>
      </c>
      <c r="O57" s="19">
        <f t="shared" si="4"/>
        <v>0</v>
      </c>
      <c r="P57" s="20">
        <f t="shared" si="5"/>
        <v>-5.6965944272444915</v>
      </c>
      <c r="Q57" s="21">
        <f t="shared" si="6"/>
        <v>0.95157894736842186</v>
      </c>
      <c r="R57" s="172"/>
      <c r="S57" s="28">
        <v>0.70833333333333337</v>
      </c>
      <c r="T57" s="28">
        <v>0.74791666666666667</v>
      </c>
      <c r="U57" s="4" t="str">
        <f t="shared" si="38"/>
        <v/>
      </c>
      <c r="V57" s="22">
        <f t="shared" si="37"/>
        <v>56.999999999999957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8"/>
        <v>-96.842105263156554</v>
      </c>
      <c r="AF57" s="21">
        <f t="shared" si="9"/>
        <v>0.95157894736842175</v>
      </c>
      <c r="AG57" s="172"/>
    </row>
    <row r="58" spans="1:33" ht="15.75" customHeight="1">
      <c r="A58" s="182" t="s">
        <v>2302</v>
      </c>
      <c r="B58" s="37" t="s">
        <v>78</v>
      </c>
      <c r="C58" s="173" t="s">
        <v>124</v>
      </c>
      <c r="D58" s="174"/>
      <c r="E58" s="37">
        <v>55.32</v>
      </c>
      <c r="F58" s="42">
        <v>1281</v>
      </c>
      <c r="G58" s="4">
        <f t="shared" si="35"/>
        <v>70864.92</v>
      </c>
      <c r="H58" s="22" t="s">
        <v>139</v>
      </c>
      <c r="I58" s="16">
        <v>15</v>
      </c>
      <c r="J58" s="18">
        <v>2000</v>
      </c>
      <c r="K58" s="17">
        <f t="shared" si="1"/>
        <v>133.33333333333334</v>
      </c>
      <c r="L58" s="16">
        <v>15</v>
      </c>
      <c r="M58" s="18">
        <f t="shared" si="36"/>
        <v>1921.4999999999995</v>
      </c>
      <c r="N58" s="18">
        <f t="shared" si="3"/>
        <v>128.09999999999997</v>
      </c>
      <c r="O58" s="19">
        <f t="shared" si="4"/>
        <v>0</v>
      </c>
      <c r="P58" s="20">
        <f t="shared" si="5"/>
        <v>-5.2333333333333769</v>
      </c>
      <c r="Q58" s="21">
        <f t="shared" si="6"/>
        <v>0.96074999999999966</v>
      </c>
      <c r="R58" s="172"/>
      <c r="S58" s="28">
        <v>0.75208333333333333</v>
      </c>
      <c r="T58" s="28">
        <v>0.77986111111111112</v>
      </c>
      <c r="U58" s="4">
        <f t="shared" si="38"/>
        <v>5.9999999999999787</v>
      </c>
      <c r="V58" s="22">
        <f t="shared" si="37"/>
        <v>40.000000000000014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8"/>
        <v>-78.500000000000455</v>
      </c>
      <c r="AF58" s="21">
        <f t="shared" si="9"/>
        <v>0.96074999999999977</v>
      </c>
      <c r="AG58" s="172"/>
    </row>
    <row r="59" spans="1:33" ht="15.75" customHeight="1">
      <c r="A59" s="182" t="s">
        <v>2302</v>
      </c>
      <c r="B59" s="37" t="s">
        <v>78</v>
      </c>
      <c r="C59" s="173" t="s">
        <v>125</v>
      </c>
      <c r="D59" s="174"/>
      <c r="E59" s="37">
        <v>54.29</v>
      </c>
      <c r="F59" s="42">
        <v>1262</v>
      </c>
      <c r="G59" s="4">
        <f t="shared" si="35"/>
        <v>68513.98</v>
      </c>
      <c r="H59" s="22" t="s">
        <v>139</v>
      </c>
      <c r="I59" s="16">
        <v>20</v>
      </c>
      <c r="J59" s="18">
        <v>2000</v>
      </c>
      <c r="K59" s="17">
        <f t="shared" si="1"/>
        <v>100</v>
      </c>
      <c r="L59" s="16">
        <v>20</v>
      </c>
      <c r="M59" s="18">
        <f t="shared" si="36"/>
        <v>1941.5384615384605</v>
      </c>
      <c r="N59" s="18">
        <f t="shared" si="3"/>
        <v>97.076923076923023</v>
      </c>
      <c r="O59" s="19">
        <f t="shared" si="4"/>
        <v>0</v>
      </c>
      <c r="P59" s="20">
        <f t="shared" si="5"/>
        <v>-2.9230769230769766</v>
      </c>
      <c r="Q59" s="21">
        <f t="shared" si="6"/>
        <v>0.97076923076923027</v>
      </c>
      <c r="R59" s="172"/>
      <c r="S59" s="28">
        <v>0.78472222222222221</v>
      </c>
      <c r="T59" s="28">
        <v>0.81180555555555556</v>
      </c>
      <c r="U59" s="4">
        <f t="shared" si="38"/>
        <v>6.9999999999999751</v>
      </c>
      <c r="V59" s="22">
        <f t="shared" si="37"/>
        <v>39.000000000000021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8"/>
        <v>-58.461538461539476</v>
      </c>
      <c r="AF59" s="21">
        <f t="shared" si="9"/>
        <v>0.97076923076923027</v>
      </c>
      <c r="AG59" s="172"/>
    </row>
    <row r="60" spans="1:33">
      <c r="A60" s="182" t="s">
        <v>2302</v>
      </c>
      <c r="B60" s="37" t="s">
        <v>78</v>
      </c>
      <c r="C60" s="173" t="s">
        <v>126</v>
      </c>
      <c r="D60" s="174"/>
      <c r="E60" s="37">
        <v>57.73</v>
      </c>
      <c r="F60" s="42">
        <v>1044</v>
      </c>
      <c r="G60" s="4">
        <f t="shared" si="35"/>
        <v>60270.119999999995</v>
      </c>
      <c r="H60" s="22" t="s">
        <v>139</v>
      </c>
      <c r="I60" s="16">
        <v>16</v>
      </c>
      <c r="J60" s="18">
        <v>1500</v>
      </c>
      <c r="K60" s="17">
        <f t="shared" si="1"/>
        <v>93.75</v>
      </c>
      <c r="L60" s="16">
        <v>16</v>
      </c>
      <c r="M60" s="18">
        <f t="shared" si="36"/>
        <v>1456.7441860465115</v>
      </c>
      <c r="N60" s="18">
        <f t="shared" si="3"/>
        <v>91.046511627906966</v>
      </c>
      <c r="O60" s="19">
        <f t="shared" si="4"/>
        <v>0</v>
      </c>
      <c r="P60" s="20">
        <f t="shared" si="5"/>
        <v>-2.7034883720930338</v>
      </c>
      <c r="Q60" s="21">
        <f t="shared" si="6"/>
        <v>0.97116279069767431</v>
      </c>
      <c r="R60" s="172"/>
      <c r="S60" s="28">
        <v>0.81597222222222221</v>
      </c>
      <c r="T60" s="28">
        <v>0.84583333333333333</v>
      </c>
      <c r="U60" s="4">
        <f t="shared" si="38"/>
        <v>5.9999999999999787</v>
      </c>
      <c r="V60" s="22">
        <f t="shared" si="37"/>
        <v>43.000000000000007</v>
      </c>
      <c r="W60" s="23"/>
      <c r="X60" s="23"/>
      <c r="Y60" s="26"/>
      <c r="Z60" s="26"/>
      <c r="AA60" s="175"/>
      <c r="AB60" s="176"/>
      <c r="AC60" s="25"/>
      <c r="AD60" s="25"/>
      <c r="AE60" s="19">
        <f t="shared" si="8"/>
        <v>-43.255813953488541</v>
      </c>
      <c r="AF60" s="21">
        <f t="shared" si="9"/>
        <v>0.97116279069767431</v>
      </c>
      <c r="AG60" s="172"/>
    </row>
    <row r="61" spans="1:33">
      <c r="A61" s="183" t="s">
        <v>2302</v>
      </c>
      <c r="B61" s="37" t="s">
        <v>2287</v>
      </c>
      <c r="C61" s="177"/>
      <c r="D61" s="177"/>
      <c r="E61" s="38"/>
      <c r="F61" s="17"/>
      <c r="G61" s="17"/>
      <c r="H61" s="4"/>
      <c r="I61" s="30">
        <v>18.666666666666668</v>
      </c>
      <c r="J61" s="18">
        <v>1944.4444444444443</v>
      </c>
      <c r="K61" s="17">
        <f t="shared" si="1"/>
        <v>104.16666666666666</v>
      </c>
      <c r="L61" s="30">
        <v>18.666666666666668</v>
      </c>
      <c r="M61" s="18">
        <f>AVERAGE(M52:M60)</f>
        <v>1848.6985150392914</v>
      </c>
      <c r="N61" s="17">
        <f t="shared" si="3"/>
        <v>99.037420448533453</v>
      </c>
      <c r="O61" s="19">
        <f t="shared" si="4"/>
        <v>0</v>
      </c>
      <c r="P61" s="20">
        <f t="shared" si="5"/>
        <v>-5.1292462181332041</v>
      </c>
      <c r="Q61" s="21">
        <f t="shared" si="6"/>
        <v>0.95075923630592118</v>
      </c>
      <c r="R61" s="172"/>
      <c r="S61" s="28"/>
      <c r="T61" s="28"/>
      <c r="U61" s="4"/>
      <c r="V61" s="22"/>
      <c r="W61" s="17"/>
      <c r="X61" s="17"/>
      <c r="Y61" s="31">
        <f>SUM(Y52:Y60)</f>
        <v>0</v>
      </c>
      <c r="Z61" s="31">
        <f>SUM(Z52:Z60)</f>
        <v>0</v>
      </c>
      <c r="AA61" s="168"/>
      <c r="AB61" s="168"/>
      <c r="AC61" s="31">
        <v>9</v>
      </c>
      <c r="AD61" s="31">
        <f>SUM(AD52:AD60)</f>
        <v>0</v>
      </c>
      <c r="AE61" s="19">
        <f>M61-J61</f>
        <v>-95.745929405152992</v>
      </c>
      <c r="AF61" s="21">
        <f t="shared" si="9"/>
        <v>0.9507592363059213</v>
      </c>
      <c r="AG61" s="172"/>
    </row>
    <row r="62" spans="1:33" ht="15.75" customHeight="1">
      <c r="A62" s="178" t="s">
        <v>2303</v>
      </c>
      <c r="B62" s="4" t="s">
        <v>84</v>
      </c>
      <c r="C62" s="165" t="s">
        <v>127</v>
      </c>
      <c r="D62" s="165"/>
      <c r="E62" s="37">
        <v>26.97</v>
      </c>
      <c r="F62" s="42">
        <v>2384</v>
      </c>
      <c r="G62" s="4">
        <f t="shared" ref="G62:G67" si="39">E62*F62</f>
        <v>64296.479999999996</v>
      </c>
      <c r="H62" s="22" t="s">
        <v>139</v>
      </c>
      <c r="I62" s="16">
        <v>8</v>
      </c>
      <c r="J62" s="18">
        <v>1500</v>
      </c>
      <c r="K62" s="17">
        <f t="shared" si="1"/>
        <v>187.5</v>
      </c>
      <c r="L62" s="16">
        <v>8</v>
      </c>
      <c r="M62" s="18">
        <f t="shared" ref="M62:M67" si="40">F62/V62*60</f>
        <v>1430.4</v>
      </c>
      <c r="N62" s="17">
        <f t="shared" si="3"/>
        <v>178.8</v>
      </c>
      <c r="O62" s="19">
        <f t="shared" si="4"/>
        <v>0</v>
      </c>
      <c r="P62" s="20">
        <f t="shared" si="5"/>
        <v>-8.6999999999999886</v>
      </c>
      <c r="Q62" s="21">
        <f t="shared" si="6"/>
        <v>0.95360000000000011</v>
      </c>
      <c r="R62" s="172">
        <f>Q68</f>
        <v>0.96702706738496169</v>
      </c>
      <c r="S62" s="28">
        <v>0.20833333333333334</v>
      </c>
      <c r="T62" s="28">
        <v>0.27777777777777779</v>
      </c>
      <c r="U62" s="4"/>
      <c r="V62" s="22">
        <f t="shared" ref="V62:V67" si="41">(T62-S62)*24*60</f>
        <v>100</v>
      </c>
      <c r="W62" s="28"/>
      <c r="X62" s="28"/>
      <c r="Y62" s="28"/>
      <c r="Z62" s="28"/>
      <c r="AA62" s="164"/>
      <c r="AB62" s="164"/>
      <c r="AC62" s="25">
        <v>6</v>
      </c>
      <c r="AD62" s="25"/>
      <c r="AE62" s="19">
        <f t="shared" ref="AE62:AE75" si="42">M62-J62</f>
        <v>-69.599999999999909</v>
      </c>
      <c r="AF62" s="21">
        <f t="shared" si="9"/>
        <v>0.95360000000000011</v>
      </c>
      <c r="AG62" s="172">
        <f>AF68</f>
        <v>0.96702706738496169</v>
      </c>
    </row>
    <row r="63" spans="1:33" ht="15.75" customHeight="1">
      <c r="A63" s="178" t="s">
        <v>2303</v>
      </c>
      <c r="B63" s="4" t="s">
        <v>84</v>
      </c>
      <c r="C63" s="165" t="s">
        <v>128</v>
      </c>
      <c r="D63" s="165"/>
      <c r="E63" s="37">
        <v>27.4</v>
      </c>
      <c r="F63" s="42">
        <v>856</v>
      </c>
      <c r="G63" s="4">
        <f t="shared" si="39"/>
        <v>23454.399999999998</v>
      </c>
      <c r="H63" s="22" t="s">
        <v>139</v>
      </c>
      <c r="I63" s="16">
        <v>10</v>
      </c>
      <c r="J63" s="18">
        <v>1500</v>
      </c>
      <c r="K63" s="17">
        <f t="shared" si="1"/>
        <v>150</v>
      </c>
      <c r="L63" s="16">
        <v>10</v>
      </c>
      <c r="M63" s="18">
        <f t="shared" si="40"/>
        <v>1467.4285714285697</v>
      </c>
      <c r="N63" s="17">
        <f t="shared" si="3"/>
        <v>146.74285714285696</v>
      </c>
      <c r="O63" s="19">
        <f t="shared" si="4"/>
        <v>0</v>
      </c>
      <c r="P63" s="20">
        <f t="shared" si="5"/>
        <v>-3.2571428571430374</v>
      </c>
      <c r="Q63" s="21">
        <f t="shared" si="6"/>
        <v>0.97828571428571309</v>
      </c>
      <c r="R63" s="172"/>
      <c r="S63" s="28">
        <v>0.28333333333333333</v>
      </c>
      <c r="T63" s="28">
        <v>0.30763888888888891</v>
      </c>
      <c r="U63" s="4">
        <f t="shared" ref="U63:U67" si="43">(S63-T62)*24*60</f>
        <v>7.9999999999999716</v>
      </c>
      <c r="V63" s="22">
        <f t="shared" si="41"/>
        <v>35.000000000000036</v>
      </c>
      <c r="W63" s="4"/>
      <c r="X63" s="4"/>
      <c r="Y63" s="4"/>
      <c r="Z63" s="4"/>
      <c r="AA63" s="164"/>
      <c r="AB63" s="164"/>
      <c r="AC63" s="25"/>
      <c r="AD63" s="25"/>
      <c r="AE63" s="19">
        <f t="shared" si="42"/>
        <v>-32.57142857143026</v>
      </c>
      <c r="AF63" s="21">
        <f t="shared" si="9"/>
        <v>0.9782857142857132</v>
      </c>
      <c r="AG63" s="172"/>
    </row>
    <row r="64" spans="1:33" ht="15.75" customHeight="1">
      <c r="A64" s="178" t="s">
        <v>2303</v>
      </c>
      <c r="B64" s="4" t="s">
        <v>111</v>
      </c>
      <c r="C64" s="165" t="s">
        <v>129</v>
      </c>
      <c r="D64" s="165"/>
      <c r="E64" s="37">
        <v>31</v>
      </c>
      <c r="F64" s="42">
        <v>671</v>
      </c>
      <c r="G64" s="4">
        <f t="shared" si="39"/>
        <v>20801</v>
      </c>
      <c r="H64" s="22" t="s">
        <v>139</v>
      </c>
      <c r="I64" s="16">
        <v>13</v>
      </c>
      <c r="J64" s="18">
        <v>2000</v>
      </c>
      <c r="K64" s="17">
        <f t="shared" si="1"/>
        <v>153.84615384615384</v>
      </c>
      <c r="L64" s="16">
        <v>13</v>
      </c>
      <c r="M64" s="18">
        <f t="shared" si="40"/>
        <v>1917.1428571428564</v>
      </c>
      <c r="N64" s="17">
        <f t="shared" si="3"/>
        <v>147.47252747252742</v>
      </c>
      <c r="O64" s="19">
        <f t="shared" si="4"/>
        <v>0</v>
      </c>
      <c r="P64" s="20">
        <f t="shared" si="5"/>
        <v>-6.373626373626422</v>
      </c>
      <c r="Q64" s="21">
        <f t="shared" si="6"/>
        <v>0.9585714285714283</v>
      </c>
      <c r="R64" s="172"/>
      <c r="S64" s="28">
        <v>0.3125</v>
      </c>
      <c r="T64" s="28">
        <v>0.32708333333333334</v>
      </c>
      <c r="U64" s="4">
        <f t="shared" si="43"/>
        <v>6.9999999999999751</v>
      </c>
      <c r="V64" s="22">
        <f t="shared" si="41"/>
        <v>21.000000000000007</v>
      </c>
      <c r="W64" s="4"/>
      <c r="X64" s="4"/>
      <c r="Y64" s="4"/>
      <c r="Z64" s="4"/>
      <c r="AA64" s="164"/>
      <c r="AB64" s="164"/>
      <c r="AC64" s="25"/>
      <c r="AD64" s="25"/>
      <c r="AE64" s="19">
        <f t="shared" si="42"/>
        <v>-82.857142857143572</v>
      </c>
      <c r="AF64" s="21">
        <f t="shared" si="9"/>
        <v>0.95857142857142819</v>
      </c>
      <c r="AG64" s="172"/>
    </row>
    <row r="65" spans="1:33" ht="15.75" customHeight="1">
      <c r="A65" s="178" t="s">
        <v>2303</v>
      </c>
      <c r="B65" s="4" t="s">
        <v>111</v>
      </c>
      <c r="C65" s="165" t="s">
        <v>130</v>
      </c>
      <c r="D65" s="165"/>
      <c r="E65" s="37">
        <v>37.85</v>
      </c>
      <c r="F65" s="42">
        <v>2095</v>
      </c>
      <c r="G65" s="4">
        <f t="shared" si="39"/>
        <v>79295.75</v>
      </c>
      <c r="H65" s="22" t="s">
        <v>139</v>
      </c>
      <c r="I65" s="16">
        <v>12</v>
      </c>
      <c r="J65" s="18">
        <v>2000</v>
      </c>
      <c r="K65" s="17">
        <f t="shared" si="1"/>
        <v>166.66666666666666</v>
      </c>
      <c r="L65" s="16">
        <v>12</v>
      </c>
      <c r="M65" s="18">
        <f t="shared" si="40"/>
        <v>1904.5454545454545</v>
      </c>
      <c r="N65" s="17">
        <f t="shared" si="3"/>
        <v>158.71212121212122</v>
      </c>
      <c r="O65" s="19">
        <f t="shared" si="4"/>
        <v>0</v>
      </c>
      <c r="P65" s="20">
        <f t="shared" si="5"/>
        <v>-7.954545454545439</v>
      </c>
      <c r="Q65" s="21">
        <f t="shared" si="6"/>
        <v>0.95227272727272738</v>
      </c>
      <c r="R65" s="172"/>
      <c r="S65" s="28">
        <v>0.33124999999999999</v>
      </c>
      <c r="T65" s="28">
        <v>0.37708333333333333</v>
      </c>
      <c r="U65" s="4">
        <f t="shared" si="43"/>
        <v>5.9999999999999787</v>
      </c>
      <c r="V65" s="22">
        <f t="shared" si="41"/>
        <v>66</v>
      </c>
      <c r="W65" s="4"/>
      <c r="X65" s="4"/>
      <c r="Y65" s="4"/>
      <c r="Z65" s="4"/>
      <c r="AA65" s="164"/>
      <c r="AB65" s="164"/>
      <c r="AC65" s="25"/>
      <c r="AD65" s="25"/>
      <c r="AE65" s="19">
        <f t="shared" si="42"/>
        <v>-95.454545454545496</v>
      </c>
      <c r="AF65" s="21">
        <f t="shared" si="9"/>
        <v>0.95227272727272727</v>
      </c>
      <c r="AG65" s="172"/>
    </row>
    <row r="66" spans="1:33">
      <c r="A66" s="179" t="s">
        <v>2303</v>
      </c>
      <c r="B66" s="4" t="s">
        <v>111</v>
      </c>
      <c r="C66" s="165" t="s">
        <v>131</v>
      </c>
      <c r="D66" s="165"/>
      <c r="E66" s="37">
        <v>34.36</v>
      </c>
      <c r="F66" s="42">
        <v>1782</v>
      </c>
      <c r="G66" s="4">
        <f t="shared" si="39"/>
        <v>61229.52</v>
      </c>
      <c r="H66" s="22" t="s">
        <v>139</v>
      </c>
      <c r="I66" s="16">
        <v>10</v>
      </c>
      <c r="J66" s="18">
        <v>3000</v>
      </c>
      <c r="K66" s="17">
        <f t="shared" si="1"/>
        <v>300</v>
      </c>
      <c r="L66" s="16">
        <v>10</v>
      </c>
      <c r="M66" s="18">
        <f t="shared" si="40"/>
        <v>2889.7297297297278</v>
      </c>
      <c r="N66" s="17">
        <f t="shared" si="3"/>
        <v>288.9729729729728</v>
      </c>
      <c r="O66" s="19">
        <f t="shared" si="4"/>
        <v>0</v>
      </c>
      <c r="P66" s="20">
        <f t="shared" si="5"/>
        <v>-11.027027027027202</v>
      </c>
      <c r="Q66" s="21">
        <f t="shared" si="6"/>
        <v>0.96324324324324262</v>
      </c>
      <c r="R66" s="172"/>
      <c r="S66" s="28">
        <v>0.38194444444444442</v>
      </c>
      <c r="T66" s="28">
        <v>0.40763888888888888</v>
      </c>
      <c r="U66" s="4">
        <f t="shared" si="43"/>
        <v>6.9999999999999751</v>
      </c>
      <c r="V66" s="22">
        <f t="shared" si="41"/>
        <v>37.000000000000028</v>
      </c>
      <c r="W66" s="23"/>
      <c r="X66" s="23"/>
      <c r="Y66" s="23"/>
      <c r="Z66" s="23"/>
      <c r="AA66" s="164"/>
      <c r="AB66" s="164"/>
      <c r="AC66" s="25"/>
      <c r="AD66" s="25"/>
      <c r="AE66" s="19">
        <f t="shared" si="42"/>
        <v>-110.27027027027225</v>
      </c>
      <c r="AF66" s="21">
        <f t="shared" si="9"/>
        <v>0.96324324324324262</v>
      </c>
      <c r="AG66" s="172"/>
    </row>
    <row r="67" spans="1:33" ht="15" customHeight="1">
      <c r="A67" s="179" t="s">
        <v>2303</v>
      </c>
      <c r="B67" s="4" t="s">
        <v>111</v>
      </c>
      <c r="C67" s="173" t="s">
        <v>117</v>
      </c>
      <c r="D67" s="174"/>
      <c r="E67" s="37">
        <v>44.03</v>
      </c>
      <c r="F67" s="42">
        <v>938</v>
      </c>
      <c r="G67" s="4">
        <f t="shared" si="39"/>
        <v>41300.14</v>
      </c>
      <c r="H67" s="22" t="s">
        <v>139</v>
      </c>
      <c r="I67" s="16">
        <v>10</v>
      </c>
      <c r="J67" s="18">
        <v>3000</v>
      </c>
      <c r="K67" s="17">
        <f t="shared" si="1"/>
        <v>300</v>
      </c>
      <c r="L67" s="16">
        <v>10</v>
      </c>
      <c r="M67" s="18">
        <f t="shared" si="40"/>
        <v>2962.1052631578923</v>
      </c>
      <c r="N67" s="17">
        <f t="shared" si="3"/>
        <v>296.21052631578925</v>
      </c>
      <c r="O67" s="19">
        <f t="shared" si="4"/>
        <v>0</v>
      </c>
      <c r="P67" s="20">
        <f t="shared" si="5"/>
        <v>-3.7894736842107477</v>
      </c>
      <c r="Q67" s="21">
        <f t="shared" si="6"/>
        <v>0.9873684210526309</v>
      </c>
      <c r="R67" s="172"/>
      <c r="S67" s="28">
        <v>0.41249999999999998</v>
      </c>
      <c r="T67" s="28">
        <v>0.42569444444444443</v>
      </c>
      <c r="U67" s="4">
        <f t="shared" si="43"/>
        <v>6.9999999999999751</v>
      </c>
      <c r="V67" s="22">
        <f t="shared" si="41"/>
        <v>19.000000000000014</v>
      </c>
      <c r="W67" s="4"/>
      <c r="X67" s="4"/>
      <c r="Y67" s="32"/>
      <c r="Z67" s="32"/>
      <c r="AA67" s="175"/>
      <c r="AB67" s="176"/>
      <c r="AC67" s="25"/>
      <c r="AD67" s="25"/>
      <c r="AE67" s="19">
        <f t="shared" si="42"/>
        <v>-37.894736842107704</v>
      </c>
      <c r="AF67" s="21">
        <f t="shared" si="9"/>
        <v>0.98736842105263078</v>
      </c>
      <c r="AG67" s="172"/>
    </row>
    <row r="68" spans="1:33">
      <c r="A68" s="179" t="s">
        <v>2303</v>
      </c>
      <c r="B68" s="37" t="s">
        <v>2287</v>
      </c>
      <c r="C68" s="177"/>
      <c r="D68" s="177"/>
      <c r="E68" s="38"/>
      <c r="F68" s="17"/>
      <c r="G68" s="17"/>
      <c r="H68" s="4"/>
      <c r="I68" s="30">
        <v>10.5</v>
      </c>
      <c r="J68" s="18">
        <v>2166.6666666666665</v>
      </c>
      <c r="K68" s="17">
        <f t="shared" si="1"/>
        <v>206.34920634920633</v>
      </c>
      <c r="L68" s="30">
        <v>10.5</v>
      </c>
      <c r="M68" s="18">
        <f>AVERAGE(M62:M67)</f>
        <v>2095.2253126674168</v>
      </c>
      <c r="N68" s="17">
        <f t="shared" si="3"/>
        <v>199.54526787308731</v>
      </c>
      <c r="O68" s="19">
        <f t="shared" si="4"/>
        <v>0</v>
      </c>
      <c r="P68" s="20">
        <f t="shared" si="5"/>
        <v>-6.8039384761190149</v>
      </c>
      <c r="Q68" s="21">
        <f t="shared" si="6"/>
        <v>0.96702706738496169</v>
      </c>
      <c r="R68" s="172"/>
      <c r="S68" s="28"/>
      <c r="T68" s="28"/>
      <c r="U68" s="17"/>
      <c r="V68" s="22"/>
      <c r="W68" s="17"/>
      <c r="X68" s="17"/>
      <c r="Y68" s="31">
        <f>SUM(Y62:Y67)</f>
        <v>0</v>
      </c>
      <c r="Z68" s="31">
        <f>SUM(Z62:Z67)</f>
        <v>0</v>
      </c>
      <c r="AA68" s="168"/>
      <c r="AB68" s="168"/>
      <c r="AC68" s="31">
        <v>6</v>
      </c>
      <c r="AD68" s="31">
        <f>SUM(AD62:AD67)</f>
        <v>0</v>
      </c>
      <c r="AE68" s="19">
        <f t="shared" si="42"/>
        <v>-71.441353999249714</v>
      </c>
      <c r="AF68" s="21">
        <f t="shared" si="9"/>
        <v>0.96702706738496169</v>
      </c>
      <c r="AG68" s="172"/>
    </row>
    <row r="69" spans="1:33" ht="15.75" customHeight="1">
      <c r="A69" s="169" t="s">
        <v>2304</v>
      </c>
      <c r="B69" s="4" t="s">
        <v>100</v>
      </c>
      <c r="C69" s="165" t="s">
        <v>133</v>
      </c>
      <c r="D69" s="165"/>
      <c r="E69" s="37">
        <v>20.2</v>
      </c>
      <c r="F69" s="4">
        <v>2193</v>
      </c>
      <c r="G69" s="4">
        <f t="shared" ref="G69:G74" si="44">E69*F69</f>
        <v>44298.6</v>
      </c>
      <c r="H69" s="22" t="s">
        <v>139</v>
      </c>
      <c r="I69" s="16">
        <v>19</v>
      </c>
      <c r="J69" s="18">
        <v>2400</v>
      </c>
      <c r="K69" s="17">
        <f t="shared" ref="K69:K75" si="45">J69/I69</f>
        <v>126.31578947368421</v>
      </c>
      <c r="L69" s="16">
        <v>19</v>
      </c>
      <c r="M69" s="18">
        <f t="shared" ref="M69:M74" si="46">F69/V69*60</f>
        <v>2308.4210526315787</v>
      </c>
      <c r="N69" s="17">
        <f t="shared" ref="N69:N75" si="47">M69/L69</f>
        <v>121.49584487534625</v>
      </c>
      <c r="O69" s="19">
        <f t="shared" ref="O69:O75" si="48">L69-I69</f>
        <v>0</v>
      </c>
      <c r="P69" s="20">
        <f t="shared" ref="P69:P75" si="49">N69-K69</f>
        <v>-4.8199445983379547</v>
      </c>
      <c r="Q69" s="21">
        <f t="shared" ref="Q69:Q75" si="50">N69/K69</f>
        <v>0.96184210526315783</v>
      </c>
      <c r="R69" s="172">
        <f>Q75</f>
        <v>0.96032181643316461</v>
      </c>
      <c r="S69" s="28">
        <v>0.125</v>
      </c>
      <c r="T69" s="28">
        <v>0.16458333333333333</v>
      </c>
      <c r="U69" s="28"/>
      <c r="V69" s="22">
        <f t="shared" ref="V69:V74" si="51">(T69-S69)*24*60</f>
        <v>57</v>
      </c>
      <c r="W69" s="23">
        <f>T69</f>
        <v>0.16458333333333333</v>
      </c>
      <c r="X69" s="23">
        <f>S70</f>
        <v>0.18611111111111112</v>
      </c>
      <c r="Y69" s="23"/>
      <c r="Z69" s="23"/>
      <c r="AA69" s="164"/>
      <c r="AB69" s="164"/>
      <c r="AC69" s="25">
        <v>6</v>
      </c>
      <c r="AD69" s="25"/>
      <c r="AE69" s="19">
        <f t="shared" si="42"/>
        <v>-91.578947368421268</v>
      </c>
      <c r="AF69" s="21">
        <f t="shared" ref="AF69:AF75" si="52">M69/J69</f>
        <v>0.96184210526315783</v>
      </c>
      <c r="AG69" s="172">
        <f>AF75</f>
        <v>0.96032181643316472</v>
      </c>
    </row>
    <row r="70" spans="1:33" ht="15.75" customHeight="1">
      <c r="A70" s="170" t="s">
        <v>2305</v>
      </c>
      <c r="B70" s="4" t="s">
        <v>100</v>
      </c>
      <c r="C70" s="165" t="s">
        <v>109</v>
      </c>
      <c r="D70" s="165"/>
      <c r="E70" s="37">
        <v>24.45</v>
      </c>
      <c r="F70" s="4">
        <v>2883</v>
      </c>
      <c r="G70" s="4">
        <f t="shared" si="44"/>
        <v>70489.349999999991</v>
      </c>
      <c r="H70" s="22" t="s">
        <v>139</v>
      </c>
      <c r="I70" s="16">
        <v>20</v>
      </c>
      <c r="J70" s="18">
        <v>2400</v>
      </c>
      <c r="K70" s="17">
        <f t="shared" si="45"/>
        <v>120</v>
      </c>
      <c r="L70" s="16">
        <v>20</v>
      </c>
      <c r="M70" s="18">
        <f t="shared" si="46"/>
        <v>2306.3999999999996</v>
      </c>
      <c r="N70" s="17">
        <f t="shared" si="47"/>
        <v>115.31999999999998</v>
      </c>
      <c r="O70" s="19">
        <f t="shared" si="48"/>
        <v>0</v>
      </c>
      <c r="P70" s="20">
        <f t="shared" si="49"/>
        <v>-4.680000000000021</v>
      </c>
      <c r="Q70" s="21">
        <f t="shared" si="50"/>
        <v>0.96099999999999985</v>
      </c>
      <c r="R70" s="172"/>
      <c r="S70" s="28">
        <v>0.18611111111111112</v>
      </c>
      <c r="T70" s="28">
        <v>0.23819444444444446</v>
      </c>
      <c r="U70" s="4">
        <f t="shared" ref="U70:U74" si="53">(S70-T69)*24*60</f>
        <v>31.000000000000011</v>
      </c>
      <c r="V70" s="22">
        <f t="shared" si="51"/>
        <v>75.000000000000014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42"/>
        <v>-93.600000000000364</v>
      </c>
      <c r="AF70" s="21">
        <f t="shared" si="52"/>
        <v>0.96099999999999985</v>
      </c>
      <c r="AG70" s="172"/>
    </row>
    <row r="71" spans="1:33" ht="15.75" customHeight="1">
      <c r="A71" s="170" t="s">
        <v>2305</v>
      </c>
      <c r="B71" s="4" t="s">
        <v>100</v>
      </c>
      <c r="C71" s="165" t="s">
        <v>136</v>
      </c>
      <c r="D71" s="165"/>
      <c r="E71" s="37">
        <v>24.43</v>
      </c>
      <c r="F71" s="4">
        <v>6948</v>
      </c>
      <c r="G71" s="4">
        <f t="shared" si="44"/>
        <v>169739.63999999998</v>
      </c>
      <c r="H71" s="22" t="s">
        <v>139</v>
      </c>
      <c r="I71" s="16">
        <v>14</v>
      </c>
      <c r="J71" s="18">
        <v>2400</v>
      </c>
      <c r="K71" s="17">
        <f t="shared" si="45"/>
        <v>171.42857142857142</v>
      </c>
      <c r="L71" s="16">
        <v>14</v>
      </c>
      <c r="M71" s="18">
        <f t="shared" si="46"/>
        <v>2290.5494505494507</v>
      </c>
      <c r="N71" s="17">
        <f t="shared" si="47"/>
        <v>163.61067503924647</v>
      </c>
      <c r="O71" s="19">
        <f t="shared" si="48"/>
        <v>0</v>
      </c>
      <c r="P71" s="20">
        <f t="shared" si="49"/>
        <v>-7.8178963893249431</v>
      </c>
      <c r="Q71" s="21">
        <f t="shared" si="50"/>
        <v>0.95439560439560445</v>
      </c>
      <c r="R71" s="172"/>
      <c r="S71" s="28">
        <v>0.24236111111111114</v>
      </c>
      <c r="T71" s="28">
        <v>0.36875000000000002</v>
      </c>
      <c r="U71" s="4">
        <f t="shared" si="53"/>
        <v>6.0000000000000187</v>
      </c>
      <c r="V71" s="22">
        <f t="shared" si="51"/>
        <v>182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42"/>
        <v>-109.45054945054926</v>
      </c>
      <c r="AF71" s="21">
        <f t="shared" si="52"/>
        <v>0.95439560439560445</v>
      </c>
      <c r="AG71" s="172"/>
    </row>
    <row r="72" spans="1:33" ht="15.75" customHeight="1">
      <c r="A72" s="170" t="s">
        <v>2305</v>
      </c>
      <c r="B72" s="4" t="s">
        <v>100</v>
      </c>
      <c r="C72" s="165" t="s">
        <v>138</v>
      </c>
      <c r="D72" s="165"/>
      <c r="E72" s="37">
        <v>22.69</v>
      </c>
      <c r="F72" s="4">
        <v>899</v>
      </c>
      <c r="G72" s="4">
        <f t="shared" si="44"/>
        <v>20398.310000000001</v>
      </c>
      <c r="H72" s="22" t="s">
        <v>139</v>
      </c>
      <c r="I72" s="16">
        <v>15</v>
      </c>
      <c r="J72" s="18">
        <v>2400</v>
      </c>
      <c r="K72" s="17">
        <f t="shared" si="45"/>
        <v>160</v>
      </c>
      <c r="L72" s="16">
        <v>15</v>
      </c>
      <c r="M72" s="18">
        <f t="shared" si="46"/>
        <v>2345.217391304348</v>
      </c>
      <c r="N72" s="17">
        <f t="shared" si="47"/>
        <v>156.34782608695653</v>
      </c>
      <c r="O72" s="19">
        <f t="shared" si="48"/>
        <v>0</v>
      </c>
      <c r="P72" s="20">
        <f t="shared" si="49"/>
        <v>-3.6521739130434696</v>
      </c>
      <c r="Q72" s="21">
        <f t="shared" si="50"/>
        <v>0.97717391304347834</v>
      </c>
      <c r="R72" s="172"/>
      <c r="S72" s="28">
        <v>0.37222222222222223</v>
      </c>
      <c r="T72" s="28">
        <v>0.38819444444444445</v>
      </c>
      <c r="U72" s="4">
        <f t="shared" si="53"/>
        <v>4.9999999999999822</v>
      </c>
      <c r="V72" s="22">
        <f t="shared" si="51"/>
        <v>23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42"/>
        <v>-54.782608695652016</v>
      </c>
      <c r="AF72" s="21">
        <f t="shared" si="52"/>
        <v>0.97717391304347834</v>
      </c>
      <c r="AG72" s="172"/>
    </row>
    <row r="73" spans="1:33" ht="15.75" customHeight="1">
      <c r="A73" s="170" t="s">
        <v>2305</v>
      </c>
      <c r="B73" s="4" t="s">
        <v>100</v>
      </c>
      <c r="C73" s="165" t="s">
        <v>135</v>
      </c>
      <c r="D73" s="165"/>
      <c r="E73" s="37">
        <v>19.02</v>
      </c>
      <c r="F73" s="4">
        <v>6000</v>
      </c>
      <c r="G73" s="4">
        <f t="shared" si="44"/>
        <v>114120</v>
      </c>
      <c r="H73" s="22">
        <v>2</v>
      </c>
      <c r="I73" s="16">
        <v>15</v>
      </c>
      <c r="J73" s="18">
        <v>2400</v>
      </c>
      <c r="K73" s="17">
        <f t="shared" si="45"/>
        <v>160</v>
      </c>
      <c r="L73" s="16">
        <v>15</v>
      </c>
      <c r="M73" s="18">
        <f t="shared" si="46"/>
        <v>2292.9936305732485</v>
      </c>
      <c r="N73" s="17">
        <f t="shared" si="47"/>
        <v>152.86624203821657</v>
      </c>
      <c r="O73" s="19">
        <f t="shared" si="48"/>
        <v>0</v>
      </c>
      <c r="P73" s="20">
        <f t="shared" si="49"/>
        <v>-7.1337579617834308</v>
      </c>
      <c r="Q73" s="21">
        <f t="shared" si="50"/>
        <v>0.95541401273885351</v>
      </c>
      <c r="R73" s="172"/>
      <c r="S73" s="28">
        <v>0.3923611111111111</v>
      </c>
      <c r="T73" s="28">
        <v>0.50138888888888888</v>
      </c>
      <c r="U73" s="4">
        <f t="shared" si="53"/>
        <v>5.9999999999999787</v>
      </c>
      <c r="V73" s="22">
        <f t="shared" si="51"/>
        <v>157</v>
      </c>
      <c r="W73" s="23">
        <f>T73</f>
        <v>0.50138888888888888</v>
      </c>
      <c r="X73" s="23">
        <f>S74</f>
        <v>0.54305555555555551</v>
      </c>
      <c r="Y73" s="23"/>
      <c r="Z73" s="23"/>
      <c r="AA73" s="164"/>
      <c r="AB73" s="164"/>
      <c r="AC73" s="25"/>
      <c r="AD73" s="25"/>
      <c r="AE73" s="19">
        <f t="shared" si="42"/>
        <v>-107.00636942675146</v>
      </c>
      <c r="AF73" s="21">
        <f t="shared" si="52"/>
        <v>0.95541401273885351</v>
      </c>
      <c r="AG73" s="172"/>
    </row>
    <row r="74" spans="1:33" ht="15.75" customHeight="1">
      <c r="A74" s="170" t="s">
        <v>2305</v>
      </c>
      <c r="B74" s="4" t="s">
        <v>100</v>
      </c>
      <c r="C74" s="165" t="s">
        <v>135</v>
      </c>
      <c r="D74" s="165"/>
      <c r="E74" s="37">
        <v>19.02</v>
      </c>
      <c r="F74" s="4">
        <v>3618</v>
      </c>
      <c r="G74" s="4">
        <f t="shared" si="44"/>
        <v>68814.36</v>
      </c>
      <c r="H74" s="22" t="s">
        <v>139</v>
      </c>
      <c r="I74" s="16">
        <v>15</v>
      </c>
      <c r="J74" s="18">
        <v>2400</v>
      </c>
      <c r="K74" s="17">
        <f t="shared" si="45"/>
        <v>160</v>
      </c>
      <c r="L74" s="16">
        <v>15</v>
      </c>
      <c r="M74" s="18">
        <f t="shared" si="46"/>
        <v>2285.0526315789475</v>
      </c>
      <c r="N74" s="17">
        <f t="shared" si="47"/>
        <v>152.33684210526317</v>
      </c>
      <c r="O74" s="19">
        <f t="shared" si="48"/>
        <v>0</v>
      </c>
      <c r="P74" s="20">
        <f t="shared" si="49"/>
        <v>-7.6631578947368268</v>
      </c>
      <c r="Q74" s="21">
        <f t="shared" si="50"/>
        <v>0.95210526315789479</v>
      </c>
      <c r="R74" s="172"/>
      <c r="S74" s="28">
        <v>0.54305555555555551</v>
      </c>
      <c r="T74" s="28">
        <v>0.60902777777777772</v>
      </c>
      <c r="U74" s="4">
        <f t="shared" si="53"/>
        <v>59.999999999999943</v>
      </c>
      <c r="V74" s="22">
        <f t="shared" si="51"/>
        <v>94.999999999999986</v>
      </c>
      <c r="W74" s="23"/>
      <c r="X74" s="23"/>
      <c r="Y74" s="23"/>
      <c r="Z74" s="23"/>
      <c r="AA74" s="164"/>
      <c r="AB74" s="164"/>
      <c r="AC74" s="25"/>
      <c r="AD74" s="25"/>
      <c r="AE74" s="19">
        <f t="shared" si="42"/>
        <v>-114.94736842105249</v>
      </c>
      <c r="AF74" s="21">
        <f t="shared" si="52"/>
        <v>0.95210526315789479</v>
      </c>
      <c r="AG74" s="172"/>
    </row>
    <row r="75" spans="1:33" ht="16.5" customHeight="1">
      <c r="A75" s="171" t="s">
        <v>728</v>
      </c>
      <c r="B75" s="37" t="s">
        <v>2306</v>
      </c>
      <c r="C75" s="166"/>
      <c r="D75" s="167"/>
      <c r="E75" s="38"/>
      <c r="F75" s="17"/>
      <c r="G75" s="17"/>
      <c r="H75" s="4"/>
      <c r="I75" s="30">
        <v>16.333333333333332</v>
      </c>
      <c r="J75" s="18">
        <v>2400</v>
      </c>
      <c r="K75" s="17">
        <f t="shared" si="45"/>
        <v>146.9387755102041</v>
      </c>
      <c r="L75" s="30">
        <v>16.333333333333332</v>
      </c>
      <c r="M75" s="18">
        <f>AVERAGE(M69:M74)</f>
        <v>2304.7723594395952</v>
      </c>
      <c r="N75" s="17">
        <f t="shared" si="47"/>
        <v>141.1085118024242</v>
      </c>
      <c r="O75" s="19">
        <f t="shared" si="48"/>
        <v>0</v>
      </c>
      <c r="P75" s="20">
        <f t="shared" si="49"/>
        <v>-5.830263707779892</v>
      </c>
      <c r="Q75" s="21">
        <f t="shared" si="50"/>
        <v>0.96032181643316461</v>
      </c>
      <c r="R75" s="172"/>
      <c r="S75" s="28"/>
      <c r="T75" s="28"/>
      <c r="U75" s="17"/>
      <c r="V75" s="22"/>
      <c r="W75" s="17"/>
      <c r="X75" s="17"/>
      <c r="Y75" s="31">
        <f>SUM(Y69:Y74)</f>
        <v>0</v>
      </c>
      <c r="Z75" s="31">
        <f>SUM(Z69:Z74)</f>
        <v>0</v>
      </c>
      <c r="AA75" s="168"/>
      <c r="AB75" s="168"/>
      <c r="AC75" s="31">
        <v>6</v>
      </c>
      <c r="AD75" s="31">
        <f>SUM(AD69:AD74)</f>
        <v>0</v>
      </c>
      <c r="AE75" s="19">
        <f t="shared" si="42"/>
        <v>-95.22764056040478</v>
      </c>
      <c r="AF75" s="21">
        <f t="shared" si="52"/>
        <v>0.96032181643316472</v>
      </c>
      <c r="AG75" s="172"/>
    </row>
    <row r="76" spans="1:33">
      <c r="D76" s="33"/>
      <c r="E76" s="33"/>
    </row>
  </sheetData>
  <mergeCells count="203">
    <mergeCell ref="C73:D73"/>
    <mergeCell ref="AA73:AB73"/>
    <mergeCell ref="C74:D74"/>
    <mergeCell ref="AA74:AB74"/>
    <mergeCell ref="C75:D75"/>
    <mergeCell ref="AA75:AB75"/>
    <mergeCell ref="A69:A75"/>
    <mergeCell ref="C69:D69"/>
    <mergeCell ref="R69:R75"/>
    <mergeCell ref="AA69:AB69"/>
    <mergeCell ref="A62:A68"/>
    <mergeCell ref="C62:D62"/>
    <mergeCell ref="R62:R68"/>
    <mergeCell ref="AA62:AB62"/>
    <mergeCell ref="AA67:AB67"/>
    <mergeCell ref="C68:D68"/>
    <mergeCell ref="AA68:AB68"/>
    <mergeCell ref="AG69:AG75"/>
    <mergeCell ref="C70:D70"/>
    <mergeCell ref="AA70:AB70"/>
    <mergeCell ref="C71:D71"/>
    <mergeCell ref="AA71:AB71"/>
    <mergeCell ref="C72:D72"/>
    <mergeCell ref="AG62:AG68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A72:AB72"/>
    <mergeCell ref="AG52:AG61"/>
    <mergeCell ref="C53:D53"/>
    <mergeCell ref="AA53:AB53"/>
    <mergeCell ref="C54:D54"/>
    <mergeCell ref="AA54:AB54"/>
    <mergeCell ref="AA55:AB55"/>
    <mergeCell ref="AA56:AB56"/>
    <mergeCell ref="C57:D57"/>
    <mergeCell ref="AA57:AB57"/>
    <mergeCell ref="C58:D58"/>
    <mergeCell ref="AA60:AB60"/>
    <mergeCell ref="C61:D61"/>
    <mergeCell ref="AA61:AB61"/>
    <mergeCell ref="C47:D47"/>
    <mergeCell ref="AA47:AB47"/>
    <mergeCell ref="R41:R51"/>
    <mergeCell ref="AA41:AB41"/>
    <mergeCell ref="C51:D51"/>
    <mergeCell ref="AA51:AB51"/>
    <mergeCell ref="A52:A61"/>
    <mergeCell ref="C52:D52"/>
    <mergeCell ref="R52:R61"/>
    <mergeCell ref="AA52:AB52"/>
    <mergeCell ref="AA58:AB58"/>
    <mergeCell ref="C59:D59"/>
    <mergeCell ref="AA59:AB59"/>
    <mergeCell ref="C60:D60"/>
    <mergeCell ref="A41:A51"/>
    <mergeCell ref="C41:D41"/>
    <mergeCell ref="AG41:AG51"/>
    <mergeCell ref="C42:D42"/>
    <mergeCell ref="AA42:AB42"/>
    <mergeCell ref="C43:D43"/>
    <mergeCell ref="AA43:AB43"/>
    <mergeCell ref="C44:D44"/>
    <mergeCell ref="AA37:AB37"/>
    <mergeCell ref="C38:D38"/>
    <mergeCell ref="AA38:AB38"/>
    <mergeCell ref="C39:D39"/>
    <mergeCell ref="AA39:AB39"/>
    <mergeCell ref="C40:D40"/>
    <mergeCell ref="AA40:AB40"/>
    <mergeCell ref="C48:D48"/>
    <mergeCell ref="AA48:AB48"/>
    <mergeCell ref="C49:D49"/>
    <mergeCell ref="AA49:AB49"/>
    <mergeCell ref="C50:D50"/>
    <mergeCell ref="AA50:AB50"/>
    <mergeCell ref="AA44:AB44"/>
    <mergeCell ref="C45:D45"/>
    <mergeCell ref="AA45:AB45"/>
    <mergeCell ref="C46:D46"/>
    <mergeCell ref="AA46:AB46"/>
    <mergeCell ref="A34:A40"/>
    <mergeCell ref="C34:D34"/>
    <mergeCell ref="R34:R40"/>
    <mergeCell ref="AA34:AB34"/>
    <mergeCell ref="AG34:AG40"/>
    <mergeCell ref="C35:D35"/>
    <mergeCell ref="AA35:AB35"/>
    <mergeCell ref="C36:D36"/>
    <mergeCell ref="AA36:AB36"/>
    <mergeCell ref="C37:D37"/>
    <mergeCell ref="AA31:AB31"/>
    <mergeCell ref="C32:D32"/>
    <mergeCell ref="AA32:AB32"/>
    <mergeCell ref="C33:D33"/>
    <mergeCell ref="AA33:AB33"/>
    <mergeCell ref="A27:A33"/>
    <mergeCell ref="C27:D27"/>
    <mergeCell ref="R27:R33"/>
    <mergeCell ref="AA27:AB27"/>
    <mergeCell ref="A21:A26"/>
    <mergeCell ref="C21:D21"/>
    <mergeCell ref="R21:R26"/>
    <mergeCell ref="AA21:AB21"/>
    <mergeCell ref="AA26:AB26"/>
    <mergeCell ref="A15:A20"/>
    <mergeCell ref="AG27:AG33"/>
    <mergeCell ref="C28:D28"/>
    <mergeCell ref="AA28:AB28"/>
    <mergeCell ref="C29:D29"/>
    <mergeCell ref="AA29:AB29"/>
    <mergeCell ref="C30:D30"/>
    <mergeCell ref="AG21:AG26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A30:AB30"/>
    <mergeCell ref="C31:D31"/>
    <mergeCell ref="C16:D16"/>
    <mergeCell ref="AA16:AB16"/>
    <mergeCell ref="C17:D17"/>
    <mergeCell ref="AA17:AB17"/>
    <mergeCell ref="C18:D18"/>
    <mergeCell ref="AA18:AB18"/>
    <mergeCell ref="AG12:AG14"/>
    <mergeCell ref="C13:D13"/>
    <mergeCell ref="AA13:AB13"/>
    <mergeCell ref="C14:D14"/>
    <mergeCell ref="AA14:AB14"/>
    <mergeCell ref="C15:D15"/>
    <mergeCell ref="R15:R20"/>
    <mergeCell ref="AA15:AB15"/>
    <mergeCell ref="AG15:AG20"/>
    <mergeCell ref="C19:D19"/>
    <mergeCell ref="AA19:AB19"/>
    <mergeCell ref="C20:D20"/>
    <mergeCell ref="AA20:AB20"/>
    <mergeCell ref="A12:A14"/>
    <mergeCell ref="C12:D12"/>
    <mergeCell ref="R12:R14"/>
    <mergeCell ref="AA12:AB12"/>
    <mergeCell ref="C7:D7"/>
    <mergeCell ref="AA7:AB7"/>
    <mergeCell ref="C8:D8"/>
    <mergeCell ref="AA8:AB8"/>
    <mergeCell ref="C9:D9"/>
    <mergeCell ref="AA9:AB9"/>
    <mergeCell ref="A5:A11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C11:D11"/>
    <mergeCell ref="AA11:AB11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5">
    <cfRule type="cellIs" dxfId="248" priority="1" operator="greaterThan">
      <formula>0</formula>
    </cfRule>
  </conditionalFormatting>
  <conditionalFormatting sqref="P5:P75">
    <cfRule type="cellIs" dxfId="247" priority="4" operator="lessThan">
      <formula>0</formula>
    </cfRule>
  </conditionalFormatting>
  <conditionalFormatting sqref="Q5:Q75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R5:R12 AG5:AG12">
    <cfRule type="cellIs" dxfId="244" priority="81" operator="lessThan">
      <formula>0.8</formula>
    </cfRule>
  </conditionalFormatting>
  <conditionalFormatting sqref="AE5:AE75">
    <cfRule type="cellIs" dxfId="243" priority="17" operator="lessThan">
      <formula>0</formula>
    </cfRule>
  </conditionalFormatting>
  <conditionalFormatting sqref="AF5:AF75">
    <cfRule type="cellIs" dxfId="242" priority="15" operator="greaterThan">
      <formula>1</formula>
    </cfRule>
    <cfRule type="cellIs" dxfId="241" priority="16" operator="lessThan">
      <formula>0.8</formula>
    </cfRule>
  </conditionalFormatting>
  <conditionalFormatting sqref="AG15:AG65 R15:R75">
    <cfRule type="cellIs" dxfId="240" priority="5" operator="lessThan">
      <formula>0.8</formula>
    </cfRule>
  </conditionalFormatting>
  <dataValidations count="1">
    <dataValidation type="list" allowBlank="1" showInputMessage="1" showErrorMessage="1" sqref="AA5:AB9 AB10:AB11 AB66:AB67 AA10:AA67 AB13:AB62 AA68:AB75" xr:uid="{00000000-0002-0000-0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Q32"/>
  <sheetViews>
    <sheetView zoomScale="85" zoomScaleNormal="85" workbookViewId="0">
      <selection activeCell="B35" sqref="B35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2102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2103</v>
      </c>
      <c r="C3" s="153" t="str">
        <f>TEXT('0224 4度C'!A2,"yyyy.mm.ddaaaa")</f>
        <v>2026.02.24星期二</v>
      </c>
      <c r="D3" s="154"/>
      <c r="E3" s="47" t="s">
        <v>2104</v>
      </c>
      <c r="F3" s="155">
        <f>'0224 4度C'!D1</f>
        <v>169697</v>
      </c>
      <c r="G3" s="156"/>
      <c r="H3" s="47" t="s">
        <v>143</v>
      </c>
      <c r="I3" s="157">
        <f>'0224 4度C'!F1</f>
        <v>5733922.3600000013</v>
      </c>
      <c r="J3" s="158"/>
      <c r="K3" s="48"/>
      <c r="L3" s="49"/>
      <c r="M3" s="49"/>
      <c r="N3" s="49"/>
    </row>
    <row r="4" spans="2:17" ht="28.5" customHeight="1">
      <c r="B4" s="159" t="s">
        <v>2105</v>
      </c>
      <c r="C4" s="145" t="s">
        <v>2106</v>
      </c>
      <c r="D4" s="146"/>
      <c r="E4" s="162" t="s">
        <v>2107</v>
      </c>
      <c r="F4" s="163"/>
      <c r="G4" s="162" t="s">
        <v>2108</v>
      </c>
      <c r="H4" s="163"/>
      <c r="I4" s="162" t="s">
        <v>2109</v>
      </c>
      <c r="J4" s="163"/>
      <c r="K4" s="143" t="s">
        <v>2110</v>
      </c>
      <c r="L4" s="144"/>
      <c r="M4" s="144" t="s">
        <v>2111</v>
      </c>
      <c r="N4" s="144"/>
    </row>
    <row r="5" spans="2:17" ht="28.5" customHeight="1">
      <c r="B5" s="160"/>
      <c r="C5" s="145" t="s">
        <v>2112</v>
      </c>
      <c r="D5" s="146"/>
      <c r="E5" s="145" t="s">
        <v>2113</v>
      </c>
      <c r="F5" s="146"/>
      <c r="G5" s="147" t="s">
        <v>2114</v>
      </c>
      <c r="H5" s="148"/>
      <c r="I5" s="149" t="s">
        <v>2115</v>
      </c>
      <c r="J5" s="150"/>
      <c r="K5" s="50" t="s">
        <v>2116</v>
      </c>
      <c r="L5" s="51" t="s">
        <v>2117</v>
      </c>
      <c r="M5" s="50" t="s">
        <v>2118</v>
      </c>
      <c r="N5" s="51" t="s">
        <v>2119</v>
      </c>
    </row>
    <row r="6" spans="2:17" ht="28.5" customHeight="1">
      <c r="B6" s="160"/>
      <c r="C6" s="145" t="s">
        <v>158</v>
      </c>
      <c r="D6" s="146"/>
      <c r="E6" s="137">
        <f>AVERAGE(D13:M13)</f>
        <v>146.41188366858319</v>
      </c>
      <c r="F6" s="138">
        <f>AVERAGE(D31:O31,D13:J13)</f>
        <v>150.50704170640833</v>
      </c>
      <c r="G6" s="139">
        <f>AVERAGE(D13:J13)</f>
        <v>150.50704170640833</v>
      </c>
      <c r="H6" s="140"/>
      <c r="I6" s="139">
        <f>AVERAGE(K13:M13)</f>
        <v>136.85651491365778</v>
      </c>
      <c r="J6" s="140"/>
      <c r="K6" s="141">
        <f>'0224 4度C'!Y2</f>
        <v>0</v>
      </c>
      <c r="L6" s="126">
        <f>'0224 4度C'!Z2</f>
        <v>0</v>
      </c>
      <c r="M6" s="142">
        <f>'0224 4度C'!AC2</f>
        <v>67</v>
      </c>
      <c r="N6" s="126">
        <f>'0224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140.14645281740263</v>
      </c>
      <c r="F7" s="130">
        <f>AVERAGE(D32:O32,D14:J14)</f>
        <v>144.11625073115442</v>
      </c>
      <c r="G7" s="131">
        <f>AVERAGE(D14:J14)</f>
        <v>144.11625073115442</v>
      </c>
      <c r="H7" s="132"/>
      <c r="I7" s="131">
        <f>AVERAGE(K14:M14)</f>
        <v>130.8835910186485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0.95698582927137399</v>
      </c>
      <c r="F8" s="134">
        <f>AVERAGE(D15:J15,D33:O33)</f>
        <v>0.95727439843210349</v>
      </c>
      <c r="G8" s="135">
        <f>AVERAGE(D15:J15)</f>
        <v>0.95727439843210349</v>
      </c>
      <c r="H8" s="136"/>
      <c r="I8" s="135">
        <f>AVERAGE(K15:M15)</f>
        <v>0.9563125012296716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2120</v>
      </c>
      <c r="N9" s="49"/>
      <c r="O9" s="49"/>
      <c r="P9" s="49"/>
      <c r="Q9" s="49"/>
    </row>
    <row r="10" spans="2:17" ht="30" customHeight="1">
      <c r="B10" s="109" t="s">
        <v>2121</v>
      </c>
      <c r="C10" s="110"/>
      <c r="D10" s="111" t="s">
        <v>2122</v>
      </c>
      <c r="E10" s="112"/>
      <c r="F10" s="112"/>
      <c r="G10" s="112"/>
      <c r="H10" s="112"/>
      <c r="I10" s="112"/>
      <c r="J10" s="113"/>
      <c r="K10" s="114" t="s">
        <v>2123</v>
      </c>
      <c r="L10" s="115"/>
      <c r="M10" s="116"/>
      <c r="P10" s="55"/>
      <c r="Q10" s="55"/>
    </row>
    <row r="11" spans="2:17" ht="17.25" customHeight="1">
      <c r="B11" s="117" t="s">
        <v>2124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2125</v>
      </c>
      <c r="C13" s="62" t="s">
        <v>2126</v>
      </c>
      <c r="D13" s="63">
        <f>SUMIFS('0224 4度C'!$K:$K,'0224 4度C'!$A:$A,"新豐6線",'0224 4度C'!$B:$B,"平均")</f>
        <v>113.63636363636363</v>
      </c>
      <c r="E13" s="64">
        <f>SUMIFS('0224 4度C'!$K:$K,'0224 4度C'!$A:$A,"新豐2線",'0224 4度C'!$B:$B,"平均")</f>
        <v>83.333333333333329</v>
      </c>
      <c r="F13" s="65">
        <f>SUMIFS('0224 4度C'!$K:$K,'0224 4度C'!$A:$A,"新豐5線",'0224 4度C'!$B:$B,"平均")</f>
        <v>109.48905109489051</v>
      </c>
      <c r="G13" s="65">
        <f>SUMIFS('0224 4度C'!$K:$K,'0224 4度C'!$A:$A,"新豐7線",'0224 4度C'!$B:$B,"平均")</f>
        <v>129.2134831460674</v>
      </c>
      <c r="H13" s="65">
        <f>SUMIFS('0224 4度C'!$K:$K,'0224 4度C'!$A:$A,"新豐3線",'0224 4度C'!$B:$B,"平均")</f>
        <v>306.12244897959181</v>
      </c>
      <c r="I13" s="65">
        <f>SUMIFS('0224 4度C'!$K:$K,'0224 4度C'!$A:$A,"新豐1線",'0224 4度C'!$B:$B,"平均")</f>
        <v>105.4054054054054</v>
      </c>
      <c r="J13" s="66">
        <f>SUMIFS('0224 4度C'!$K:$K,'0224 4度C'!$A:$A,"新豐10線",'0224 4度C'!$B:$B,"平均")</f>
        <v>206.34920634920633</v>
      </c>
      <c r="K13" s="67">
        <f>SUMIFS('0224 4度C'!$K:$K,'0224 4度C'!$A:$A,"新豐8線",'0224 4度C'!$B:$B,"平均")</f>
        <v>129.23076923076923</v>
      </c>
      <c r="L13" s="68">
        <f>SUMIFS('0224 4度C'!$K:$K,'0224 4度C'!$A:$A,"新豐9線",'0224 4度C'!$B:$B,"平均")</f>
        <v>134.4</v>
      </c>
      <c r="M13" s="66">
        <f>SUMIFS('0224 4度C'!$K:$K,'0224 4度C'!$A:$A,"新豐4線",'0224 4度C'!$B:$B,"平均")</f>
        <v>146.9387755102041</v>
      </c>
    </row>
    <row r="14" spans="2:17" ht="39.6" customHeight="1">
      <c r="B14" s="122"/>
      <c r="C14" s="69" t="s">
        <v>2127</v>
      </c>
      <c r="D14" s="70">
        <f>SUMIFS('0224 4度C'!$N:$N,'0224 4度C'!$A:$A,"新豐6線",'0224 4度C'!$B:$B,"平均")</f>
        <v>109.71260607172046</v>
      </c>
      <c r="E14" s="71">
        <f>SUMIFS('0224 4度C'!$N:$N,'0224 4度C'!$A:$A,"新豐2線",'0224 4度C'!$B:$B,"平均")</f>
        <v>79.349099151368875</v>
      </c>
      <c r="F14" s="71">
        <f>SUMIFS('0224 4度C'!$N:$N,'0224 4度C'!$A:$A,"新豐5線",'0224 4度C'!$B:$B,"平均")</f>
        <v>105.29955671510402</v>
      </c>
      <c r="G14" s="71">
        <f>SUMIFS('0224 4度C'!$N:$N,'0224 4度C'!$A:$A,"新豐7線",'0224 4度C'!$B:$B,"平均")</f>
        <v>124.35748595258517</v>
      </c>
      <c r="H14" s="71">
        <f>SUMIFS('0224 4度C'!$N:$N,'0224 4度C'!$A:$A,"新豐3線",'0224 4度C'!$B:$B,"平均")</f>
        <v>293.15270923322129</v>
      </c>
      <c r="I14" s="71">
        <f>SUMIFS('0224 4度C'!$N:$N,'0224 4度C'!$A:$A,"新豐1線",'0224 4度C'!$B:$B,"平均")</f>
        <v>99.642989046275986</v>
      </c>
      <c r="J14" s="72">
        <f>SUMIFS('0224 4度C'!$N:$N,'0224 4度C'!$A:$A,"新豐10線",'0224 4度C'!$B:$B,"平均")</f>
        <v>197.29930894780517</v>
      </c>
      <c r="K14" s="73">
        <f>SUMIFS('0224 4度C'!$N:$N,'0224 4度C'!$A:$A,"新豐8線",'0224 4度C'!$B:$B,"平均")</f>
        <v>123.53241996912088</v>
      </c>
      <c r="L14" s="74">
        <f>SUMIFS('0224 4度C'!$N:$N,'0224 4度C'!$A:$A,"新豐9線",'0224 4度C'!$B:$B,"平均")</f>
        <v>128.41285278713684</v>
      </c>
      <c r="M14" s="72">
        <f>SUMIFS('0224 4度C'!$N:$N,'0224 4度C'!$A:$A,"新豐4線",'0224 4度C'!$B:$B,"平均")</f>
        <v>140.70550029968774</v>
      </c>
    </row>
    <row r="15" spans="2:17" ht="40.15" customHeight="1">
      <c r="B15" s="123"/>
      <c r="C15" s="75" t="s">
        <v>2128</v>
      </c>
      <c r="D15" s="76">
        <f t="shared" ref="D15:M15" si="0">D14/D13</f>
        <v>0.9654709334311401</v>
      </c>
      <c r="E15" s="77">
        <f t="shared" si="0"/>
        <v>0.95218918981642653</v>
      </c>
      <c r="F15" s="77">
        <f t="shared" si="0"/>
        <v>0.96173595133128331</v>
      </c>
      <c r="G15" s="77">
        <f t="shared" si="0"/>
        <v>0.96241880432870264</v>
      </c>
      <c r="H15" s="77">
        <f t="shared" si="0"/>
        <v>0.95763218349518964</v>
      </c>
      <c r="I15" s="77">
        <f t="shared" si="0"/>
        <v>0.94533092172107991</v>
      </c>
      <c r="J15" s="78">
        <f t="shared" si="0"/>
        <v>0.95614280490090209</v>
      </c>
      <c r="K15" s="76">
        <f t="shared" si="0"/>
        <v>0.95590563071343537</v>
      </c>
      <c r="L15" s="77">
        <f t="shared" si="0"/>
        <v>0.95545277371381576</v>
      </c>
      <c r="M15" s="78">
        <f t="shared" si="0"/>
        <v>0.95757909926176366</v>
      </c>
    </row>
    <row r="16" spans="2:17" ht="17.25" customHeight="1">
      <c r="B16" s="124" t="s">
        <v>2129</v>
      </c>
      <c r="C16" s="79" t="s">
        <v>2130</v>
      </c>
      <c r="D16" s="80">
        <f>VLOOKUP("新豐6線",'0224 4度C'!$A:$T,19,0)</f>
        <v>0.70833333333333337</v>
      </c>
      <c r="E16" s="81">
        <f>VLOOKUP("新豐2線",'0224 4度C'!$A:$T,19,0)</f>
        <v>0.20833333333333334</v>
      </c>
      <c r="F16" s="81">
        <f>VLOOKUP("新豐5線",'0224 4度C'!$A:$T,19,0)</f>
        <v>0.20833333333333334</v>
      </c>
      <c r="G16" s="81">
        <f>VLOOKUP("新豐7線",'0224 4度C'!$A:$T,19,0)</f>
        <v>0.20833333333333334</v>
      </c>
      <c r="H16" s="81">
        <f>VLOOKUP("新豐3線",'0224 4度C'!$A:$T,19,0)</f>
        <v>0.20833333333333334</v>
      </c>
      <c r="I16" s="81">
        <f>VLOOKUP("新豐1線",'0224 4度C'!$A:$T,19,0)</f>
        <v>0.20833333333333334</v>
      </c>
      <c r="J16" s="82">
        <f>VLOOKUP("新豐10線",'0224 4度C'!$A:$T,19,0)</f>
        <v>0.20833333333333334</v>
      </c>
      <c r="K16" s="83">
        <f>VLOOKUP("新豐8線",'0224 4度C'!$A:$T,19,0)</f>
        <v>0.125</v>
      </c>
      <c r="L16" s="84">
        <f>VLOOKUP("新豐9線",'0224 4度C'!$A:$T,19,0)</f>
        <v>0.125</v>
      </c>
      <c r="M16" s="85">
        <f>VLOOKUP("新豐4線",'0224 4度C'!$A:$T,19,0)</f>
        <v>0.125</v>
      </c>
    </row>
    <row r="17" spans="2:13" ht="17.25" customHeight="1">
      <c r="B17" s="125"/>
      <c r="C17" s="79" t="s">
        <v>2131</v>
      </c>
      <c r="D17" s="83">
        <f>LOOKUP(2,1/(('0224 4度C'!$A:$A="新豐6線")*('0224 4度C'!$T:$T&lt;&gt;"")),'0224 4度C'!$T:$T)</f>
        <v>0.84236111111111101</v>
      </c>
      <c r="E17" s="81">
        <f>LOOKUP(2,1/(('0224 4度C'!$A:$A="新豐2線")*('0224 4度C'!$T:$T&lt;&gt;"")),'0224 4度C'!$T:$T)</f>
        <v>0.51180555555555551</v>
      </c>
      <c r="F17" s="81">
        <f>LOOKUP(2,1/(('0224 4度C'!$A:$A="新豐5線")*('0224 4度C'!$T:$T&lt;&gt;"")),'0224 4度C'!$T:$T)</f>
        <v>0.93333333333333335</v>
      </c>
      <c r="G17" s="81">
        <f>LOOKUP(2,1/(('0224 4度C'!$A:$A="新豐7線")*('0224 4度C'!$T:$T&lt;&gt;"")),'0224 4度C'!$T:$T)</f>
        <v>0.91041666666666676</v>
      </c>
      <c r="H17" s="81">
        <f>LOOKUP(2,1/(('0224 4度C'!$A:$A="新豐3線")*('0224 4度C'!$T:$T&lt;&gt;"")),'0224 4度C'!$T:$T)</f>
        <v>0.71527777777777757</v>
      </c>
      <c r="I17" s="81">
        <f>LOOKUP(2,1/(('0224 4度C'!$A:$A="新豐1線")*('0224 4度C'!$T:$T&lt;&gt;"")),'0224 4度C'!$T:$T)</f>
        <v>0.90972222222222221</v>
      </c>
      <c r="J17" s="82">
        <f>LOOKUP(2,1/(('0224 4度C'!$A:$A="新豐10線")*('0224 4度C'!$T:$T&lt;&gt;"")),'0224 4度C'!$T:$T)</f>
        <v>0.43888888888888883</v>
      </c>
      <c r="K17" s="80">
        <f>LOOKUP(2,1/(('0224 4度C'!$A:$A="新豐8線")*('0224 4度C'!$T:$T&lt;&gt;"")),'0224 4度C'!$T:$T)</f>
        <v>0.68680555555555534</v>
      </c>
      <c r="L17" s="81">
        <f>LOOKUP(2,1/(('0224 4度C'!$A:$A="新豐9線")*('0224 4度C'!$T:$T&lt;&gt;"")),'0224 4度C'!$T:$T)</f>
        <v>0.68541666666666667</v>
      </c>
      <c r="M17" s="82">
        <f>LOOKUP(2,1/(('0224 4度C'!$A:$A="新豐4線")*('0224 4度C'!$T:$T&lt;&gt;"")),'0224 4度C'!$T:$T)</f>
        <v>0.66249999999999987</v>
      </c>
    </row>
    <row r="18" spans="2:13" ht="17.25" customHeight="1">
      <c r="B18" s="103" t="s">
        <v>2132</v>
      </c>
      <c r="C18" s="86" t="s">
        <v>2133</v>
      </c>
      <c r="D18" s="87">
        <f>SUMIFS('0224 4度C'!$Y:$Y,'0224 4度C'!$A:$A,"新豐6線",'0224 4度C'!$B:$B,"平均")</f>
        <v>0</v>
      </c>
      <c r="E18" s="88">
        <f>SUMIFS('0224 4度C'!$Y:$Y,'0224 4度C'!$A:$A,"新豐2線",'0224 4度C'!$B:$B,"平均")</f>
        <v>0</v>
      </c>
      <c r="F18" s="88">
        <f>SUMIFS('0224 4度C'!$Y:$Y,'0224 4度C'!$A:$A,"新豐5線",'0224 4度C'!$B:$B,"平均")</f>
        <v>0</v>
      </c>
      <c r="G18" s="88">
        <f>SUMIFS('0224 4度C'!$Y:$Y,'0224 4度C'!$A:$A,"新豐7線",'0224 4度C'!$B:$B,"平均")</f>
        <v>0</v>
      </c>
      <c r="H18" s="88">
        <f>SUMIFS('0224 4度C'!$Y:$Y,'0224 4度C'!$A:$A,"新豐3線",'0224 4度C'!$B:$B,"平均")</f>
        <v>0</v>
      </c>
      <c r="I18" s="88">
        <f>SUMIFS('0224 4度C'!$Y:$Y,'0224 4度C'!$A:$A,"新豐1線",'0224 4度C'!$B:$B,"平均")</f>
        <v>0</v>
      </c>
      <c r="J18" s="89">
        <f>SUMIFS('0224 4度C'!$Y:$Y,'0224 4度C'!$A:$A,"新豐10線",'0224 4度C'!$B:$B,"平均")</f>
        <v>0</v>
      </c>
      <c r="K18" s="90">
        <f>SUMIFS('0224 4度C'!$Y:$Y,'0224 4度C'!$A:$A,"新豐8線",'0224 4度C'!$B:$B,"平均")</f>
        <v>0</v>
      </c>
      <c r="L18" s="88">
        <f>SUMIFS('0224 4度C'!$Y:$Y,'0224 4度C'!$A:$A,"新豐9線",'0224 4度C'!$B:$B,"平均")</f>
        <v>0</v>
      </c>
      <c r="M18" s="89">
        <f>SUMIFS('0224 4度C'!$Y:$Y,'0224 4度C'!$A:$A,"新豐4線",'0224 4度C'!$B:$B,"平均")</f>
        <v>0</v>
      </c>
    </row>
    <row r="19" spans="2:13" ht="17.25" customHeight="1">
      <c r="B19" s="104"/>
      <c r="C19" s="86" t="s">
        <v>2134</v>
      </c>
      <c r="D19" s="87">
        <f>SUMIFS('0224 4度C'!$Z:$Z,'0224 4度C'!$A:$A,"新豐6線",'0224 4度C'!$B:$B,"平均")</f>
        <v>0</v>
      </c>
      <c r="E19" s="88">
        <f>SUMIFS('0224 4度C'!$Z:$Z,'0224 4度C'!$A:$A,"新豐2線",'0224 4度C'!$B:$B,"平均")</f>
        <v>0</v>
      </c>
      <c r="F19" s="88">
        <f>SUMIFS('0224 4度C'!$Z:$Z,'0224 4度C'!$A:$A,"新豐5線",'0224 4度C'!$B:$B,"平均")</f>
        <v>0</v>
      </c>
      <c r="G19" s="88">
        <f>SUMIFS('0224 4度C'!$Z:$Z,'0224 4度C'!$A:$A,"新豐7線",'0224 4度C'!$B:$B,"平均")</f>
        <v>0</v>
      </c>
      <c r="H19" s="88">
        <f>SUMIFS('0224 4度C'!$Z:$Z,'0224 4度C'!$A:$A,"新豐3線",'0224 4度C'!$B:$B,"平均")</f>
        <v>0</v>
      </c>
      <c r="I19" s="88">
        <f>SUMIFS('0224 4度C'!$Z:$Z,'0224 4度C'!$A:$A,"新豐1線",'0224 4度C'!$B:$B,"平均")</f>
        <v>0</v>
      </c>
      <c r="J19" s="89">
        <f>SUMIFS('0224 4度C'!$Z:$Z,'0224 4度C'!$A:$A,"新豐10線",'0224 4度C'!$B:$B,"平均")</f>
        <v>0</v>
      </c>
      <c r="K19" s="90">
        <f>SUMIFS('0224 4度C'!$Z:$Z,'0224 4度C'!$A:$A,"新豐8線",'0224 4度C'!$B:$B,"平均")</f>
        <v>0</v>
      </c>
      <c r="L19" s="88">
        <f>SUMIFS('0224 4度C'!$Z:$Z,'0224 4度C'!$A:$A,"新豐9線",'0224 4度C'!$B:$B,"平均")</f>
        <v>0</v>
      </c>
      <c r="M19" s="89">
        <f>SUMIFS('0224 4度C'!$Z:$Z,'0224 4度C'!$A:$A,"新豐4線",'0224 4度C'!$B:$B,"平均")</f>
        <v>0</v>
      </c>
    </row>
    <row r="20" spans="2:13" ht="17.25" customHeight="1">
      <c r="B20" s="103" t="s">
        <v>2135</v>
      </c>
      <c r="C20" s="86" t="s">
        <v>2133</v>
      </c>
      <c r="D20" s="87">
        <f>SUMIFS('0224 4度C'!$AC:$AC,'0224 4度C'!$A:$A,"新豐6線",'0224 4度C'!$B:$B,"平均")</f>
        <v>5</v>
      </c>
      <c r="E20" s="88">
        <f>SUMIFS('0224 4度C'!$AC:$AC,'0224 4度C'!$A:$A,"新豐2線",'0224 4度C'!$B:$B,"平均")</f>
        <v>2</v>
      </c>
      <c r="F20" s="88">
        <f>SUMIFS('0224 4度C'!$AC:$AC,'0224 4度C'!$A:$A,"新豐5線",'0224 4度C'!$B:$B,"平均")</f>
        <v>8</v>
      </c>
      <c r="G20" s="88">
        <f>SUMIFS('0224 4度C'!$AC:$AC,'0224 4度C'!$A:$A,"新豐7線",'0224 4度C'!$B:$B,"平均")</f>
        <v>6</v>
      </c>
      <c r="H20" s="88">
        <f>SUMIFS('0224 4度C'!$AC:$AC,'0224 4度C'!$A:$A,"新豐3線",'0224 4度C'!$B:$B,"平均")</f>
        <v>10</v>
      </c>
      <c r="I20" s="88">
        <f>SUMIFS('0224 4度C'!$AC:$AC,'0224 4度C'!$A:$A,"新豐1線",'0224 4度C'!$B:$B,"平均")</f>
        <v>10</v>
      </c>
      <c r="J20" s="89">
        <f>SUMIFS('0224 4度C'!$AC:$AC,'0224 4度C'!$A:$A,"新豐10線",'0224 4度C'!$B:$B,"平均")</f>
        <v>6</v>
      </c>
      <c r="K20" s="90">
        <f>SUMIFS('0224 4度C'!$AC:$AC,'0224 4度C'!$A:$A,"新豐8線",'0224 4度C'!$B:$B,"平均")</f>
        <v>7</v>
      </c>
      <c r="L20" s="88">
        <f>SUMIFS('0224 4度C'!$AC:$AC,'0224 4度C'!$A:$A,"新豐9線",'0224 4度C'!$B:$B,"平均")</f>
        <v>7</v>
      </c>
      <c r="M20" s="89">
        <f>SUMIFS('0224 4度C'!$AC:$AC,'0224 4度C'!$A:$A,"新豐4線",'0224 4度C'!$B:$B,"平均")</f>
        <v>6</v>
      </c>
    </row>
    <row r="21" spans="2:13" ht="17.25" customHeight="1">
      <c r="B21" s="104"/>
      <c r="C21" s="86" t="s">
        <v>2136</v>
      </c>
      <c r="D21" s="87">
        <f>SUMIFS('0224 4度C'!$AD:$AD,'0224 4度C'!$A:$A,"新豐6線",'0224 4度C'!$B:$B,"平均")</f>
        <v>0</v>
      </c>
      <c r="E21" s="88">
        <f>SUMIFS('0224 4度C'!$AD:$AD,'0224 4度C'!$A:$A,"新豐2線",'0224 4度C'!$B:$B,"平均")</f>
        <v>0</v>
      </c>
      <c r="F21" s="88">
        <f>SUMIFS('0224 4度C'!$AD:$AD,'0224 4度C'!$A:$A,"新豐5線",'0224 4度C'!$B:$B,"平均")</f>
        <v>0</v>
      </c>
      <c r="G21" s="88">
        <f>SUMIFS('0224 4度C'!$AD:$AD,'0224 4度C'!$A:$A,"新豐7線",'0224 4度C'!$B:$B,"平均")</f>
        <v>0</v>
      </c>
      <c r="H21" s="88">
        <f>SUMIFS('0224 4度C'!$AD:$AD,'0224 4度C'!$A:$A,"新豐3線",'0224 4度C'!$B:$B,"平均")</f>
        <v>0</v>
      </c>
      <c r="I21" s="88">
        <f>SUMIFS('0224 4度C'!$AD:$AD,'0224 4度C'!$A:$A,"新豐1線",'0224 4度C'!$B:$B,"平均")</f>
        <v>0</v>
      </c>
      <c r="J21" s="89">
        <f>SUMIFS('0224 4度C'!$AD:$AD,'0224 4度C'!$A:$A,"新豐10線",'0224 4度C'!$B:$B,"平均")</f>
        <v>0</v>
      </c>
      <c r="K21" s="90">
        <f>SUMIFS('0224 4度C'!$AD:$AD,'0224 4度C'!$A:$A,"新豐8線",'0224 4度C'!$B:$B,"平均")</f>
        <v>0</v>
      </c>
      <c r="L21" s="88">
        <f>SUMIFS('0224 4度C'!$AD:$AD,'0224 4度C'!$A:$A,"新豐9線",'0224 4度C'!$B:$B,"平均")</f>
        <v>0</v>
      </c>
      <c r="M21" s="89">
        <f>SUMIFS('0224 4度C'!$AD:$AD,'0224 4度C'!$A:$A,"新豐4線",'0224 4度C'!$B:$B,"平均")</f>
        <v>0</v>
      </c>
    </row>
    <row r="22" spans="2:13" ht="17.25" customHeight="1">
      <c r="B22" s="105" t="s">
        <v>2137</v>
      </c>
      <c r="C22" s="106"/>
      <c r="D22" s="91">
        <f>SUMIFS('0224 4度C'!$I:$I,'0224 4度C'!$A:$A,"新豐6線",'0224 4度C'!$B:$B,"平均")</f>
        <v>17.600000000000001</v>
      </c>
      <c r="E22" s="92">
        <f>SUMIFS('0224 4度C'!$I:$I,'0224 4度C'!$A:$A,"新豐2線",'0224 4度C'!$B:$B,"平均")</f>
        <v>18</v>
      </c>
      <c r="F22" s="92">
        <f>SUMIFS('0224 4度C'!$I:$I,'0224 4度C'!$A:$A,"新豐5線",'0224 4度C'!$B:$B,"平均")</f>
        <v>17.125</v>
      </c>
      <c r="G22" s="92">
        <f>SUMIFS('0224 4度C'!$I:$I,'0224 4度C'!$A:$A,"新豐7線",'0224 4度C'!$B:$B,"平均")</f>
        <v>14.833333333333334</v>
      </c>
      <c r="H22" s="92">
        <f>SUMIFS('0224 4度C'!$I:$I,'0224 4度C'!$A:$A,"新豐3線",'0224 4度C'!$B:$B,"平均")</f>
        <v>9.8000000000000007</v>
      </c>
      <c r="I22" s="92">
        <f>SUMIFS('0224 4度C'!$I:$I,'0224 4度C'!$A:$A,"新豐1線",'0224 4度C'!$B:$B,"平均")</f>
        <v>18.5</v>
      </c>
      <c r="J22" s="93">
        <f>SUMIFS('0224 4度C'!$I:$I,'0224 4度C'!$A:$A,"新豐10線",'0224 4度C'!$B:$B,"平均")</f>
        <v>10.5</v>
      </c>
      <c r="K22" s="91">
        <f>SUMIFS('0224 4度C'!$I:$I,'0224 4度C'!$A:$A,"新豐8線",'0224 4度C'!$B:$B,"平均")</f>
        <v>18.571428571428573</v>
      </c>
      <c r="L22" s="92">
        <f>SUMIFS('0224 4度C'!$I:$I,'0224 4度C'!$A:$A,"新豐9線",'0224 4度C'!$B:$B,"平均")</f>
        <v>17.857142857142858</v>
      </c>
      <c r="M22" s="93">
        <f>SUMIFS('0224 4度C'!$I:$I,'0224 4度C'!$A:$A,"新豐4線",'0224 4度C'!$B:$B,"平均")</f>
        <v>16.333333333333332</v>
      </c>
    </row>
    <row r="23" spans="2:13" ht="17.25" customHeight="1">
      <c r="B23" s="105" t="s">
        <v>2138</v>
      </c>
      <c r="C23" s="106"/>
      <c r="D23" s="94" t="s">
        <v>191</v>
      </c>
      <c r="E23" s="95" t="s">
        <v>192</v>
      </c>
      <c r="F23" s="95" t="s">
        <v>2139</v>
      </c>
      <c r="G23" s="95" t="s">
        <v>2139</v>
      </c>
      <c r="H23" s="95" t="s">
        <v>194</v>
      </c>
      <c r="I23" s="95" t="s">
        <v>191</v>
      </c>
      <c r="J23" s="96" t="s">
        <v>194</v>
      </c>
      <c r="K23" s="94" t="s">
        <v>2140</v>
      </c>
      <c r="L23" s="95" t="s">
        <v>2140</v>
      </c>
      <c r="M23" s="96" t="s">
        <v>2141</v>
      </c>
    </row>
    <row r="24" spans="2:13" ht="17.25" customHeight="1">
      <c r="B24" s="105" t="s">
        <v>2142</v>
      </c>
      <c r="C24" s="106"/>
      <c r="D24" s="94"/>
      <c r="E24" s="95"/>
      <c r="F24" s="95" t="s">
        <v>2143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2144</v>
      </c>
      <c r="C25" s="108"/>
      <c r="D25" s="97"/>
      <c r="E25" s="98" t="s">
        <v>2145</v>
      </c>
      <c r="F25" s="101" t="s">
        <v>2146</v>
      </c>
      <c r="G25" s="102"/>
      <c r="H25" s="98" t="s">
        <v>2147</v>
      </c>
      <c r="I25" s="98" t="s">
        <v>2148</v>
      </c>
      <c r="J25" s="99" t="s">
        <v>2147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3">
    <pageSetUpPr fitToPage="1"/>
  </sheetPr>
  <dimension ref="A1:AG82"/>
  <sheetViews>
    <sheetView zoomScale="80" zoomScaleNormal="80" workbookViewId="0">
      <pane ySplit="4" topLeftCell="A5" activePane="bottomLeft" state="frozen"/>
      <selection activeCell="B35" sqref="B35"/>
      <selection pane="bottomLeft" activeCell="B35" sqref="B3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2149</v>
      </c>
      <c r="B1" s="1"/>
      <c r="C1" s="2" t="s">
        <v>2150</v>
      </c>
      <c r="D1" s="3">
        <f>SUM(F5:F81)</f>
        <v>169697</v>
      </c>
      <c r="E1" s="4" t="s">
        <v>2151</v>
      </c>
      <c r="F1" s="1">
        <f>SUM(G5:G81)</f>
        <v>5733922.3600000013</v>
      </c>
      <c r="G1" s="1" t="s">
        <v>2152</v>
      </c>
      <c r="H1" s="5">
        <f>L10+L13+L56+L67+L22+L74+L37+L45+L29+L81</f>
        <v>159.12023809523811</v>
      </c>
      <c r="I1" s="214" t="s">
        <v>2153</v>
      </c>
      <c r="J1" s="214"/>
      <c r="K1" s="214"/>
      <c r="L1" s="214" t="s">
        <v>2154</v>
      </c>
      <c r="M1" s="214"/>
      <c r="N1" s="214"/>
      <c r="O1" s="214" t="s">
        <v>2155</v>
      </c>
      <c r="P1" s="214"/>
      <c r="Q1" s="214"/>
      <c r="R1" s="214"/>
      <c r="S1" s="214" t="s">
        <v>2156</v>
      </c>
      <c r="T1" s="214"/>
      <c r="U1" s="214"/>
      <c r="V1" s="214"/>
      <c r="W1" s="214"/>
      <c r="X1" s="214"/>
      <c r="Y1" s="6" t="s">
        <v>2157</v>
      </c>
      <c r="Z1" s="7" t="s">
        <v>2158</v>
      </c>
      <c r="AA1" s="215" t="s">
        <v>2159</v>
      </c>
      <c r="AB1" s="215"/>
      <c r="AC1" s="8" t="s">
        <v>2157</v>
      </c>
      <c r="AD1" s="7" t="s">
        <v>2160</v>
      </c>
      <c r="AE1" s="214" t="s">
        <v>2161</v>
      </c>
      <c r="AF1" s="216"/>
      <c r="AG1" s="216"/>
    </row>
    <row r="2" spans="1:33" ht="26.25" customHeight="1">
      <c r="A2" s="35">
        <v>46077</v>
      </c>
      <c r="B2" s="36" t="s">
        <v>359</v>
      </c>
      <c r="C2" s="2" t="s">
        <v>2162</v>
      </c>
      <c r="D2" s="10">
        <f>AVERAGE(N10,N13,N56,N67,N22,N74,N29,N37,N45,N81)</f>
        <v>140.14645281740263</v>
      </c>
      <c r="E2" s="11" t="s">
        <v>14</v>
      </c>
      <c r="F2" s="12">
        <f>F1/D1</f>
        <v>33.789179301932272</v>
      </c>
      <c r="G2" s="1" t="s">
        <v>2163</v>
      </c>
      <c r="H2" s="13">
        <f>COUNT(H5:H81)</f>
        <v>13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SUM(Y10+Y13+Y22+Y29+Y37+Y45+Y56+Y67+Y74+Y81)</f>
        <v>0</v>
      </c>
      <c r="Z2" s="14">
        <f>SUM(Z10+Z13+Z22+Z29+Z37+Z45+Z56+Z67+Z74+Z81)</f>
        <v>0</v>
      </c>
      <c r="AA2" s="215"/>
      <c r="AB2" s="215"/>
      <c r="AC2" s="14">
        <v>67</v>
      </c>
      <c r="AD2" s="14">
        <f>SUM(AD10+AD13+AD22+AD29+AD37+AD45+AD56+AD67+AD74+AD81)</f>
        <v>0</v>
      </c>
      <c r="AE2" s="216"/>
      <c r="AF2" s="216"/>
      <c r="AG2" s="216"/>
    </row>
    <row r="3" spans="1:33" ht="40.5" customHeight="1">
      <c r="A3" s="164" t="s">
        <v>2164</v>
      </c>
      <c r="B3" s="164" t="s">
        <v>2165</v>
      </c>
      <c r="C3" s="164" t="s">
        <v>2166</v>
      </c>
      <c r="D3" s="164"/>
      <c r="E3" s="212" t="s">
        <v>2167</v>
      </c>
      <c r="F3" s="164" t="s">
        <v>2168</v>
      </c>
      <c r="G3" s="212" t="s">
        <v>2169</v>
      </c>
      <c r="H3" s="206" t="s">
        <v>2170</v>
      </c>
      <c r="I3" s="204" t="s">
        <v>2171</v>
      </c>
      <c r="J3" s="201" t="s">
        <v>2172</v>
      </c>
      <c r="K3" s="211" t="s">
        <v>2162</v>
      </c>
      <c r="L3" s="204" t="s">
        <v>2171</v>
      </c>
      <c r="M3" s="201" t="s">
        <v>24</v>
      </c>
      <c r="N3" s="211" t="s">
        <v>2162</v>
      </c>
      <c r="O3" s="204" t="s">
        <v>2171</v>
      </c>
      <c r="P3" s="211" t="s">
        <v>2162</v>
      </c>
      <c r="Q3" s="202" t="s">
        <v>2173</v>
      </c>
      <c r="R3" s="182" t="s">
        <v>2174</v>
      </c>
      <c r="S3" s="164" t="s">
        <v>30</v>
      </c>
      <c r="T3" s="164"/>
      <c r="U3" s="206" t="s">
        <v>31</v>
      </c>
      <c r="V3" s="206" t="s">
        <v>2175</v>
      </c>
      <c r="W3" s="164" t="s">
        <v>2176</v>
      </c>
      <c r="X3" s="164"/>
      <c r="Y3" s="207" t="s">
        <v>1643</v>
      </c>
      <c r="Z3" s="168"/>
      <c r="AA3" s="208" t="s">
        <v>2177</v>
      </c>
      <c r="AB3" s="209"/>
      <c r="AC3" s="207" t="s">
        <v>2178</v>
      </c>
      <c r="AD3" s="168"/>
      <c r="AE3" s="201" t="s">
        <v>2179</v>
      </c>
      <c r="AF3" s="202" t="s">
        <v>2180</v>
      </c>
      <c r="AG3" s="182" t="s">
        <v>2174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2181</v>
      </c>
      <c r="X4" s="4" t="s">
        <v>2182</v>
      </c>
      <c r="Y4" s="15" t="s">
        <v>2183</v>
      </c>
      <c r="Z4" s="15" t="s">
        <v>2184</v>
      </c>
      <c r="AA4" s="210"/>
      <c r="AB4" s="209"/>
      <c r="AC4" s="15" t="s">
        <v>2185</v>
      </c>
      <c r="AD4" s="15" t="s">
        <v>2186</v>
      </c>
      <c r="AE4" s="201"/>
      <c r="AF4" s="202"/>
      <c r="AG4" s="182"/>
    </row>
    <row r="5" spans="1:33">
      <c r="A5" s="203" t="s">
        <v>2187</v>
      </c>
      <c r="B5" s="37" t="s">
        <v>78</v>
      </c>
      <c r="C5" s="205" t="s">
        <v>79</v>
      </c>
      <c r="D5" s="205"/>
      <c r="E5" s="37">
        <v>50.67</v>
      </c>
      <c r="F5" s="4">
        <v>1618</v>
      </c>
      <c r="G5" s="4">
        <f t="shared" ref="G5:G9" si="0">E5*F5</f>
        <v>81984.06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9" si="2">F5/V5*60</f>
        <v>1903.5294117647065</v>
      </c>
      <c r="N5" s="17">
        <f t="shared" ref="N5:N68" si="3">M5/L5</f>
        <v>111.97231833910038</v>
      </c>
      <c r="O5" s="19">
        <f t="shared" ref="O5:O68" si="4">L5-I5</f>
        <v>0</v>
      </c>
      <c r="P5" s="20">
        <f t="shared" ref="P5:P68" si="5">N5-K5</f>
        <v>-5.674740484429023</v>
      </c>
      <c r="Q5" s="21">
        <f t="shared" ref="Q5:Q68" si="6">N5/K5</f>
        <v>0.95176470588235329</v>
      </c>
      <c r="R5" s="172">
        <f>Q10</f>
        <v>0.9654709334311401</v>
      </c>
      <c r="S5" s="28">
        <v>0.70833333333333337</v>
      </c>
      <c r="T5" s="28">
        <v>0.74375000000000002</v>
      </c>
      <c r="U5" s="4"/>
      <c r="V5" s="22">
        <f t="shared" ref="V5:V9" si="7">(T5-S5)*24*60</f>
        <v>50.999999999999979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66" si="8">M5-J5</f>
        <v>-96.470588235293462</v>
      </c>
      <c r="AF5" s="21">
        <f t="shared" ref="AF5:AF68" si="9">M5/J5</f>
        <v>0.95176470588235329</v>
      </c>
      <c r="AG5" s="172">
        <f>AF10</f>
        <v>0.9654709334311401</v>
      </c>
    </row>
    <row r="6" spans="1:33">
      <c r="A6" s="204" t="s">
        <v>2187</v>
      </c>
      <c r="B6" s="37" t="s">
        <v>78</v>
      </c>
      <c r="C6" s="205" t="s">
        <v>80</v>
      </c>
      <c r="D6" s="205"/>
      <c r="E6" s="37">
        <v>54.09</v>
      </c>
      <c r="F6" s="4">
        <v>1322</v>
      </c>
      <c r="G6" s="4">
        <f t="shared" si="0"/>
        <v>71506.98000000001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1934.6341463414628</v>
      </c>
      <c r="N6" s="17">
        <f t="shared" si="3"/>
        <v>101.82284980744541</v>
      </c>
      <c r="O6" s="19">
        <f t="shared" si="4"/>
        <v>0</v>
      </c>
      <c r="P6" s="20">
        <f t="shared" si="5"/>
        <v>-3.4403080872914273</v>
      </c>
      <c r="Q6" s="21">
        <f t="shared" si="6"/>
        <v>0.96731707317073146</v>
      </c>
      <c r="R6" s="172"/>
      <c r="S6" s="28">
        <v>0.74722222222222223</v>
      </c>
      <c r="T6" s="28">
        <v>0.77569444444444446</v>
      </c>
      <c r="U6" s="4">
        <f t="shared" ref="U6:U9" si="10">IF(S6=TIME(17,0,0),"",(S6-T5)*24*60)</f>
        <v>4.9999999999999822</v>
      </c>
      <c r="V6" s="22">
        <f t="shared" si="7"/>
        <v>41.000000000000014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-65.365853658537162</v>
      </c>
      <c r="AF6" s="21">
        <f t="shared" si="9"/>
        <v>0.96731707317073146</v>
      </c>
      <c r="AG6" s="172"/>
    </row>
    <row r="7" spans="1:33">
      <c r="A7" s="204" t="s">
        <v>2187</v>
      </c>
      <c r="B7" s="37" t="s">
        <v>78</v>
      </c>
      <c r="C7" s="196" t="s">
        <v>81</v>
      </c>
      <c r="D7" s="197"/>
      <c r="E7" s="37">
        <v>50.29</v>
      </c>
      <c r="F7" s="4">
        <v>560</v>
      </c>
      <c r="G7" s="4">
        <f t="shared" si="0"/>
        <v>28162.399999999998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1976.4705882353012</v>
      </c>
      <c r="N7" s="17">
        <f t="shared" si="3"/>
        <v>123.52941176470632</v>
      </c>
      <c r="O7" s="19">
        <f t="shared" si="4"/>
        <v>0</v>
      </c>
      <c r="P7" s="20">
        <f t="shared" si="5"/>
        <v>-1.4705882352936754</v>
      </c>
      <c r="Q7" s="21">
        <f t="shared" si="6"/>
        <v>0.98823529411765054</v>
      </c>
      <c r="R7" s="172"/>
      <c r="S7" s="28">
        <v>0.77916666666666667</v>
      </c>
      <c r="T7" s="28">
        <v>0.79097222222222219</v>
      </c>
      <c r="U7" s="4">
        <f t="shared" si="10"/>
        <v>4.9999999999999822</v>
      </c>
      <c r="V7" s="22">
        <f t="shared" si="7"/>
        <v>16.99999999999994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-23.529411764698807</v>
      </c>
      <c r="AF7" s="21">
        <f t="shared" si="9"/>
        <v>0.98823529411765054</v>
      </c>
      <c r="AG7" s="172"/>
    </row>
    <row r="8" spans="1:33">
      <c r="A8" s="204" t="s">
        <v>2187</v>
      </c>
      <c r="B8" s="37" t="s">
        <v>78</v>
      </c>
      <c r="C8" s="196" t="s">
        <v>82</v>
      </c>
      <c r="D8" s="197"/>
      <c r="E8" s="37">
        <v>57.3</v>
      </c>
      <c r="F8" s="4">
        <v>1207</v>
      </c>
      <c r="G8" s="4">
        <f t="shared" si="0"/>
        <v>69161.099999999991</v>
      </c>
      <c r="H8" s="22" t="s">
        <v>139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1905.789473684209</v>
      </c>
      <c r="N8" s="17">
        <f t="shared" si="3"/>
        <v>127.05263157894727</v>
      </c>
      <c r="O8" s="19">
        <f t="shared" si="4"/>
        <v>0</v>
      </c>
      <c r="P8" s="20">
        <f t="shared" si="5"/>
        <v>-6.2807017543860724</v>
      </c>
      <c r="Q8" s="21">
        <f t="shared" si="6"/>
        <v>0.95289473684210446</v>
      </c>
      <c r="R8" s="172"/>
      <c r="S8" s="28">
        <v>0.79583333333333328</v>
      </c>
      <c r="T8" s="28">
        <v>0.82222222222222219</v>
      </c>
      <c r="U8" s="4">
        <f t="shared" si="10"/>
        <v>6.9999999999999751</v>
      </c>
      <c r="V8" s="22">
        <f t="shared" si="7"/>
        <v>38.000000000000028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-94.210526315790958</v>
      </c>
      <c r="AF8" s="21">
        <f t="shared" si="9"/>
        <v>0.95289473684210457</v>
      </c>
      <c r="AG8" s="172"/>
    </row>
    <row r="9" spans="1:33">
      <c r="A9" s="204" t="s">
        <v>2187</v>
      </c>
      <c r="B9" s="37" t="s">
        <v>78</v>
      </c>
      <c r="C9" s="196" t="s">
        <v>83</v>
      </c>
      <c r="D9" s="197"/>
      <c r="E9" s="37">
        <v>50.67</v>
      </c>
      <c r="F9" s="4">
        <v>677</v>
      </c>
      <c r="G9" s="4">
        <f t="shared" si="0"/>
        <v>34303.590000000004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1934.2857142857213</v>
      </c>
      <c r="N9" s="17">
        <f t="shared" si="3"/>
        <v>92.108843537415297</v>
      </c>
      <c r="O9" s="19">
        <f t="shared" si="4"/>
        <v>0</v>
      </c>
      <c r="P9" s="20">
        <f t="shared" si="5"/>
        <v>-3.1292517006799443</v>
      </c>
      <c r="Q9" s="21">
        <f t="shared" si="6"/>
        <v>0.96714285714286063</v>
      </c>
      <c r="R9" s="172"/>
      <c r="S9" s="28">
        <v>0.82777777777777772</v>
      </c>
      <c r="T9" s="28">
        <v>0.84236111111111101</v>
      </c>
      <c r="U9" s="4">
        <f t="shared" si="10"/>
        <v>7.9999999999999716</v>
      </c>
      <c r="V9" s="22">
        <f t="shared" si="7"/>
        <v>20.999999999999925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-65.714285714278731</v>
      </c>
      <c r="AF9" s="21">
        <f t="shared" si="9"/>
        <v>0.96714285714286063</v>
      </c>
      <c r="AG9" s="172"/>
    </row>
    <row r="10" spans="1:33">
      <c r="A10" s="204" t="s">
        <v>2187</v>
      </c>
      <c r="B10" s="37" t="s">
        <v>2188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1"/>
        <v>113.63636363636363</v>
      </c>
      <c r="L10" s="30">
        <v>17.600000000000001</v>
      </c>
      <c r="M10" s="18">
        <f>AVERAGE(M5:M9)</f>
        <v>1930.9418668622802</v>
      </c>
      <c r="N10" s="17">
        <f t="shared" si="3"/>
        <v>109.71260607172046</v>
      </c>
      <c r="O10" s="19">
        <f t="shared" si="4"/>
        <v>0</v>
      </c>
      <c r="P10" s="20">
        <f t="shared" si="5"/>
        <v>-3.9237575646431679</v>
      </c>
      <c r="Q10" s="21">
        <f t="shared" si="6"/>
        <v>0.9654709334311401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8"/>
        <v>-69.058133137719778</v>
      </c>
      <c r="AF10" s="21">
        <f t="shared" si="9"/>
        <v>0.9654709334311401</v>
      </c>
      <c r="AG10" s="172"/>
    </row>
    <row r="11" spans="1:33" ht="15.75" customHeight="1">
      <c r="A11" s="200" t="s">
        <v>2189</v>
      </c>
      <c r="B11" s="37" t="s">
        <v>84</v>
      </c>
      <c r="C11" s="196" t="s">
        <v>85</v>
      </c>
      <c r="D11" s="197"/>
      <c r="E11" s="37">
        <v>39.619999999999997</v>
      </c>
      <c r="F11" s="4">
        <v>3785</v>
      </c>
      <c r="G11" s="4">
        <f t="shared" ref="G11:G12" si="11">E11*F11</f>
        <v>149961.69999999998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1428.3018867924529</v>
      </c>
      <c r="N11" s="17">
        <f t="shared" si="3"/>
        <v>75.173783515392259</v>
      </c>
      <c r="O11" s="19">
        <f t="shared" si="4"/>
        <v>0</v>
      </c>
      <c r="P11" s="20">
        <f t="shared" si="5"/>
        <v>-3.7735849056603712</v>
      </c>
      <c r="Q11" s="21">
        <f t="shared" si="6"/>
        <v>0.95220125786163534</v>
      </c>
      <c r="R11" s="172">
        <f>Q13</f>
        <v>0.95218918981642653</v>
      </c>
      <c r="S11" s="28">
        <v>0.20833333333333334</v>
      </c>
      <c r="T11" s="28">
        <v>0.31874999999999998</v>
      </c>
      <c r="U11" s="4"/>
      <c r="V11" s="22">
        <f t="shared" ref="V11:V12" si="13">(T11-S11)*24*60</f>
        <v>158.99999999999997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-71.698113207547067</v>
      </c>
      <c r="AF11" s="21">
        <f t="shared" si="9"/>
        <v>0.95220125786163534</v>
      </c>
      <c r="AG11" s="172">
        <f>AF13</f>
        <v>0.95218918981642642</v>
      </c>
    </row>
    <row r="12" spans="1:33" ht="15.75" customHeight="1">
      <c r="A12" s="200" t="s">
        <v>2189</v>
      </c>
      <c r="B12" s="37" t="s">
        <v>84</v>
      </c>
      <c r="C12" s="196" t="s">
        <v>86</v>
      </c>
      <c r="D12" s="197"/>
      <c r="E12" s="37">
        <v>39.799999999999997</v>
      </c>
      <c r="F12" s="4">
        <v>6451</v>
      </c>
      <c r="G12" s="4">
        <f t="shared" si="11"/>
        <v>256749.8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1428.2656826568266</v>
      </c>
      <c r="N12" s="17">
        <f t="shared" si="3"/>
        <v>84.015628391578034</v>
      </c>
      <c r="O12" s="19">
        <f t="shared" si="4"/>
        <v>0</v>
      </c>
      <c r="P12" s="20">
        <f t="shared" si="5"/>
        <v>-4.2196657260690245</v>
      </c>
      <c r="Q12" s="21">
        <f t="shared" si="6"/>
        <v>0.95217712177121772</v>
      </c>
      <c r="R12" s="172"/>
      <c r="S12" s="28">
        <v>0.32361111111111107</v>
      </c>
      <c r="T12" s="28">
        <v>0.51180555555555551</v>
      </c>
      <c r="U12" s="4">
        <f t="shared" ref="U12" si="14">IF(S12=TIME(17,0,0),"",(S12-T11)*24*60)</f>
        <v>6.9999999999999751</v>
      </c>
      <c r="V12" s="22">
        <f t="shared" si="13"/>
        <v>271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-71.734317343173416</v>
      </c>
      <c r="AF12" s="21">
        <f t="shared" si="9"/>
        <v>0.95217712177121772</v>
      </c>
      <c r="AG12" s="172"/>
    </row>
    <row r="13" spans="1:33" ht="16.5" customHeight="1">
      <c r="A13" s="200" t="s">
        <v>2189</v>
      </c>
      <c r="B13" s="37" t="s">
        <v>2190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1428.2837847246396</v>
      </c>
      <c r="N13" s="17">
        <f t="shared" si="3"/>
        <v>79.349099151368875</v>
      </c>
      <c r="O13" s="19">
        <f t="shared" si="4"/>
        <v>0</v>
      </c>
      <c r="P13" s="20">
        <f t="shared" si="5"/>
        <v>-3.9842341819644531</v>
      </c>
      <c r="Q13" s="21">
        <f t="shared" si="6"/>
        <v>0.95218918981642653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8"/>
        <v>-71.716215275360355</v>
      </c>
      <c r="AF13" s="21">
        <f t="shared" si="9"/>
        <v>0.95218918981642642</v>
      </c>
      <c r="AG13" s="172"/>
    </row>
    <row r="14" spans="1:33" ht="16.5" customHeight="1">
      <c r="A14" s="198" t="s">
        <v>2191</v>
      </c>
      <c r="B14" s="4" t="s">
        <v>87</v>
      </c>
      <c r="C14" s="190" t="s">
        <v>88</v>
      </c>
      <c r="D14" s="190"/>
      <c r="E14" s="37">
        <v>41</v>
      </c>
      <c r="F14" s="4">
        <v>2242</v>
      </c>
      <c r="G14" s="4">
        <f t="shared" ref="G14:G21" si="15">E14*F14</f>
        <v>91922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21" si="16">F14/V14*60</f>
        <v>1431.0638297872335</v>
      </c>
      <c r="N14" s="17">
        <f t="shared" si="3"/>
        <v>55.04091653027821</v>
      </c>
      <c r="O14" s="19">
        <f t="shared" si="4"/>
        <v>0</v>
      </c>
      <c r="P14" s="20">
        <f t="shared" si="5"/>
        <v>-2.6513911620294834</v>
      </c>
      <c r="Q14" s="21">
        <f t="shared" si="6"/>
        <v>0.95404255319148901</v>
      </c>
      <c r="R14" s="172">
        <f>Q22</f>
        <v>0.96173595133128331</v>
      </c>
      <c r="S14" s="28">
        <v>0.20833333333333334</v>
      </c>
      <c r="T14" s="28">
        <v>0.27361111111111114</v>
      </c>
      <c r="U14" s="4"/>
      <c r="V14" s="22">
        <f t="shared" ref="V14:V21" si="17">(T14-S14)*24*60</f>
        <v>94.000000000000028</v>
      </c>
      <c r="W14" s="28"/>
      <c r="X14" s="28"/>
      <c r="Y14" s="28"/>
      <c r="Z14" s="28"/>
      <c r="AA14" s="164"/>
      <c r="AB14" s="164"/>
      <c r="AC14" s="25">
        <v>8</v>
      </c>
      <c r="AD14" s="25"/>
      <c r="AE14" s="19">
        <f t="shared" si="8"/>
        <v>-68.936170212766456</v>
      </c>
      <c r="AF14" s="21">
        <f t="shared" si="9"/>
        <v>0.95404255319148901</v>
      </c>
      <c r="AG14" s="172">
        <f>AF22</f>
        <v>0.96173595133128342</v>
      </c>
    </row>
    <row r="15" spans="1:33" ht="16.5" customHeight="1">
      <c r="A15" s="199" t="s">
        <v>2192</v>
      </c>
      <c r="B15" s="4" t="s">
        <v>89</v>
      </c>
      <c r="C15" s="190" t="s">
        <v>90</v>
      </c>
      <c r="D15" s="190"/>
      <c r="E15" s="37">
        <v>72.400000000000006</v>
      </c>
      <c r="F15" s="4">
        <v>563</v>
      </c>
      <c r="G15" s="4">
        <f t="shared" si="15"/>
        <v>40761.200000000004</v>
      </c>
      <c r="H15" s="22" t="s">
        <v>139</v>
      </c>
      <c r="I15" s="16">
        <v>18</v>
      </c>
      <c r="J15" s="18">
        <v>1500</v>
      </c>
      <c r="K15" s="17">
        <f t="shared" si="1"/>
        <v>83.333333333333329</v>
      </c>
      <c r="L15" s="16">
        <v>18</v>
      </c>
      <c r="M15" s="18">
        <f t="shared" si="16"/>
        <v>1468.695652173913</v>
      </c>
      <c r="N15" s="17">
        <f t="shared" si="3"/>
        <v>81.594202898550719</v>
      </c>
      <c r="O15" s="19">
        <f t="shared" si="4"/>
        <v>0</v>
      </c>
      <c r="P15" s="20">
        <f t="shared" si="5"/>
        <v>-1.7391304347826093</v>
      </c>
      <c r="Q15" s="21">
        <f t="shared" si="6"/>
        <v>0.97913043478260864</v>
      </c>
      <c r="R15" s="172"/>
      <c r="S15" s="28">
        <v>0.27847222222222223</v>
      </c>
      <c r="T15" s="28">
        <v>0.29444444444444445</v>
      </c>
      <c r="U15" s="4">
        <f t="shared" ref="U15:U21" si="18">IF(S15=TIME(17,0,0),"",(S15-T14)*24*60)</f>
        <v>6.9999999999999751</v>
      </c>
      <c r="V15" s="22">
        <f t="shared" si="17"/>
        <v>23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-31.304347826086996</v>
      </c>
      <c r="AF15" s="21">
        <f t="shared" si="9"/>
        <v>0.97913043478260864</v>
      </c>
      <c r="AG15" s="172"/>
    </row>
    <row r="16" spans="1:33" ht="16.5" customHeight="1">
      <c r="A16" s="199" t="s">
        <v>2191</v>
      </c>
      <c r="B16" s="4" t="s">
        <v>78</v>
      </c>
      <c r="C16" s="190" t="s">
        <v>91</v>
      </c>
      <c r="D16" s="190"/>
      <c r="E16" s="37">
        <v>50.98</v>
      </c>
      <c r="F16" s="4">
        <v>1000</v>
      </c>
      <c r="G16" s="4">
        <f t="shared" si="15"/>
        <v>50980</v>
      </c>
      <c r="H16" s="22">
        <v>2</v>
      </c>
      <c r="I16" s="16">
        <v>16</v>
      </c>
      <c r="J16" s="18">
        <v>2000</v>
      </c>
      <c r="K16" s="17">
        <f t="shared" si="1"/>
        <v>125</v>
      </c>
      <c r="L16" s="16">
        <v>16</v>
      </c>
      <c r="M16" s="18">
        <f t="shared" si="16"/>
        <v>1935.483870967739</v>
      </c>
      <c r="N16" s="17">
        <f t="shared" si="3"/>
        <v>120.96774193548369</v>
      </c>
      <c r="O16" s="19">
        <f t="shared" si="4"/>
        <v>0</v>
      </c>
      <c r="P16" s="20">
        <f t="shared" si="5"/>
        <v>-4.0322580645163129</v>
      </c>
      <c r="Q16" s="21">
        <f t="shared" si="6"/>
        <v>0.96774193548386944</v>
      </c>
      <c r="R16" s="172"/>
      <c r="S16" s="28">
        <v>0.70833333333333337</v>
      </c>
      <c r="T16" s="28">
        <v>0.72986111111111118</v>
      </c>
      <c r="U16" s="4" t="str">
        <f t="shared" si="18"/>
        <v/>
      </c>
      <c r="V16" s="22">
        <f t="shared" si="17"/>
        <v>31.00000000000005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-64.516129032261006</v>
      </c>
      <c r="AF16" s="21">
        <f t="shared" si="9"/>
        <v>0.96774193548386944</v>
      </c>
      <c r="AG16" s="172"/>
    </row>
    <row r="17" spans="1:33" ht="16.5" customHeight="1">
      <c r="A17" s="199" t="s">
        <v>2191</v>
      </c>
      <c r="B17" s="4" t="s">
        <v>78</v>
      </c>
      <c r="C17" s="190" t="s">
        <v>92</v>
      </c>
      <c r="D17" s="190"/>
      <c r="E17" s="37">
        <v>50.92</v>
      </c>
      <c r="F17" s="4">
        <v>1000</v>
      </c>
      <c r="G17" s="4">
        <f t="shared" si="15"/>
        <v>50920</v>
      </c>
      <c r="H17" s="22">
        <v>2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1935.483870967739</v>
      </c>
      <c r="N17" s="17">
        <f t="shared" si="3"/>
        <v>129.03225806451593</v>
      </c>
      <c r="O17" s="19">
        <f t="shared" si="4"/>
        <v>0</v>
      </c>
      <c r="P17" s="20">
        <f t="shared" si="5"/>
        <v>-4.3010752688174136</v>
      </c>
      <c r="Q17" s="21">
        <f t="shared" si="6"/>
        <v>0.96774193548386944</v>
      </c>
      <c r="R17" s="172"/>
      <c r="S17" s="28">
        <v>0.73402777777777783</v>
      </c>
      <c r="T17" s="28">
        <v>0.75555555555555565</v>
      </c>
      <c r="U17" s="4">
        <f t="shared" si="18"/>
        <v>5.9999999999999787</v>
      </c>
      <c r="V17" s="22">
        <f t="shared" si="17"/>
        <v>31.00000000000005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-64.516129032261006</v>
      </c>
      <c r="AF17" s="21">
        <f t="shared" si="9"/>
        <v>0.96774193548386944</v>
      </c>
      <c r="AG17" s="172"/>
    </row>
    <row r="18" spans="1:33" ht="16.5" customHeight="1">
      <c r="A18" s="199" t="s">
        <v>2191</v>
      </c>
      <c r="B18" s="4" t="s">
        <v>78</v>
      </c>
      <c r="C18" s="190" t="s">
        <v>93</v>
      </c>
      <c r="D18" s="190"/>
      <c r="E18" s="37">
        <v>50.67</v>
      </c>
      <c r="F18" s="4">
        <v>1828</v>
      </c>
      <c r="G18" s="4">
        <f t="shared" si="15"/>
        <v>92624.760000000009</v>
      </c>
      <c r="H18" s="22" t="s">
        <v>139</v>
      </c>
      <c r="I18" s="16">
        <v>15</v>
      </c>
      <c r="J18" s="18">
        <v>2000</v>
      </c>
      <c r="K18" s="17">
        <f t="shared" si="1"/>
        <v>133.33333333333334</v>
      </c>
      <c r="L18" s="16">
        <v>15</v>
      </c>
      <c r="M18" s="18">
        <f t="shared" si="16"/>
        <v>1924.210526315791</v>
      </c>
      <c r="N18" s="17">
        <f t="shared" si="3"/>
        <v>128.28070175438606</v>
      </c>
      <c r="O18" s="19">
        <f t="shared" si="4"/>
        <v>0</v>
      </c>
      <c r="P18" s="20">
        <f t="shared" si="5"/>
        <v>-5.0526315789472847</v>
      </c>
      <c r="Q18" s="21">
        <f t="shared" si="6"/>
        <v>0.96210526315789535</v>
      </c>
      <c r="R18" s="172"/>
      <c r="S18" s="28">
        <v>0.7597222222222223</v>
      </c>
      <c r="T18" s="28">
        <v>0.7993055555555556</v>
      </c>
      <c r="U18" s="4">
        <f t="shared" si="18"/>
        <v>5.9999999999999787</v>
      </c>
      <c r="V18" s="22">
        <f t="shared" si="17"/>
        <v>56.999999999999957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-75.789473684209042</v>
      </c>
      <c r="AF18" s="21">
        <f t="shared" si="9"/>
        <v>0.96210526315789546</v>
      </c>
      <c r="AG18" s="172"/>
    </row>
    <row r="19" spans="1:33" ht="16.5" customHeight="1">
      <c r="A19" s="199" t="s">
        <v>2192</v>
      </c>
      <c r="B19" s="4" t="s">
        <v>78</v>
      </c>
      <c r="C19" s="217" t="s">
        <v>98</v>
      </c>
      <c r="D19" s="218"/>
      <c r="E19" s="37">
        <v>50.67</v>
      </c>
      <c r="F19" s="4">
        <v>894</v>
      </c>
      <c r="G19" s="4">
        <f t="shared" si="15"/>
        <v>45298.98</v>
      </c>
      <c r="H19" s="22" t="s">
        <v>139</v>
      </c>
      <c r="I19" s="16">
        <v>16</v>
      </c>
      <c r="J19" s="18">
        <v>2000</v>
      </c>
      <c r="K19" s="17">
        <f t="shared" si="1"/>
        <v>125</v>
      </c>
      <c r="L19" s="16">
        <v>16</v>
      </c>
      <c r="M19" s="18">
        <f t="shared" si="16"/>
        <v>1915.7142857142817</v>
      </c>
      <c r="N19" s="17">
        <f t="shared" si="3"/>
        <v>119.73214285714261</v>
      </c>
      <c r="O19" s="19">
        <f t="shared" si="4"/>
        <v>0</v>
      </c>
      <c r="P19" s="20">
        <f t="shared" si="5"/>
        <v>-5.2678571428573946</v>
      </c>
      <c r="Q19" s="21">
        <f t="shared" si="6"/>
        <v>0.95785714285714085</v>
      </c>
      <c r="R19" s="172"/>
      <c r="S19" s="28">
        <v>0.80347222222222225</v>
      </c>
      <c r="T19" s="28">
        <v>0.82291666666666674</v>
      </c>
      <c r="U19" s="4">
        <f t="shared" si="18"/>
        <v>5.9999999999999787</v>
      </c>
      <c r="V19" s="22">
        <f t="shared" si="17"/>
        <v>28.00000000000006</v>
      </c>
      <c r="W19" s="23">
        <f>T19</f>
        <v>0.82291666666666674</v>
      </c>
      <c r="X19" s="23">
        <f>S20</f>
        <v>0.86111111111111116</v>
      </c>
      <c r="Y19" s="26"/>
      <c r="Z19" s="26"/>
      <c r="AA19" s="175"/>
      <c r="AB19" s="176"/>
      <c r="AC19" s="25"/>
      <c r="AD19" s="25"/>
      <c r="AE19" s="19">
        <f t="shared" si="8"/>
        <v>-84.285714285718313</v>
      </c>
      <c r="AF19" s="21">
        <f t="shared" si="9"/>
        <v>0.95785714285714085</v>
      </c>
      <c r="AG19" s="172"/>
    </row>
    <row r="20" spans="1:33" ht="16.5" customHeight="1">
      <c r="A20" s="199" t="s">
        <v>2191</v>
      </c>
      <c r="B20" s="4" t="s">
        <v>78</v>
      </c>
      <c r="C20" s="39" t="s">
        <v>92</v>
      </c>
      <c r="D20" s="40"/>
      <c r="E20" s="37">
        <v>50.92</v>
      </c>
      <c r="F20" s="4">
        <v>1588</v>
      </c>
      <c r="G20" s="4">
        <f t="shared" si="15"/>
        <v>80860.960000000006</v>
      </c>
      <c r="H20" s="22" t="s">
        <v>139</v>
      </c>
      <c r="I20" s="16">
        <v>15</v>
      </c>
      <c r="J20" s="18">
        <v>2000</v>
      </c>
      <c r="K20" s="17">
        <f t="shared" si="1"/>
        <v>133.33333333333334</v>
      </c>
      <c r="L20" s="16">
        <v>15</v>
      </c>
      <c r="M20" s="18">
        <f t="shared" si="16"/>
        <v>1905.6000000000006</v>
      </c>
      <c r="N20" s="17">
        <f t="shared" si="3"/>
        <v>127.04000000000003</v>
      </c>
      <c r="O20" s="19">
        <f t="shared" si="4"/>
        <v>0</v>
      </c>
      <c r="P20" s="20">
        <f t="shared" si="5"/>
        <v>-6.2933333333333081</v>
      </c>
      <c r="Q20" s="21">
        <f t="shared" si="6"/>
        <v>0.9528000000000002</v>
      </c>
      <c r="R20" s="172"/>
      <c r="S20" s="28">
        <v>0.86111111111111116</v>
      </c>
      <c r="T20" s="28">
        <v>0.89583333333333337</v>
      </c>
      <c r="U20" s="4">
        <f t="shared" si="18"/>
        <v>54.999999999999964</v>
      </c>
      <c r="V20" s="22">
        <f t="shared" si="17"/>
        <v>49.999999999999986</v>
      </c>
      <c r="W20" s="23"/>
      <c r="X20" s="23"/>
      <c r="Y20" s="26"/>
      <c r="Z20" s="26"/>
      <c r="AA20" s="175"/>
      <c r="AB20" s="176"/>
      <c r="AC20" s="25"/>
      <c r="AD20" s="25"/>
      <c r="AE20" s="19">
        <f t="shared" si="8"/>
        <v>-94.399999999999409</v>
      </c>
      <c r="AF20" s="21">
        <f t="shared" si="9"/>
        <v>0.95280000000000031</v>
      </c>
      <c r="AG20" s="172"/>
    </row>
    <row r="21" spans="1:33" ht="16.5" customHeight="1">
      <c r="A21" s="199" t="s">
        <v>2191</v>
      </c>
      <c r="B21" s="4" t="s">
        <v>78</v>
      </c>
      <c r="C21" s="39" t="s">
        <v>91</v>
      </c>
      <c r="D21" s="40"/>
      <c r="E21" s="37">
        <v>50.98</v>
      </c>
      <c r="F21" s="4">
        <v>1496</v>
      </c>
      <c r="G21" s="4">
        <f t="shared" si="15"/>
        <v>76266.080000000002</v>
      </c>
      <c r="H21" s="22" t="s">
        <v>139</v>
      </c>
      <c r="I21" s="16">
        <v>16</v>
      </c>
      <c r="J21" s="18">
        <v>2000</v>
      </c>
      <c r="K21" s="17">
        <f t="shared" si="1"/>
        <v>125</v>
      </c>
      <c r="L21" s="16">
        <v>16</v>
      </c>
      <c r="M21" s="18">
        <f t="shared" si="16"/>
        <v>1909.7872340425536</v>
      </c>
      <c r="N21" s="17">
        <f t="shared" si="3"/>
        <v>119.3617021276596</v>
      </c>
      <c r="O21" s="19">
        <f t="shared" si="4"/>
        <v>0</v>
      </c>
      <c r="P21" s="20">
        <f t="shared" si="5"/>
        <v>-5.6382978723404023</v>
      </c>
      <c r="Q21" s="21">
        <f t="shared" si="6"/>
        <v>0.95489361702127673</v>
      </c>
      <c r="R21" s="172"/>
      <c r="S21" s="28">
        <v>0.90069444444444446</v>
      </c>
      <c r="T21" s="28">
        <v>0.93333333333333335</v>
      </c>
      <c r="U21" s="4">
        <f t="shared" si="18"/>
        <v>6.9999999999999751</v>
      </c>
      <c r="V21" s="22">
        <f t="shared" si="17"/>
        <v>46.999999999999993</v>
      </c>
      <c r="W21" s="23"/>
      <c r="X21" s="23"/>
      <c r="Y21" s="26"/>
      <c r="Z21" s="26"/>
      <c r="AA21" s="175"/>
      <c r="AB21" s="176"/>
      <c r="AC21" s="25"/>
      <c r="AD21" s="25"/>
      <c r="AE21" s="19">
        <f t="shared" si="8"/>
        <v>-90.212765957446436</v>
      </c>
      <c r="AF21" s="21">
        <f t="shared" si="9"/>
        <v>0.95489361702127673</v>
      </c>
      <c r="AG21" s="172"/>
    </row>
    <row r="22" spans="1:33" ht="16.5" customHeight="1">
      <c r="A22" s="199" t="s">
        <v>2191</v>
      </c>
      <c r="B22" s="37" t="s">
        <v>2193</v>
      </c>
      <c r="C22" s="177"/>
      <c r="D22" s="177"/>
      <c r="E22" s="38"/>
      <c r="F22" s="17"/>
      <c r="G22" s="17"/>
      <c r="H22" s="4"/>
      <c r="I22" s="30">
        <v>17.125</v>
      </c>
      <c r="J22" s="18">
        <v>1875</v>
      </c>
      <c r="K22" s="17">
        <f t="shared" si="1"/>
        <v>109.48905109489051</v>
      </c>
      <c r="L22" s="30">
        <v>17.125</v>
      </c>
      <c r="M22" s="18">
        <f>AVERAGE(M14:M21)</f>
        <v>1803.2549087461564</v>
      </c>
      <c r="N22" s="17">
        <f t="shared" si="3"/>
        <v>105.29955671510402</v>
      </c>
      <c r="O22" s="19">
        <f t="shared" si="4"/>
        <v>0</v>
      </c>
      <c r="P22" s="20">
        <f t="shared" si="5"/>
        <v>-4.1894943797864954</v>
      </c>
      <c r="Q22" s="21">
        <f t="shared" si="6"/>
        <v>0.96173595133128331</v>
      </c>
      <c r="R22" s="172"/>
      <c r="S22" s="28"/>
      <c r="T22" s="28"/>
      <c r="U22" s="4"/>
      <c r="V22" s="22"/>
      <c r="W22" s="17"/>
      <c r="X22" s="17"/>
      <c r="Y22" s="31">
        <f>SUM(Y14:Y21)</f>
        <v>0</v>
      </c>
      <c r="Z22" s="31">
        <f>SUM(Z14:Z21)</f>
        <v>0</v>
      </c>
      <c r="AA22" s="168"/>
      <c r="AB22" s="168"/>
      <c r="AC22" s="31">
        <v>8</v>
      </c>
      <c r="AD22" s="31">
        <f>SUM(AD14:AD21)</f>
        <v>0</v>
      </c>
      <c r="AE22" s="19">
        <f t="shared" si="8"/>
        <v>-71.745091253843611</v>
      </c>
      <c r="AF22" s="21">
        <f t="shared" si="9"/>
        <v>0.96173595133128342</v>
      </c>
      <c r="AG22" s="172"/>
    </row>
    <row r="23" spans="1:33" ht="15.75" customHeight="1">
      <c r="A23" s="194" t="s">
        <v>2194</v>
      </c>
      <c r="B23" s="37" t="s">
        <v>78</v>
      </c>
      <c r="C23" s="190" t="s">
        <v>95</v>
      </c>
      <c r="D23" s="190"/>
      <c r="E23" s="37">
        <v>57.73</v>
      </c>
      <c r="F23" s="4">
        <v>3096</v>
      </c>
      <c r="G23" s="4">
        <f t="shared" ref="G23:G28" si="19">E23*F23</f>
        <v>178732.08</v>
      </c>
      <c r="H23" s="22" t="s">
        <v>139</v>
      </c>
      <c r="I23" s="16">
        <v>14</v>
      </c>
      <c r="J23" s="18">
        <v>2000</v>
      </c>
      <c r="K23" s="17">
        <f t="shared" si="1"/>
        <v>142.85714285714286</v>
      </c>
      <c r="L23" s="16">
        <v>14</v>
      </c>
      <c r="M23" s="18">
        <f t="shared" ref="M23:M28" si="20">F23/V23*60</f>
        <v>1915.0515463917525</v>
      </c>
      <c r="N23" s="17">
        <f t="shared" si="3"/>
        <v>136.78939617083947</v>
      </c>
      <c r="O23" s="19">
        <f t="shared" si="4"/>
        <v>0</v>
      </c>
      <c r="P23" s="20">
        <f t="shared" si="5"/>
        <v>-6.0677466863033942</v>
      </c>
      <c r="Q23" s="21">
        <f t="shared" si="6"/>
        <v>0.95752577319587628</v>
      </c>
      <c r="R23" s="172">
        <f>Q29</f>
        <v>0.96241880432870264</v>
      </c>
      <c r="S23" s="28">
        <v>0.20833333333333334</v>
      </c>
      <c r="T23" s="28">
        <v>0.27569444444444446</v>
      </c>
      <c r="U23" s="4"/>
      <c r="V23" s="22">
        <f t="shared" ref="V23:V28" si="21">(T23-S23)*24*60</f>
        <v>97.000000000000014</v>
      </c>
      <c r="W23" s="28"/>
      <c r="X23" s="28"/>
      <c r="Y23" s="28"/>
      <c r="Z23" s="28"/>
      <c r="AA23" s="164"/>
      <c r="AB23" s="164"/>
      <c r="AC23" s="25">
        <v>6</v>
      </c>
      <c r="AD23" s="25"/>
      <c r="AE23" s="19">
        <f t="shared" si="8"/>
        <v>-84.948453608247519</v>
      </c>
      <c r="AF23" s="21">
        <f t="shared" si="9"/>
        <v>0.95752577319587628</v>
      </c>
      <c r="AG23" s="172">
        <f>AF29</f>
        <v>0.96241880432870253</v>
      </c>
    </row>
    <row r="24" spans="1:33" ht="15.75" customHeight="1">
      <c r="A24" s="195" t="s">
        <v>2194</v>
      </c>
      <c r="B24" s="37" t="s">
        <v>78</v>
      </c>
      <c r="C24" s="190" t="s">
        <v>96</v>
      </c>
      <c r="D24" s="190"/>
      <c r="E24" s="37">
        <v>53.68</v>
      </c>
      <c r="F24" s="4">
        <v>1604</v>
      </c>
      <c r="G24" s="4">
        <f t="shared" si="19"/>
        <v>86102.720000000001</v>
      </c>
      <c r="H24" s="22" t="s">
        <v>139</v>
      </c>
      <c r="I24" s="16">
        <v>16</v>
      </c>
      <c r="J24" s="18">
        <v>2000</v>
      </c>
      <c r="K24" s="17">
        <f t="shared" si="1"/>
        <v>125</v>
      </c>
      <c r="L24" s="16">
        <v>16</v>
      </c>
      <c r="M24" s="18">
        <f t="shared" si="20"/>
        <v>1924.8000000000006</v>
      </c>
      <c r="N24" s="17">
        <f t="shared" si="3"/>
        <v>120.30000000000004</v>
      </c>
      <c r="O24" s="19">
        <f t="shared" si="4"/>
        <v>0</v>
      </c>
      <c r="P24" s="20">
        <f t="shared" si="5"/>
        <v>-4.6999999999999602</v>
      </c>
      <c r="Q24" s="21">
        <f t="shared" si="6"/>
        <v>0.96240000000000037</v>
      </c>
      <c r="R24" s="172"/>
      <c r="S24" s="28">
        <v>0.27916666666666667</v>
      </c>
      <c r="T24" s="28">
        <v>0.31388888888888888</v>
      </c>
      <c r="U24" s="4">
        <f t="shared" ref="U24:U28" si="22">IF(S24=TIME(17,0,0),"",(S24-T23)*24*60)</f>
        <v>4.9999999999999822</v>
      </c>
      <c r="V24" s="22">
        <f t="shared" si="21"/>
        <v>49.999999999999986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-75.199999999999363</v>
      </c>
      <c r="AF24" s="21">
        <f t="shared" si="9"/>
        <v>0.96240000000000037</v>
      </c>
      <c r="AG24" s="172"/>
    </row>
    <row r="25" spans="1:33" ht="15.75" customHeight="1">
      <c r="A25" s="195" t="s">
        <v>2194</v>
      </c>
      <c r="B25" s="37" t="s">
        <v>78</v>
      </c>
      <c r="C25" s="190" t="s">
        <v>97</v>
      </c>
      <c r="D25" s="190"/>
      <c r="E25" s="37">
        <v>50.49</v>
      </c>
      <c r="F25" s="4">
        <v>1000</v>
      </c>
      <c r="G25" s="4">
        <f t="shared" si="19"/>
        <v>50490</v>
      </c>
      <c r="H25" s="22">
        <v>2</v>
      </c>
      <c r="I25" s="16">
        <v>15</v>
      </c>
      <c r="J25" s="18">
        <v>2000</v>
      </c>
      <c r="K25" s="17">
        <f t="shared" si="1"/>
        <v>133.33333333333334</v>
      </c>
      <c r="L25" s="16">
        <v>15</v>
      </c>
      <c r="M25" s="18">
        <f t="shared" si="20"/>
        <v>1935.483870967739</v>
      </c>
      <c r="N25" s="17">
        <f t="shared" si="3"/>
        <v>129.03225806451593</v>
      </c>
      <c r="O25" s="19">
        <f t="shared" si="4"/>
        <v>0</v>
      </c>
      <c r="P25" s="20">
        <f t="shared" si="5"/>
        <v>-4.3010752688174136</v>
      </c>
      <c r="Q25" s="21">
        <f t="shared" si="6"/>
        <v>0.96774193548386944</v>
      </c>
      <c r="R25" s="172"/>
      <c r="S25" s="28">
        <v>0.70833333333333337</v>
      </c>
      <c r="T25" s="28">
        <v>0.72986111111111118</v>
      </c>
      <c r="U25" s="4" t="str">
        <f t="shared" si="22"/>
        <v/>
      </c>
      <c r="V25" s="22">
        <f t="shared" si="21"/>
        <v>31.00000000000005</v>
      </c>
      <c r="W25" s="23"/>
      <c r="X25" s="4"/>
      <c r="Y25" s="4"/>
      <c r="Z25" s="4"/>
      <c r="AA25" s="164"/>
      <c r="AB25" s="164"/>
      <c r="AC25" s="25"/>
      <c r="AD25" s="25"/>
      <c r="AE25" s="19">
        <f t="shared" si="8"/>
        <v>-64.516129032261006</v>
      </c>
      <c r="AF25" s="21">
        <f t="shared" si="9"/>
        <v>0.96774193548386944</v>
      </c>
      <c r="AG25" s="172"/>
    </row>
    <row r="26" spans="1:33" ht="15.75" customHeight="1">
      <c r="A26" s="195" t="s">
        <v>2194</v>
      </c>
      <c r="B26" s="37" t="s">
        <v>78</v>
      </c>
      <c r="C26" s="190" t="s">
        <v>94</v>
      </c>
      <c r="D26" s="190"/>
      <c r="E26" s="37">
        <v>57.3</v>
      </c>
      <c r="F26" s="4">
        <v>2114</v>
      </c>
      <c r="G26" s="4">
        <f t="shared" si="19"/>
        <v>121132.2</v>
      </c>
      <c r="H26" s="22" t="s">
        <v>139</v>
      </c>
      <c r="I26" s="16">
        <v>13</v>
      </c>
      <c r="J26" s="18">
        <v>2000</v>
      </c>
      <c r="K26" s="17">
        <f t="shared" si="1"/>
        <v>153.84615384615384</v>
      </c>
      <c r="L26" s="16">
        <v>13</v>
      </c>
      <c r="M26" s="18">
        <f t="shared" si="20"/>
        <v>1921.8181818181793</v>
      </c>
      <c r="N26" s="17">
        <f t="shared" si="3"/>
        <v>147.83216783216764</v>
      </c>
      <c r="O26" s="19">
        <f t="shared" si="4"/>
        <v>0</v>
      </c>
      <c r="P26" s="20">
        <f t="shared" si="5"/>
        <v>-6.013986013986198</v>
      </c>
      <c r="Q26" s="21">
        <f t="shared" si="6"/>
        <v>0.96090909090908971</v>
      </c>
      <c r="R26" s="172"/>
      <c r="S26" s="28">
        <v>0.73472222222222228</v>
      </c>
      <c r="T26" s="28">
        <v>0.78055555555555567</v>
      </c>
      <c r="U26" s="4">
        <f t="shared" si="22"/>
        <v>6.9999999999999751</v>
      </c>
      <c r="V26" s="22">
        <f t="shared" si="21"/>
        <v>66.000000000000085</v>
      </c>
      <c r="W26" s="23"/>
      <c r="X26" s="4"/>
      <c r="Y26" s="4"/>
      <c r="Z26" s="4"/>
      <c r="AA26" s="164"/>
      <c r="AB26" s="164"/>
      <c r="AC26" s="25"/>
      <c r="AD26" s="25"/>
      <c r="AE26" s="19">
        <f t="shared" si="8"/>
        <v>-78.181818181820745</v>
      </c>
      <c r="AF26" s="21">
        <f t="shared" si="9"/>
        <v>0.9609090909090896</v>
      </c>
      <c r="AG26" s="172"/>
    </row>
    <row r="27" spans="1:33" ht="15.75" customHeight="1">
      <c r="A27" s="195" t="s">
        <v>2194</v>
      </c>
      <c r="B27" s="37" t="s">
        <v>78</v>
      </c>
      <c r="C27" s="190" t="s">
        <v>99</v>
      </c>
      <c r="D27" s="190"/>
      <c r="E27" s="37">
        <v>53.68</v>
      </c>
      <c r="F27" s="4">
        <v>1986</v>
      </c>
      <c r="G27" s="4">
        <f t="shared" si="19"/>
        <v>106608.48</v>
      </c>
      <c r="H27" s="22" t="s">
        <v>139</v>
      </c>
      <c r="I27" s="16">
        <v>16</v>
      </c>
      <c r="J27" s="18">
        <v>1500</v>
      </c>
      <c r="K27" s="17">
        <f t="shared" si="1"/>
        <v>93.75</v>
      </c>
      <c r="L27" s="16">
        <v>16</v>
      </c>
      <c r="M27" s="18">
        <f t="shared" si="20"/>
        <v>1435.6626506024093</v>
      </c>
      <c r="N27" s="17">
        <f t="shared" si="3"/>
        <v>89.728915662650579</v>
      </c>
      <c r="O27" s="19">
        <f t="shared" si="4"/>
        <v>0</v>
      </c>
      <c r="P27" s="20">
        <f t="shared" si="5"/>
        <v>-4.0210843373494214</v>
      </c>
      <c r="Q27" s="21">
        <f t="shared" si="6"/>
        <v>0.95710843373493948</v>
      </c>
      <c r="R27" s="172"/>
      <c r="S27" s="28">
        <v>0.78472222222222232</v>
      </c>
      <c r="T27" s="28">
        <v>0.84236111111111123</v>
      </c>
      <c r="U27" s="4">
        <f t="shared" si="22"/>
        <v>5.9999999999999787</v>
      </c>
      <c r="V27" s="22">
        <f t="shared" si="21"/>
        <v>83.000000000000028</v>
      </c>
      <c r="W27" s="23">
        <f>T27</f>
        <v>0.84236111111111123</v>
      </c>
      <c r="X27" s="23">
        <f>S28</f>
        <v>0.88263888888888897</v>
      </c>
      <c r="Y27" s="4"/>
      <c r="Z27" s="4"/>
      <c r="AA27" s="164"/>
      <c r="AB27" s="164"/>
      <c r="AC27" s="25"/>
      <c r="AD27" s="25"/>
      <c r="AE27" s="19">
        <f t="shared" si="8"/>
        <v>-64.337349397590742</v>
      </c>
      <c r="AF27" s="21">
        <f t="shared" si="9"/>
        <v>0.95710843373493948</v>
      </c>
      <c r="AG27" s="172"/>
    </row>
    <row r="28" spans="1:33" ht="15.75" customHeight="1">
      <c r="A28" s="195" t="s">
        <v>2194</v>
      </c>
      <c r="B28" s="37" t="s">
        <v>78</v>
      </c>
      <c r="C28" s="190" t="s">
        <v>97</v>
      </c>
      <c r="D28" s="190"/>
      <c r="E28" s="37">
        <v>50.49</v>
      </c>
      <c r="F28" s="4">
        <v>1290</v>
      </c>
      <c r="G28" s="4">
        <f t="shared" si="19"/>
        <v>65132.100000000006</v>
      </c>
      <c r="H28" s="22" t="s">
        <v>139</v>
      </c>
      <c r="I28" s="16">
        <v>15</v>
      </c>
      <c r="J28" s="18">
        <v>2000</v>
      </c>
      <c r="K28" s="17">
        <f t="shared" si="1"/>
        <v>133.33333333333334</v>
      </c>
      <c r="L28" s="16">
        <v>15</v>
      </c>
      <c r="M28" s="18">
        <f t="shared" si="20"/>
        <v>1934.9999999999991</v>
      </c>
      <c r="N28" s="17">
        <f t="shared" si="3"/>
        <v>128.99999999999994</v>
      </c>
      <c r="O28" s="19">
        <f t="shared" si="4"/>
        <v>0</v>
      </c>
      <c r="P28" s="20">
        <f t="shared" si="5"/>
        <v>-4.3333333333333997</v>
      </c>
      <c r="Q28" s="21">
        <f t="shared" si="6"/>
        <v>0.96749999999999947</v>
      </c>
      <c r="R28" s="172"/>
      <c r="S28" s="28">
        <v>0.88263888888888897</v>
      </c>
      <c r="T28" s="28">
        <v>0.91041666666666676</v>
      </c>
      <c r="U28" s="4">
        <f t="shared" si="22"/>
        <v>57.999999999999957</v>
      </c>
      <c r="V28" s="22">
        <f t="shared" si="21"/>
        <v>40.000000000000014</v>
      </c>
      <c r="W28" s="23"/>
      <c r="X28" s="28"/>
      <c r="Y28" s="28"/>
      <c r="Z28" s="28"/>
      <c r="AA28" s="164"/>
      <c r="AB28" s="164"/>
      <c r="AC28" s="25"/>
      <c r="AD28" s="25"/>
      <c r="AE28" s="19">
        <f t="shared" si="8"/>
        <v>-65.000000000000909</v>
      </c>
      <c r="AF28" s="21">
        <f t="shared" si="9"/>
        <v>0.96749999999999958</v>
      </c>
      <c r="AG28" s="172"/>
    </row>
    <row r="29" spans="1:33" ht="15.75" customHeight="1">
      <c r="A29" s="195" t="s">
        <v>2194</v>
      </c>
      <c r="B29" s="37" t="s">
        <v>2190</v>
      </c>
      <c r="C29" s="177"/>
      <c r="D29" s="177"/>
      <c r="E29" s="38"/>
      <c r="F29" s="4"/>
      <c r="G29" s="4"/>
      <c r="H29" s="4"/>
      <c r="I29" s="30">
        <v>14.833333333333334</v>
      </c>
      <c r="J29" s="18">
        <v>1916.6666666666667</v>
      </c>
      <c r="K29" s="17">
        <f t="shared" si="1"/>
        <v>129.2134831460674</v>
      </c>
      <c r="L29" s="30">
        <v>14.833333333333334</v>
      </c>
      <c r="M29" s="18">
        <f>AVERAGE(M23:M28)</f>
        <v>1844.6360416300133</v>
      </c>
      <c r="N29" s="17">
        <f t="shared" si="3"/>
        <v>124.35748595258517</v>
      </c>
      <c r="O29" s="19">
        <f t="shared" si="4"/>
        <v>0</v>
      </c>
      <c r="P29" s="20">
        <f t="shared" si="5"/>
        <v>-4.8559971934822386</v>
      </c>
      <c r="Q29" s="21">
        <f t="shared" si="6"/>
        <v>0.96241880432870264</v>
      </c>
      <c r="R29" s="172"/>
      <c r="S29" s="28"/>
      <c r="T29" s="28"/>
      <c r="U29" s="17"/>
      <c r="V29" s="22"/>
      <c r="W29" s="17"/>
      <c r="X29" s="17"/>
      <c r="Y29" s="31">
        <f>SUM(Y23:Y28)</f>
        <v>0</v>
      </c>
      <c r="Z29" s="31">
        <f>SUM(Z23:Z28)</f>
        <v>0</v>
      </c>
      <c r="AA29" s="168"/>
      <c r="AB29" s="168"/>
      <c r="AC29" s="31">
        <v>6</v>
      </c>
      <c r="AD29" s="31">
        <f>SUM(AD23:AD28)</f>
        <v>0</v>
      </c>
      <c r="AE29" s="19">
        <f t="shared" si="8"/>
        <v>-72.030625036653419</v>
      </c>
      <c r="AF29" s="21">
        <f t="shared" si="9"/>
        <v>0.96241880432870253</v>
      </c>
      <c r="AG29" s="172"/>
    </row>
    <row r="30" spans="1:33" ht="15.75" customHeight="1">
      <c r="A30" s="193" t="s">
        <v>2195</v>
      </c>
      <c r="B30" s="37" t="s">
        <v>100</v>
      </c>
      <c r="C30" s="190" t="s">
        <v>101</v>
      </c>
      <c r="D30" s="190"/>
      <c r="E30" s="37">
        <v>31.29</v>
      </c>
      <c r="F30" s="4">
        <v>4800</v>
      </c>
      <c r="G30" s="4">
        <f t="shared" ref="G30:G36" si="23">E30*F30</f>
        <v>150192</v>
      </c>
      <c r="H30" s="22">
        <v>2</v>
      </c>
      <c r="I30" s="16">
        <v>18</v>
      </c>
      <c r="J30" s="18">
        <v>2400</v>
      </c>
      <c r="K30" s="17">
        <f t="shared" si="1"/>
        <v>133.33333333333334</v>
      </c>
      <c r="L30" s="16">
        <v>18</v>
      </c>
      <c r="M30" s="18">
        <f t="shared" ref="M30:M36" si="24">F30/V30*60</f>
        <v>2285.7142857142853</v>
      </c>
      <c r="N30" s="17">
        <f t="shared" si="3"/>
        <v>126.98412698412696</v>
      </c>
      <c r="O30" s="19">
        <f t="shared" si="4"/>
        <v>0</v>
      </c>
      <c r="P30" s="20">
        <f t="shared" si="5"/>
        <v>-6.3492063492063835</v>
      </c>
      <c r="Q30" s="21">
        <f t="shared" si="6"/>
        <v>0.95238095238095211</v>
      </c>
      <c r="R30" s="172">
        <f>Q37</f>
        <v>0.95590563071343537</v>
      </c>
      <c r="S30" s="28">
        <v>0.125</v>
      </c>
      <c r="T30" s="28">
        <v>0.21250000000000002</v>
      </c>
      <c r="U30" s="4"/>
      <c r="V30" s="22">
        <f t="shared" ref="V30:V36" si="25">(T30-S30)*24*60</f>
        <v>126.00000000000003</v>
      </c>
      <c r="W30" s="23">
        <f>T30</f>
        <v>0.21250000000000002</v>
      </c>
      <c r="X30" s="23">
        <f>S31</f>
        <v>0.23194444444444445</v>
      </c>
      <c r="Y30" s="23"/>
      <c r="Z30" s="23"/>
      <c r="AA30" s="164"/>
      <c r="AB30" s="164"/>
      <c r="AC30" s="25">
        <v>7</v>
      </c>
      <c r="AD30" s="25"/>
      <c r="AE30" s="19">
        <f t="shared" si="8"/>
        <v>-114.28571428571468</v>
      </c>
      <c r="AF30" s="21">
        <f t="shared" si="9"/>
        <v>0.95238095238095222</v>
      </c>
      <c r="AG30" s="172">
        <f>AF37</f>
        <v>0.95590563071343548</v>
      </c>
    </row>
    <row r="31" spans="1:33" ht="15.75" customHeight="1">
      <c r="A31" s="193" t="s">
        <v>2195</v>
      </c>
      <c r="B31" s="37" t="s">
        <v>100</v>
      </c>
      <c r="C31" s="190" t="s">
        <v>105</v>
      </c>
      <c r="D31" s="190"/>
      <c r="E31" s="37">
        <v>25.98</v>
      </c>
      <c r="F31" s="4">
        <v>3180</v>
      </c>
      <c r="G31" s="4">
        <f t="shared" si="23"/>
        <v>82616.399999999994</v>
      </c>
      <c r="H31" s="22" t="s">
        <v>139</v>
      </c>
      <c r="I31" s="16">
        <v>21</v>
      </c>
      <c r="J31" s="18">
        <v>2400</v>
      </c>
      <c r="K31" s="17">
        <f t="shared" si="1"/>
        <v>114.28571428571429</v>
      </c>
      <c r="L31" s="16">
        <v>21</v>
      </c>
      <c r="M31" s="18">
        <f t="shared" si="24"/>
        <v>2298.7951807228906</v>
      </c>
      <c r="N31" s="17">
        <f t="shared" si="3"/>
        <v>109.4664371772805</v>
      </c>
      <c r="O31" s="19">
        <f t="shared" si="4"/>
        <v>0</v>
      </c>
      <c r="P31" s="20">
        <f t="shared" si="5"/>
        <v>-4.8192771084337949</v>
      </c>
      <c r="Q31" s="21">
        <f t="shared" si="6"/>
        <v>0.95783132530120429</v>
      </c>
      <c r="R31" s="172"/>
      <c r="S31" s="28">
        <v>0.23194444444444445</v>
      </c>
      <c r="T31" s="28">
        <v>0.28958333333333336</v>
      </c>
      <c r="U31" s="4">
        <f t="shared" ref="U31:U36" si="26">(S31-T30)*24*60</f>
        <v>27.999999999999979</v>
      </c>
      <c r="V31" s="22">
        <f t="shared" si="25"/>
        <v>83.000000000000028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8"/>
        <v>-101.20481927710944</v>
      </c>
      <c r="AF31" s="21">
        <f t="shared" si="9"/>
        <v>0.95783132530120441</v>
      </c>
      <c r="AG31" s="172"/>
    </row>
    <row r="32" spans="1:33" ht="15.75" customHeight="1">
      <c r="A32" s="193" t="s">
        <v>2195</v>
      </c>
      <c r="B32" s="37" t="s">
        <v>100</v>
      </c>
      <c r="C32" s="190" t="s">
        <v>102</v>
      </c>
      <c r="D32" s="190"/>
      <c r="E32" s="37">
        <v>26.2</v>
      </c>
      <c r="F32" s="4">
        <v>3600</v>
      </c>
      <c r="G32" s="4">
        <f t="shared" si="23"/>
        <v>94320</v>
      </c>
      <c r="H32" s="22">
        <v>2</v>
      </c>
      <c r="I32" s="16">
        <v>20</v>
      </c>
      <c r="J32" s="18">
        <v>2400</v>
      </c>
      <c r="K32" s="17">
        <f t="shared" si="1"/>
        <v>120</v>
      </c>
      <c r="L32" s="16">
        <v>20</v>
      </c>
      <c r="M32" s="18">
        <f t="shared" si="24"/>
        <v>2297.872340425532</v>
      </c>
      <c r="N32" s="17">
        <f t="shared" si="3"/>
        <v>114.8936170212766</v>
      </c>
      <c r="O32" s="19">
        <f t="shared" si="4"/>
        <v>0</v>
      </c>
      <c r="P32" s="20">
        <f t="shared" si="5"/>
        <v>-5.1063829787234027</v>
      </c>
      <c r="Q32" s="21">
        <f t="shared" si="6"/>
        <v>0.95744680851063835</v>
      </c>
      <c r="R32" s="172"/>
      <c r="S32" s="28">
        <v>0.2951388888888889</v>
      </c>
      <c r="T32" s="28">
        <v>0.36041666666666666</v>
      </c>
      <c r="U32" s="4">
        <f t="shared" si="26"/>
        <v>7.9999999999999716</v>
      </c>
      <c r="V32" s="22">
        <f t="shared" si="25"/>
        <v>93.999999999999986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8"/>
        <v>-102.127659574468</v>
      </c>
      <c r="AF32" s="21">
        <f t="shared" si="9"/>
        <v>0.95744680851063835</v>
      </c>
      <c r="AG32" s="172"/>
    </row>
    <row r="33" spans="1:33" ht="15.75" customHeight="1">
      <c r="A33" s="193" t="s">
        <v>2195</v>
      </c>
      <c r="B33" s="37" t="s">
        <v>100</v>
      </c>
      <c r="C33" s="190" t="s">
        <v>103</v>
      </c>
      <c r="D33" s="190"/>
      <c r="E33" s="37">
        <v>25.99</v>
      </c>
      <c r="F33" s="4">
        <v>4658</v>
      </c>
      <c r="G33" s="4">
        <f t="shared" si="23"/>
        <v>121061.42</v>
      </c>
      <c r="H33" s="22" t="s">
        <v>139</v>
      </c>
      <c r="I33" s="16">
        <v>14</v>
      </c>
      <c r="J33" s="18">
        <v>2400</v>
      </c>
      <c r="K33" s="17">
        <f t="shared" si="1"/>
        <v>171.42857142857142</v>
      </c>
      <c r="L33" s="16">
        <v>14</v>
      </c>
      <c r="M33" s="18">
        <f t="shared" si="24"/>
        <v>2290.8196721311479</v>
      </c>
      <c r="N33" s="17">
        <f t="shared" si="3"/>
        <v>163.62997658079627</v>
      </c>
      <c r="O33" s="19">
        <f t="shared" si="4"/>
        <v>0</v>
      </c>
      <c r="P33" s="20">
        <f t="shared" si="5"/>
        <v>-7.7985948477751492</v>
      </c>
      <c r="Q33" s="21">
        <f t="shared" si="6"/>
        <v>0.9545081967213116</v>
      </c>
      <c r="R33" s="172"/>
      <c r="S33" s="28">
        <v>0.36458333333333331</v>
      </c>
      <c r="T33" s="28">
        <v>0.44930555555555551</v>
      </c>
      <c r="U33" s="4">
        <f t="shared" si="26"/>
        <v>5.9999999999999787</v>
      </c>
      <c r="V33" s="22">
        <f t="shared" si="25"/>
        <v>121.99999999999997</v>
      </c>
      <c r="W33" s="23"/>
      <c r="X33" s="23"/>
      <c r="Y33" s="23"/>
      <c r="Z33" s="23"/>
      <c r="AA33" s="164"/>
      <c r="AB33" s="164"/>
      <c r="AC33" s="25"/>
      <c r="AD33" s="25"/>
      <c r="AE33" s="19">
        <f t="shared" si="8"/>
        <v>-109.18032786885215</v>
      </c>
      <c r="AF33" s="21">
        <f t="shared" si="9"/>
        <v>0.9545081967213116</v>
      </c>
      <c r="AG33" s="172"/>
    </row>
    <row r="34" spans="1:33" ht="15.75" customHeight="1">
      <c r="A34" s="193" t="s">
        <v>2195</v>
      </c>
      <c r="B34" s="37" t="s">
        <v>100</v>
      </c>
      <c r="C34" s="190" t="s">
        <v>107</v>
      </c>
      <c r="D34" s="190"/>
      <c r="E34" s="37">
        <v>26.18</v>
      </c>
      <c r="F34" s="4">
        <v>2266</v>
      </c>
      <c r="G34" s="4">
        <f t="shared" si="23"/>
        <v>59323.88</v>
      </c>
      <c r="H34" s="22" t="s">
        <v>139</v>
      </c>
      <c r="I34" s="16">
        <v>19</v>
      </c>
      <c r="J34" s="18">
        <v>2400</v>
      </c>
      <c r="K34" s="17">
        <f t="shared" si="1"/>
        <v>126.31578947368421</v>
      </c>
      <c r="L34" s="16">
        <v>19</v>
      </c>
      <c r="M34" s="18">
        <f t="shared" si="24"/>
        <v>2304.4067796610161</v>
      </c>
      <c r="N34" s="17">
        <f t="shared" si="3"/>
        <v>121.28456735057979</v>
      </c>
      <c r="O34" s="19">
        <f t="shared" si="4"/>
        <v>0</v>
      </c>
      <c r="P34" s="20">
        <f t="shared" si="5"/>
        <v>-5.0312221231044134</v>
      </c>
      <c r="Q34" s="21">
        <f t="shared" si="6"/>
        <v>0.96016949152542341</v>
      </c>
      <c r="R34" s="172"/>
      <c r="S34" s="28">
        <v>0.45277777777777772</v>
      </c>
      <c r="T34" s="28">
        <v>0.49374999999999997</v>
      </c>
      <c r="U34" s="4">
        <f t="shared" si="26"/>
        <v>4.9999999999999822</v>
      </c>
      <c r="V34" s="22">
        <f t="shared" si="25"/>
        <v>59.000000000000028</v>
      </c>
      <c r="W34" s="23">
        <f>T34</f>
        <v>0.49374999999999997</v>
      </c>
      <c r="X34" s="23">
        <f>S35</f>
        <v>0.53541666666666654</v>
      </c>
      <c r="Y34" s="23"/>
      <c r="Z34" s="23"/>
      <c r="AA34" s="164"/>
      <c r="AB34" s="164"/>
      <c r="AC34" s="25"/>
      <c r="AD34" s="25"/>
      <c r="AE34" s="19">
        <f t="shared" si="8"/>
        <v>-95.593220338983883</v>
      </c>
      <c r="AF34" s="21">
        <f t="shared" si="9"/>
        <v>0.96016949152542341</v>
      </c>
      <c r="AG34" s="172"/>
    </row>
    <row r="35" spans="1:33" ht="15.75" customHeight="1">
      <c r="A35" s="193" t="s">
        <v>2195</v>
      </c>
      <c r="B35" s="37" t="s">
        <v>100</v>
      </c>
      <c r="C35" s="190" t="s">
        <v>101</v>
      </c>
      <c r="D35" s="190"/>
      <c r="E35" s="37">
        <v>31.29</v>
      </c>
      <c r="F35" s="4">
        <v>5701</v>
      </c>
      <c r="G35" s="4">
        <f t="shared" si="23"/>
        <v>178384.29</v>
      </c>
      <c r="H35" s="22" t="s">
        <v>139</v>
      </c>
      <c r="I35" s="16">
        <v>18</v>
      </c>
      <c r="J35" s="18">
        <v>2400</v>
      </c>
      <c r="K35" s="17">
        <f t="shared" si="1"/>
        <v>133.33333333333334</v>
      </c>
      <c r="L35" s="16">
        <v>18</v>
      </c>
      <c r="M35" s="18">
        <f t="shared" si="24"/>
        <v>2295.7046979865781</v>
      </c>
      <c r="N35" s="17">
        <f t="shared" si="3"/>
        <v>127.53914988814323</v>
      </c>
      <c r="O35" s="19">
        <f t="shared" si="4"/>
        <v>0</v>
      </c>
      <c r="P35" s="20">
        <f t="shared" si="5"/>
        <v>-5.7941834451901144</v>
      </c>
      <c r="Q35" s="21">
        <f t="shared" si="6"/>
        <v>0.95654362416107419</v>
      </c>
      <c r="R35" s="172"/>
      <c r="S35" s="28">
        <v>0.53541666666666654</v>
      </c>
      <c r="T35" s="28">
        <v>0.63888888888888873</v>
      </c>
      <c r="U35" s="4">
        <f t="shared" si="26"/>
        <v>59.999999999999865</v>
      </c>
      <c r="V35" s="22">
        <f t="shared" si="25"/>
        <v>148.99999999999994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8"/>
        <v>-104.29530201342186</v>
      </c>
      <c r="AF35" s="21">
        <f t="shared" si="9"/>
        <v>0.95654362416107419</v>
      </c>
      <c r="AG35" s="172"/>
    </row>
    <row r="36" spans="1:33" ht="15.75" customHeight="1">
      <c r="A36" s="193" t="s">
        <v>2195</v>
      </c>
      <c r="B36" s="37" t="s">
        <v>100</v>
      </c>
      <c r="C36" s="190" t="s">
        <v>102</v>
      </c>
      <c r="D36" s="190"/>
      <c r="E36" s="37">
        <v>26.2</v>
      </c>
      <c r="F36" s="4">
        <v>2324</v>
      </c>
      <c r="G36" s="4">
        <f t="shared" si="23"/>
        <v>60888.799999999996</v>
      </c>
      <c r="H36" s="22" t="s">
        <v>139</v>
      </c>
      <c r="I36" s="16">
        <v>20</v>
      </c>
      <c r="J36" s="18">
        <v>2400</v>
      </c>
      <c r="K36" s="17">
        <f t="shared" si="1"/>
        <v>120</v>
      </c>
      <c r="L36" s="16">
        <v>20</v>
      </c>
      <c r="M36" s="18">
        <f t="shared" si="24"/>
        <v>2285.9016393442644</v>
      </c>
      <c r="N36" s="17">
        <f t="shared" si="3"/>
        <v>114.29508196721322</v>
      </c>
      <c r="O36" s="19">
        <f t="shared" si="4"/>
        <v>0</v>
      </c>
      <c r="P36" s="20">
        <f t="shared" si="5"/>
        <v>-5.7049180327867788</v>
      </c>
      <c r="Q36" s="21">
        <f t="shared" si="6"/>
        <v>0.95245901639344355</v>
      </c>
      <c r="R36" s="172"/>
      <c r="S36" s="28">
        <v>0.64444444444444426</v>
      </c>
      <c r="T36" s="28">
        <v>0.68680555555555534</v>
      </c>
      <c r="U36" s="4">
        <f t="shared" si="26"/>
        <v>7.9999999999999716</v>
      </c>
      <c r="V36" s="22">
        <f t="shared" si="25"/>
        <v>60.999999999999943</v>
      </c>
      <c r="W36" s="23"/>
      <c r="X36" s="23"/>
      <c r="Y36" s="23"/>
      <c r="Z36" s="23"/>
      <c r="AA36" s="164"/>
      <c r="AB36" s="164"/>
      <c r="AC36" s="25"/>
      <c r="AD36" s="25"/>
      <c r="AE36" s="19">
        <f t="shared" si="8"/>
        <v>-114.09836065573563</v>
      </c>
      <c r="AF36" s="21">
        <f t="shared" si="9"/>
        <v>0.95245901639344344</v>
      </c>
      <c r="AG36" s="172"/>
    </row>
    <row r="37" spans="1:33" ht="15.75" customHeight="1">
      <c r="A37" s="193" t="s">
        <v>2195</v>
      </c>
      <c r="B37" s="37" t="s">
        <v>2190</v>
      </c>
      <c r="C37" s="177"/>
      <c r="D37" s="177"/>
      <c r="E37" s="38"/>
      <c r="F37" s="4"/>
      <c r="G37" s="4"/>
      <c r="H37" s="4"/>
      <c r="I37" s="30">
        <v>18.571428571428573</v>
      </c>
      <c r="J37" s="18">
        <v>2400</v>
      </c>
      <c r="K37" s="17">
        <f t="shared" si="1"/>
        <v>129.23076923076923</v>
      </c>
      <c r="L37" s="30">
        <v>18.571428571428573</v>
      </c>
      <c r="M37" s="18">
        <f>AVERAGE(M30:M36)</f>
        <v>2294.173513712245</v>
      </c>
      <c r="N37" s="17">
        <f t="shared" si="3"/>
        <v>123.53241996912088</v>
      </c>
      <c r="O37" s="19">
        <f t="shared" si="4"/>
        <v>0</v>
      </c>
      <c r="P37" s="20">
        <f t="shared" si="5"/>
        <v>-5.698349261648346</v>
      </c>
      <c r="Q37" s="21">
        <f t="shared" si="6"/>
        <v>0.95590563071343537</v>
      </c>
      <c r="R37" s="172"/>
      <c r="S37" s="28"/>
      <c r="T37" s="28"/>
      <c r="U37" s="4"/>
      <c r="V37" s="22"/>
      <c r="W37" s="4"/>
      <c r="X37" s="4"/>
      <c r="Y37" s="31">
        <f>SUM(Y30:Y36)</f>
        <v>0</v>
      </c>
      <c r="Z37" s="31">
        <f>SUM(Z30:Z36)</f>
        <v>0</v>
      </c>
      <c r="AA37" s="168"/>
      <c r="AB37" s="168"/>
      <c r="AC37" s="31">
        <v>7</v>
      </c>
      <c r="AD37" s="31">
        <f>SUM(AD30:AD36)</f>
        <v>0</v>
      </c>
      <c r="AE37" s="19">
        <f t="shared" si="8"/>
        <v>-105.82648628775496</v>
      </c>
      <c r="AF37" s="21">
        <f t="shared" si="9"/>
        <v>0.95590563071343548</v>
      </c>
      <c r="AG37" s="172"/>
    </row>
    <row r="38" spans="1:33" ht="15.75" customHeight="1">
      <c r="A38" s="191" t="s">
        <v>2196</v>
      </c>
      <c r="B38" s="37" t="s">
        <v>100</v>
      </c>
      <c r="C38" s="165" t="s">
        <v>106</v>
      </c>
      <c r="D38" s="165"/>
      <c r="E38" s="37">
        <v>26.2</v>
      </c>
      <c r="F38" s="4">
        <v>3500</v>
      </c>
      <c r="G38" s="4">
        <f t="shared" ref="G38:G44" si="27">E38*F38</f>
        <v>91700</v>
      </c>
      <c r="H38" s="22">
        <v>2</v>
      </c>
      <c r="I38" s="16">
        <v>18</v>
      </c>
      <c r="J38" s="18">
        <v>2400</v>
      </c>
      <c r="K38" s="17">
        <f t="shared" si="1"/>
        <v>133.33333333333334</v>
      </c>
      <c r="L38" s="16">
        <v>18</v>
      </c>
      <c r="M38" s="18">
        <f t="shared" ref="M38:M44" si="28">F38/V38*60</f>
        <v>2282.608695652174</v>
      </c>
      <c r="N38" s="17">
        <f t="shared" si="3"/>
        <v>126.81159420289856</v>
      </c>
      <c r="O38" s="19">
        <f t="shared" si="4"/>
        <v>0</v>
      </c>
      <c r="P38" s="20">
        <f t="shared" si="5"/>
        <v>-6.5217391304347814</v>
      </c>
      <c r="Q38" s="21">
        <f t="shared" si="6"/>
        <v>0.95108695652173914</v>
      </c>
      <c r="R38" s="172">
        <f>Q45</f>
        <v>0.95545277371381576</v>
      </c>
      <c r="S38" s="28">
        <v>0.125</v>
      </c>
      <c r="T38" s="28">
        <v>0.18888888888888888</v>
      </c>
      <c r="U38" s="4"/>
      <c r="V38" s="22">
        <f t="shared" ref="V38:V44" si="29">(T38-S38)*24*60</f>
        <v>92</v>
      </c>
      <c r="W38" s="28">
        <f>T38</f>
        <v>0.18888888888888888</v>
      </c>
      <c r="X38" s="28">
        <f>S39</f>
        <v>0.20972222222222223</v>
      </c>
      <c r="Y38" s="28"/>
      <c r="Z38" s="28"/>
      <c r="AA38" s="164"/>
      <c r="AB38" s="164"/>
      <c r="AC38" s="25">
        <v>7</v>
      </c>
      <c r="AD38" s="25"/>
      <c r="AE38" s="19">
        <f t="shared" si="8"/>
        <v>-117.39130434782601</v>
      </c>
      <c r="AF38" s="21">
        <f t="shared" si="9"/>
        <v>0.95108695652173914</v>
      </c>
      <c r="AG38" s="172">
        <f>AF45</f>
        <v>0.95545277371381587</v>
      </c>
    </row>
    <row r="39" spans="1:33" ht="15.75" customHeight="1">
      <c r="A39" s="191" t="s">
        <v>2196</v>
      </c>
      <c r="B39" s="37" t="s">
        <v>100</v>
      </c>
      <c r="C39" s="165" t="s">
        <v>104</v>
      </c>
      <c r="D39" s="165"/>
      <c r="E39" s="37">
        <v>20.52</v>
      </c>
      <c r="F39" s="4">
        <v>4462</v>
      </c>
      <c r="G39" s="4">
        <f t="shared" si="27"/>
        <v>91560.24</v>
      </c>
      <c r="H39" s="22" t="s">
        <v>139</v>
      </c>
      <c r="I39" s="16">
        <v>18</v>
      </c>
      <c r="J39" s="18">
        <v>2400</v>
      </c>
      <c r="K39" s="17">
        <f t="shared" si="1"/>
        <v>133.33333333333334</v>
      </c>
      <c r="L39" s="16">
        <v>18</v>
      </c>
      <c r="M39" s="18">
        <f t="shared" si="28"/>
        <v>2288.2051282051279</v>
      </c>
      <c r="N39" s="17">
        <f t="shared" si="3"/>
        <v>127.1225071225071</v>
      </c>
      <c r="O39" s="19">
        <f t="shared" si="4"/>
        <v>0</v>
      </c>
      <c r="P39" s="20">
        <f t="shared" si="5"/>
        <v>-6.2108262108262409</v>
      </c>
      <c r="Q39" s="21">
        <f t="shared" si="6"/>
        <v>0.95341880341880325</v>
      </c>
      <c r="R39" s="172"/>
      <c r="S39" s="28">
        <v>0.20972222222222223</v>
      </c>
      <c r="T39" s="28">
        <v>0.29097222222222224</v>
      </c>
      <c r="U39" s="4">
        <f t="shared" ref="U39:U44" si="30">(S39-T38)*24*60</f>
        <v>30.000000000000014</v>
      </c>
      <c r="V39" s="22">
        <f t="shared" si="29"/>
        <v>117.00000000000003</v>
      </c>
      <c r="W39" s="4"/>
      <c r="X39" s="4"/>
      <c r="Y39" s="4"/>
      <c r="Z39" s="4"/>
      <c r="AA39" s="164"/>
      <c r="AB39" s="164"/>
      <c r="AC39" s="25"/>
      <c r="AD39" s="25"/>
      <c r="AE39" s="19">
        <f t="shared" si="8"/>
        <v>-111.79487179487205</v>
      </c>
      <c r="AF39" s="21">
        <f t="shared" si="9"/>
        <v>0.95341880341880336</v>
      </c>
      <c r="AG39" s="172"/>
    </row>
    <row r="40" spans="1:33">
      <c r="A40" s="192" t="s">
        <v>2196</v>
      </c>
      <c r="B40" s="37" t="s">
        <v>100</v>
      </c>
      <c r="C40" s="165" t="s">
        <v>108</v>
      </c>
      <c r="D40" s="165"/>
      <c r="E40" s="37">
        <v>26.39</v>
      </c>
      <c r="F40" s="4">
        <v>4000</v>
      </c>
      <c r="G40" s="4">
        <f t="shared" si="27"/>
        <v>105560</v>
      </c>
      <c r="H40" s="22">
        <v>2</v>
      </c>
      <c r="I40" s="16">
        <v>19</v>
      </c>
      <c r="J40" s="18">
        <v>2400</v>
      </c>
      <c r="K40" s="17">
        <f t="shared" si="1"/>
        <v>126.31578947368421</v>
      </c>
      <c r="L40" s="16">
        <v>19</v>
      </c>
      <c r="M40" s="18">
        <f t="shared" si="28"/>
        <v>2285.7142857142853</v>
      </c>
      <c r="N40" s="17">
        <f t="shared" si="3"/>
        <v>120.30075187969923</v>
      </c>
      <c r="O40" s="19">
        <f t="shared" si="4"/>
        <v>0</v>
      </c>
      <c r="P40" s="20">
        <f t="shared" si="5"/>
        <v>-6.015037593984971</v>
      </c>
      <c r="Q40" s="21">
        <f t="shared" si="6"/>
        <v>0.95238095238095233</v>
      </c>
      <c r="R40" s="172"/>
      <c r="S40" s="28">
        <v>0.29652777777777778</v>
      </c>
      <c r="T40" s="28">
        <v>0.36944444444444446</v>
      </c>
      <c r="U40" s="4">
        <f t="shared" si="30"/>
        <v>7.9999999999999716</v>
      </c>
      <c r="V40" s="22">
        <f t="shared" si="29"/>
        <v>105.00000000000003</v>
      </c>
      <c r="W40" s="4"/>
      <c r="X40" s="4"/>
      <c r="Y40" s="4"/>
      <c r="Z40" s="4"/>
      <c r="AA40" s="164"/>
      <c r="AB40" s="164"/>
      <c r="AC40" s="25"/>
      <c r="AD40" s="25"/>
      <c r="AE40" s="19">
        <f t="shared" si="8"/>
        <v>-114.28571428571468</v>
      </c>
      <c r="AF40" s="21">
        <f t="shared" si="9"/>
        <v>0.95238095238095222</v>
      </c>
      <c r="AG40" s="172"/>
    </row>
    <row r="41" spans="1:33">
      <c r="A41" s="192" t="s">
        <v>2196</v>
      </c>
      <c r="B41" s="37" t="s">
        <v>100</v>
      </c>
      <c r="C41" s="165" t="s">
        <v>137</v>
      </c>
      <c r="D41" s="165"/>
      <c r="E41" s="37">
        <v>20.21</v>
      </c>
      <c r="F41" s="4">
        <v>3644</v>
      </c>
      <c r="G41" s="4">
        <f t="shared" si="27"/>
        <v>73645.240000000005</v>
      </c>
      <c r="H41" s="22" t="s">
        <v>139</v>
      </c>
      <c r="I41" s="16">
        <v>15</v>
      </c>
      <c r="J41" s="18">
        <v>2400</v>
      </c>
      <c r="K41" s="17">
        <f t="shared" si="1"/>
        <v>160</v>
      </c>
      <c r="L41" s="16">
        <v>15</v>
      </c>
      <c r="M41" s="18">
        <f t="shared" si="28"/>
        <v>2301.4736842105267</v>
      </c>
      <c r="N41" s="17">
        <f t="shared" si="3"/>
        <v>153.43157894736845</v>
      </c>
      <c r="O41" s="19">
        <f t="shared" si="4"/>
        <v>0</v>
      </c>
      <c r="P41" s="20">
        <f t="shared" si="5"/>
        <v>-6.5684210526315496</v>
      </c>
      <c r="Q41" s="21">
        <f t="shared" si="6"/>
        <v>0.95894736842105277</v>
      </c>
      <c r="R41" s="172"/>
      <c r="S41" s="28">
        <v>0.37291666666666667</v>
      </c>
      <c r="T41" s="28">
        <v>0.43888888888888888</v>
      </c>
      <c r="U41" s="4">
        <f t="shared" si="30"/>
        <v>4.9999999999999822</v>
      </c>
      <c r="V41" s="22">
        <f t="shared" si="29"/>
        <v>94.999999999999986</v>
      </c>
      <c r="W41" s="23"/>
      <c r="X41" s="23"/>
      <c r="Y41" s="23"/>
      <c r="Z41" s="23"/>
      <c r="AA41" s="164"/>
      <c r="AB41" s="164"/>
      <c r="AC41" s="25"/>
      <c r="AD41" s="25"/>
      <c r="AE41" s="19">
        <f t="shared" si="8"/>
        <v>-98.526315789473301</v>
      </c>
      <c r="AF41" s="21">
        <f t="shared" si="9"/>
        <v>0.95894736842105277</v>
      </c>
      <c r="AG41" s="172"/>
    </row>
    <row r="42" spans="1:33">
      <c r="A42" s="192" t="s">
        <v>2196</v>
      </c>
      <c r="B42" s="37" t="s">
        <v>100</v>
      </c>
      <c r="C42" s="165" t="s">
        <v>134</v>
      </c>
      <c r="D42" s="165"/>
      <c r="E42" s="37">
        <v>20.52</v>
      </c>
      <c r="F42" s="4">
        <v>3411</v>
      </c>
      <c r="G42" s="4">
        <f t="shared" si="27"/>
        <v>69993.72</v>
      </c>
      <c r="H42" s="22" t="s">
        <v>139</v>
      </c>
      <c r="I42" s="16">
        <v>18</v>
      </c>
      <c r="J42" s="18">
        <v>2400</v>
      </c>
      <c r="K42" s="17">
        <f t="shared" si="1"/>
        <v>133.33333333333334</v>
      </c>
      <c r="L42" s="16">
        <v>18</v>
      </c>
      <c r="M42" s="18">
        <f t="shared" si="28"/>
        <v>2299.5505617977528</v>
      </c>
      <c r="N42" s="17">
        <f t="shared" si="3"/>
        <v>127.75280898876404</v>
      </c>
      <c r="O42" s="19">
        <f t="shared" si="4"/>
        <v>0</v>
      </c>
      <c r="P42" s="20">
        <f t="shared" si="5"/>
        <v>-5.580524344569298</v>
      </c>
      <c r="Q42" s="21">
        <f t="shared" si="6"/>
        <v>0.95814606741573027</v>
      </c>
      <c r="R42" s="172"/>
      <c r="S42" s="28">
        <v>0.44444444444444442</v>
      </c>
      <c r="T42" s="28">
        <v>0.50624999999999998</v>
      </c>
      <c r="U42" s="4">
        <f t="shared" si="30"/>
        <v>7.9999999999999716</v>
      </c>
      <c r="V42" s="22">
        <f t="shared" si="29"/>
        <v>89</v>
      </c>
      <c r="W42" s="23">
        <f>T42</f>
        <v>0.50624999999999998</v>
      </c>
      <c r="X42" s="23">
        <f>S43</f>
        <v>0.54652777777777772</v>
      </c>
      <c r="Y42" s="23"/>
      <c r="Z42" s="23"/>
      <c r="AA42" s="164"/>
      <c r="AB42" s="164"/>
      <c r="AC42" s="25"/>
      <c r="AD42" s="25"/>
      <c r="AE42" s="19">
        <f t="shared" si="8"/>
        <v>-100.44943820224717</v>
      </c>
      <c r="AF42" s="21">
        <f t="shared" si="9"/>
        <v>0.95814606741573038</v>
      </c>
      <c r="AG42" s="172"/>
    </row>
    <row r="43" spans="1:33">
      <c r="A43" s="192" t="s">
        <v>2196</v>
      </c>
      <c r="B43" s="37" t="s">
        <v>100</v>
      </c>
      <c r="C43" s="165" t="s">
        <v>106</v>
      </c>
      <c r="D43" s="165"/>
      <c r="E43" s="37">
        <v>26.2</v>
      </c>
      <c r="F43" s="4">
        <v>4636</v>
      </c>
      <c r="G43" s="4">
        <f t="shared" si="27"/>
        <v>121463.2</v>
      </c>
      <c r="H43" s="22" t="s">
        <v>139</v>
      </c>
      <c r="I43" s="16">
        <v>18</v>
      </c>
      <c r="J43" s="18">
        <v>2400</v>
      </c>
      <c r="K43" s="17">
        <f t="shared" si="1"/>
        <v>133.33333333333334</v>
      </c>
      <c r="L43" s="16">
        <v>18</v>
      </c>
      <c r="M43" s="18">
        <f t="shared" si="28"/>
        <v>2298.8429752066104</v>
      </c>
      <c r="N43" s="17">
        <f t="shared" si="3"/>
        <v>127.71349862258947</v>
      </c>
      <c r="O43" s="19">
        <f t="shared" si="4"/>
        <v>0</v>
      </c>
      <c r="P43" s="20">
        <f t="shared" si="5"/>
        <v>-5.6198347107438735</v>
      </c>
      <c r="Q43" s="21">
        <f t="shared" si="6"/>
        <v>0.95785123966942098</v>
      </c>
      <c r="R43" s="172"/>
      <c r="S43" s="28">
        <v>0.54652777777777772</v>
      </c>
      <c r="T43" s="28">
        <v>0.63055555555555554</v>
      </c>
      <c r="U43" s="4">
        <f t="shared" si="30"/>
        <v>57.999999999999957</v>
      </c>
      <c r="V43" s="22">
        <f t="shared" si="29"/>
        <v>121.00000000000006</v>
      </c>
      <c r="W43" s="23"/>
      <c r="X43" s="23"/>
      <c r="Y43" s="23"/>
      <c r="Z43" s="23"/>
      <c r="AA43" s="164"/>
      <c r="AB43" s="164"/>
      <c r="AC43" s="25"/>
      <c r="AD43" s="25"/>
      <c r="AE43" s="19">
        <f t="shared" si="8"/>
        <v>-101.15702479338961</v>
      </c>
      <c r="AF43" s="21">
        <f t="shared" si="9"/>
        <v>0.95785123966942098</v>
      </c>
      <c r="AG43" s="172"/>
    </row>
    <row r="44" spans="1:33">
      <c r="A44" s="192" t="s">
        <v>2196</v>
      </c>
      <c r="B44" s="37" t="s">
        <v>100</v>
      </c>
      <c r="C44" s="165" t="s">
        <v>108</v>
      </c>
      <c r="D44" s="165"/>
      <c r="E44" s="37">
        <v>26.39</v>
      </c>
      <c r="F44" s="4">
        <v>2716</v>
      </c>
      <c r="G44" s="4">
        <f t="shared" si="27"/>
        <v>71675.240000000005</v>
      </c>
      <c r="H44" s="22" t="s">
        <v>139</v>
      </c>
      <c r="I44" s="16">
        <v>19</v>
      </c>
      <c r="J44" s="18">
        <v>2400</v>
      </c>
      <c r="K44" s="17">
        <f t="shared" si="1"/>
        <v>126.31578947368421</v>
      </c>
      <c r="L44" s="16">
        <v>19</v>
      </c>
      <c r="M44" s="18">
        <f t="shared" si="28"/>
        <v>2295.2112676056313</v>
      </c>
      <c r="N44" s="17">
        <f t="shared" si="3"/>
        <v>120.80059303187534</v>
      </c>
      <c r="O44" s="19">
        <f t="shared" si="4"/>
        <v>0</v>
      </c>
      <c r="P44" s="20">
        <f t="shared" si="5"/>
        <v>-5.5151964418088681</v>
      </c>
      <c r="Q44" s="21">
        <f t="shared" si="6"/>
        <v>0.95633802816901314</v>
      </c>
      <c r="R44" s="172"/>
      <c r="S44" s="28">
        <v>0.63611111111111107</v>
      </c>
      <c r="T44" s="28">
        <v>0.68541666666666667</v>
      </c>
      <c r="U44" s="4">
        <f t="shared" si="30"/>
        <v>7.9999999999999716</v>
      </c>
      <c r="V44" s="22">
        <f t="shared" si="29"/>
        <v>71.000000000000071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-104.78873239436871</v>
      </c>
      <c r="AF44" s="21">
        <f t="shared" si="9"/>
        <v>0.95633802816901303</v>
      </c>
      <c r="AG44" s="172"/>
    </row>
    <row r="45" spans="1:33">
      <c r="A45" s="192" t="s">
        <v>2196</v>
      </c>
      <c r="B45" s="17" t="s">
        <v>2190</v>
      </c>
      <c r="C45" s="177"/>
      <c r="D45" s="177"/>
      <c r="E45" s="38"/>
      <c r="F45" s="17"/>
      <c r="G45" s="17"/>
      <c r="H45" s="4"/>
      <c r="I45" s="30">
        <v>17.857142857142858</v>
      </c>
      <c r="J45" s="18">
        <v>2400</v>
      </c>
      <c r="K45" s="17">
        <f t="shared" si="1"/>
        <v>134.4</v>
      </c>
      <c r="L45" s="30">
        <v>17.857142857142858</v>
      </c>
      <c r="M45" s="18">
        <f>AVERAGE(M38:M44)</f>
        <v>2293.0866569131581</v>
      </c>
      <c r="N45" s="17">
        <f t="shared" si="3"/>
        <v>128.41285278713684</v>
      </c>
      <c r="O45" s="19">
        <f t="shared" si="4"/>
        <v>0</v>
      </c>
      <c r="P45" s="20">
        <f t="shared" si="5"/>
        <v>-5.9871472128631638</v>
      </c>
      <c r="Q45" s="21">
        <f t="shared" si="6"/>
        <v>0.95545277371381576</v>
      </c>
      <c r="R45" s="172"/>
      <c r="S45" s="28"/>
      <c r="T45" s="28"/>
      <c r="U45" s="17"/>
      <c r="V45" s="22"/>
      <c r="W45" s="17"/>
      <c r="X45" s="17"/>
      <c r="Y45" s="31">
        <f>SUM(Y38:Y44)</f>
        <v>0</v>
      </c>
      <c r="Z45" s="31">
        <f>SUM(Z38:Z44)</f>
        <v>0</v>
      </c>
      <c r="AA45" s="168"/>
      <c r="AB45" s="168"/>
      <c r="AC45" s="31">
        <v>7</v>
      </c>
      <c r="AD45" s="31">
        <f>SUM(AD38:AD44)</f>
        <v>0</v>
      </c>
      <c r="AE45" s="19">
        <f t="shared" si="8"/>
        <v>-106.91334308684191</v>
      </c>
      <c r="AF45" s="21">
        <f t="shared" si="9"/>
        <v>0.95545277371381587</v>
      </c>
      <c r="AG45" s="172"/>
    </row>
    <row r="46" spans="1:33" ht="15.75" customHeight="1">
      <c r="A46" s="184" t="s">
        <v>2197</v>
      </c>
      <c r="B46" s="37" t="s">
        <v>111</v>
      </c>
      <c r="C46" s="173" t="s">
        <v>403</v>
      </c>
      <c r="D46" s="174"/>
      <c r="E46" s="37">
        <v>34.36</v>
      </c>
      <c r="F46" s="4">
        <v>2821</v>
      </c>
      <c r="G46" s="4">
        <f t="shared" ref="G46:G55" si="31">E46*F46</f>
        <v>96929.56</v>
      </c>
      <c r="H46" s="22" t="s">
        <v>139</v>
      </c>
      <c r="I46" s="16">
        <v>10</v>
      </c>
      <c r="J46" s="18">
        <v>3000</v>
      </c>
      <c r="K46" s="17">
        <f t="shared" si="1"/>
        <v>300</v>
      </c>
      <c r="L46" s="16">
        <v>10</v>
      </c>
      <c r="M46" s="18">
        <f t="shared" ref="M46:M55" si="32">F46/V46*60</f>
        <v>2868.8135593220341</v>
      </c>
      <c r="N46" s="18">
        <f t="shared" si="3"/>
        <v>286.88135593220341</v>
      </c>
      <c r="O46" s="19">
        <f t="shared" si="4"/>
        <v>0</v>
      </c>
      <c r="P46" s="20">
        <f t="shared" si="5"/>
        <v>-13.118644067796595</v>
      </c>
      <c r="Q46" s="21">
        <f t="shared" si="6"/>
        <v>0.95627118644067799</v>
      </c>
      <c r="R46" s="187">
        <f>Q56</f>
        <v>0.95763218349518964</v>
      </c>
      <c r="S46" s="28">
        <v>0.20833333333333334</v>
      </c>
      <c r="T46" s="28">
        <v>0.24930555555555556</v>
      </c>
      <c r="U46" s="28"/>
      <c r="V46" s="22">
        <f t="shared" ref="V46:V55" si="33">(T46-S46)*24*60</f>
        <v>58.999999999999993</v>
      </c>
      <c r="W46" s="23"/>
      <c r="X46" s="23"/>
      <c r="Y46" s="26"/>
      <c r="Z46" s="26"/>
      <c r="AA46" s="175"/>
      <c r="AB46" s="176"/>
      <c r="AC46" s="25">
        <v>10</v>
      </c>
      <c r="AD46" s="25"/>
      <c r="AE46" s="19">
        <f t="shared" si="8"/>
        <v>-131.18644067796595</v>
      </c>
      <c r="AF46" s="21">
        <f t="shared" si="9"/>
        <v>0.95627118644067799</v>
      </c>
      <c r="AG46" s="187">
        <f>AF56</f>
        <v>0.95763218349518953</v>
      </c>
    </row>
    <row r="47" spans="1:33" ht="15.75" customHeight="1">
      <c r="A47" s="185" t="s">
        <v>2197</v>
      </c>
      <c r="B47" s="37" t="s">
        <v>111</v>
      </c>
      <c r="C47" s="173" t="s">
        <v>114</v>
      </c>
      <c r="D47" s="174"/>
      <c r="E47" s="37">
        <v>35.119999999999997</v>
      </c>
      <c r="F47" s="4">
        <v>3700</v>
      </c>
      <c r="G47" s="4">
        <f t="shared" si="31"/>
        <v>129943.99999999999</v>
      </c>
      <c r="H47" s="22">
        <v>2</v>
      </c>
      <c r="I47" s="16">
        <v>10</v>
      </c>
      <c r="J47" s="18">
        <v>3000</v>
      </c>
      <c r="K47" s="17">
        <f t="shared" si="1"/>
        <v>300</v>
      </c>
      <c r="L47" s="16">
        <v>10</v>
      </c>
      <c r="M47" s="18">
        <f t="shared" si="32"/>
        <v>2883.1168831168816</v>
      </c>
      <c r="N47" s="18">
        <f t="shared" si="3"/>
        <v>288.31168831168816</v>
      </c>
      <c r="O47" s="19">
        <f t="shared" si="4"/>
        <v>0</v>
      </c>
      <c r="P47" s="20">
        <f t="shared" si="5"/>
        <v>-11.688311688311842</v>
      </c>
      <c r="Q47" s="21">
        <f t="shared" si="6"/>
        <v>0.96103896103896058</v>
      </c>
      <c r="R47" s="188"/>
      <c r="S47" s="28">
        <v>0.25416666666666665</v>
      </c>
      <c r="T47" s="28">
        <v>0.30763888888888891</v>
      </c>
      <c r="U47" s="4">
        <f t="shared" ref="U47:U55" si="34">(S47-T46)*24*60</f>
        <v>6.9999999999999751</v>
      </c>
      <c r="V47" s="22">
        <f t="shared" si="33"/>
        <v>77.000000000000043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8"/>
        <v>-116.88311688311842</v>
      </c>
      <c r="AF47" s="21">
        <f t="shared" si="9"/>
        <v>0.96103896103896058</v>
      </c>
      <c r="AG47" s="188"/>
    </row>
    <row r="48" spans="1:33" ht="15.75" customHeight="1">
      <c r="A48" s="185" t="s">
        <v>2197</v>
      </c>
      <c r="B48" s="37" t="s">
        <v>111</v>
      </c>
      <c r="C48" s="173" t="s">
        <v>115</v>
      </c>
      <c r="D48" s="174"/>
      <c r="E48" s="37">
        <v>26.78</v>
      </c>
      <c r="F48" s="4">
        <v>3062</v>
      </c>
      <c r="G48" s="4">
        <f t="shared" si="31"/>
        <v>82000.36</v>
      </c>
      <c r="H48" s="22" t="s">
        <v>139</v>
      </c>
      <c r="I48" s="16">
        <v>10</v>
      </c>
      <c r="J48" s="18">
        <v>3000</v>
      </c>
      <c r="K48" s="17">
        <f t="shared" si="1"/>
        <v>300</v>
      </c>
      <c r="L48" s="16">
        <v>10</v>
      </c>
      <c r="M48" s="18">
        <f t="shared" si="32"/>
        <v>2870.6249999999995</v>
      </c>
      <c r="N48" s="18">
        <f t="shared" si="3"/>
        <v>287.06249999999994</v>
      </c>
      <c r="O48" s="19">
        <f t="shared" si="4"/>
        <v>0</v>
      </c>
      <c r="P48" s="20">
        <f t="shared" si="5"/>
        <v>-12.937500000000057</v>
      </c>
      <c r="Q48" s="21">
        <f t="shared" si="6"/>
        <v>0.95687499999999981</v>
      </c>
      <c r="R48" s="188"/>
      <c r="S48" s="28">
        <v>0.31319444444444444</v>
      </c>
      <c r="T48" s="28">
        <v>0.3576388888888889</v>
      </c>
      <c r="U48" s="4">
        <f t="shared" si="34"/>
        <v>7.9999999999999716</v>
      </c>
      <c r="V48" s="22">
        <f t="shared" si="33"/>
        <v>64.000000000000014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-129.37500000000045</v>
      </c>
      <c r="AF48" s="21">
        <f t="shared" si="9"/>
        <v>0.95687499999999981</v>
      </c>
      <c r="AG48" s="188"/>
    </row>
    <row r="49" spans="1:33" ht="15.75" customHeight="1">
      <c r="A49" s="185" t="s">
        <v>2197</v>
      </c>
      <c r="B49" s="37" t="s">
        <v>111</v>
      </c>
      <c r="C49" s="173" t="s">
        <v>112</v>
      </c>
      <c r="D49" s="174"/>
      <c r="E49" s="37">
        <v>21.13</v>
      </c>
      <c r="F49" s="4">
        <v>3300</v>
      </c>
      <c r="G49" s="4">
        <f t="shared" si="31"/>
        <v>69729</v>
      </c>
      <c r="H49" s="22">
        <v>2</v>
      </c>
      <c r="I49" s="16">
        <v>10</v>
      </c>
      <c r="J49" s="18">
        <v>3000</v>
      </c>
      <c r="K49" s="17">
        <f t="shared" si="1"/>
        <v>300</v>
      </c>
      <c r="L49" s="16">
        <v>10</v>
      </c>
      <c r="M49" s="18">
        <f t="shared" si="32"/>
        <v>2869.5652173913045</v>
      </c>
      <c r="N49" s="18">
        <f t="shared" si="3"/>
        <v>286.95652173913044</v>
      </c>
      <c r="O49" s="19">
        <f t="shared" si="4"/>
        <v>0</v>
      </c>
      <c r="P49" s="20">
        <f t="shared" si="5"/>
        <v>-13.043478260869563</v>
      </c>
      <c r="Q49" s="21">
        <f t="shared" si="6"/>
        <v>0.95652173913043481</v>
      </c>
      <c r="R49" s="188"/>
      <c r="S49" s="28">
        <v>0.3611111111111111</v>
      </c>
      <c r="T49" s="28">
        <v>0.40902777777777777</v>
      </c>
      <c r="U49" s="4">
        <f t="shared" si="34"/>
        <v>4.9999999999999822</v>
      </c>
      <c r="V49" s="22">
        <f t="shared" si="33"/>
        <v>69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-130.43478260869551</v>
      </c>
      <c r="AF49" s="21">
        <f t="shared" si="9"/>
        <v>0.95652173913043481</v>
      </c>
      <c r="AG49" s="188"/>
    </row>
    <row r="50" spans="1:33" ht="15.75" customHeight="1">
      <c r="A50" s="185" t="s">
        <v>2197</v>
      </c>
      <c r="B50" s="37" t="s">
        <v>111</v>
      </c>
      <c r="C50" s="173" t="s">
        <v>113</v>
      </c>
      <c r="D50" s="174"/>
      <c r="E50" s="37">
        <v>27.17</v>
      </c>
      <c r="F50" s="4">
        <v>4500</v>
      </c>
      <c r="G50" s="4">
        <f t="shared" si="31"/>
        <v>122265.00000000001</v>
      </c>
      <c r="H50" s="22">
        <v>2</v>
      </c>
      <c r="I50" s="16">
        <v>10</v>
      </c>
      <c r="J50" s="18">
        <v>3000</v>
      </c>
      <c r="K50" s="17">
        <f t="shared" si="1"/>
        <v>300</v>
      </c>
      <c r="L50" s="16">
        <v>10</v>
      </c>
      <c r="M50" s="18">
        <f t="shared" si="32"/>
        <v>2872.3404255319156</v>
      </c>
      <c r="N50" s="18">
        <f t="shared" si="3"/>
        <v>287.23404255319156</v>
      </c>
      <c r="O50" s="19">
        <f t="shared" si="4"/>
        <v>0</v>
      </c>
      <c r="P50" s="20">
        <f t="shared" si="5"/>
        <v>-12.765957446808443</v>
      </c>
      <c r="Q50" s="21">
        <f t="shared" si="6"/>
        <v>0.95744680851063857</v>
      </c>
      <c r="R50" s="188"/>
      <c r="S50" s="28">
        <v>0.41249999999999998</v>
      </c>
      <c r="T50" s="28">
        <v>0.47777777777777775</v>
      </c>
      <c r="U50" s="4">
        <f t="shared" si="34"/>
        <v>4.9999999999999822</v>
      </c>
      <c r="V50" s="22">
        <f t="shared" si="33"/>
        <v>93.999999999999986</v>
      </c>
      <c r="W50" s="23"/>
      <c r="X50" s="23"/>
      <c r="Y50" s="26"/>
      <c r="Z50" s="26"/>
      <c r="AA50" s="175"/>
      <c r="AB50" s="176"/>
      <c r="AC50" s="25"/>
      <c r="AD50" s="25"/>
      <c r="AE50" s="19">
        <f t="shared" si="8"/>
        <v>-127.65957446808443</v>
      </c>
      <c r="AF50" s="21">
        <f t="shared" si="9"/>
        <v>0.95744680851063857</v>
      </c>
      <c r="AG50" s="188"/>
    </row>
    <row r="51" spans="1:33" ht="15.75" customHeight="1">
      <c r="A51" s="185" t="s">
        <v>2197</v>
      </c>
      <c r="B51" s="37" t="s">
        <v>111</v>
      </c>
      <c r="C51" s="173" t="s">
        <v>116</v>
      </c>
      <c r="D51" s="174"/>
      <c r="E51" s="37">
        <v>35.869999999999997</v>
      </c>
      <c r="F51" s="4">
        <v>2000</v>
      </c>
      <c r="G51" s="4">
        <f t="shared" si="31"/>
        <v>71740</v>
      </c>
      <c r="H51" s="22">
        <v>2</v>
      </c>
      <c r="I51" s="16">
        <v>9</v>
      </c>
      <c r="J51" s="18">
        <v>3000</v>
      </c>
      <c r="K51" s="17">
        <f t="shared" si="1"/>
        <v>333.33333333333331</v>
      </c>
      <c r="L51" s="16">
        <v>9</v>
      </c>
      <c r="M51" s="18">
        <f t="shared" si="32"/>
        <v>2857.1428571428564</v>
      </c>
      <c r="N51" s="18">
        <f t="shared" si="3"/>
        <v>317.46031746031736</v>
      </c>
      <c r="O51" s="19">
        <f t="shared" si="4"/>
        <v>0</v>
      </c>
      <c r="P51" s="20">
        <f t="shared" si="5"/>
        <v>-15.873015873015959</v>
      </c>
      <c r="Q51" s="21">
        <f t="shared" si="6"/>
        <v>0.95238095238095211</v>
      </c>
      <c r="R51" s="188"/>
      <c r="S51" s="28">
        <v>0.4819444444444444</v>
      </c>
      <c r="T51" s="28">
        <v>0.51111111111111107</v>
      </c>
      <c r="U51" s="4">
        <f t="shared" si="34"/>
        <v>5.9999999999999787</v>
      </c>
      <c r="V51" s="22">
        <f t="shared" si="33"/>
        <v>42.000000000000014</v>
      </c>
      <c r="W51" s="23">
        <f>T51</f>
        <v>0.51111111111111107</v>
      </c>
      <c r="X51" s="23">
        <f>S52</f>
        <v>0.55069444444444438</v>
      </c>
      <c r="Y51" s="26"/>
      <c r="Z51" s="26"/>
      <c r="AA51" s="175"/>
      <c r="AB51" s="176"/>
      <c r="AC51" s="25"/>
      <c r="AD51" s="25"/>
      <c r="AE51" s="19">
        <f t="shared" si="8"/>
        <v>-142.85714285714357</v>
      </c>
      <c r="AF51" s="21">
        <f t="shared" si="9"/>
        <v>0.95238095238095211</v>
      </c>
      <c r="AG51" s="188"/>
    </row>
    <row r="52" spans="1:33" ht="15.75" customHeight="1">
      <c r="A52" s="185" t="s">
        <v>2197</v>
      </c>
      <c r="B52" s="37" t="s">
        <v>111</v>
      </c>
      <c r="C52" s="173" t="s">
        <v>116</v>
      </c>
      <c r="D52" s="174"/>
      <c r="E52" s="37">
        <v>35.869999999999997</v>
      </c>
      <c r="F52" s="4">
        <v>2196</v>
      </c>
      <c r="G52" s="4">
        <f t="shared" si="31"/>
        <v>78770.51999999999</v>
      </c>
      <c r="H52" s="22" t="s">
        <v>139</v>
      </c>
      <c r="I52" s="16">
        <v>9</v>
      </c>
      <c r="J52" s="18">
        <v>3000</v>
      </c>
      <c r="K52" s="17">
        <f t="shared" si="1"/>
        <v>333.33333333333331</v>
      </c>
      <c r="L52" s="16">
        <v>9</v>
      </c>
      <c r="M52" s="18">
        <f t="shared" si="32"/>
        <v>2864.3478260869565</v>
      </c>
      <c r="N52" s="18">
        <f t="shared" si="3"/>
        <v>318.26086956521738</v>
      </c>
      <c r="O52" s="19">
        <f t="shared" si="4"/>
        <v>0</v>
      </c>
      <c r="P52" s="20">
        <f t="shared" si="5"/>
        <v>-15.072463768115938</v>
      </c>
      <c r="Q52" s="21">
        <f t="shared" si="6"/>
        <v>0.95478260869565224</v>
      </c>
      <c r="R52" s="188"/>
      <c r="S52" s="28">
        <v>0.55069444444444438</v>
      </c>
      <c r="T52" s="28">
        <v>0.58263888888888882</v>
      </c>
      <c r="U52" s="4">
        <f t="shared" si="34"/>
        <v>56.999999999999957</v>
      </c>
      <c r="V52" s="22">
        <f t="shared" si="33"/>
        <v>46</v>
      </c>
      <c r="W52" s="23"/>
      <c r="X52" s="23"/>
      <c r="Y52" s="26"/>
      <c r="Z52" s="26"/>
      <c r="AA52" s="175"/>
      <c r="AB52" s="176"/>
      <c r="AC52" s="25"/>
      <c r="AD52" s="25"/>
      <c r="AE52" s="19">
        <f t="shared" si="8"/>
        <v>-135.6521739130435</v>
      </c>
      <c r="AF52" s="21">
        <f t="shared" si="9"/>
        <v>0.95478260869565212</v>
      </c>
      <c r="AG52" s="188"/>
    </row>
    <row r="53" spans="1:33" ht="15.75" customHeight="1">
      <c r="A53" s="185" t="s">
        <v>2197</v>
      </c>
      <c r="B53" s="37" t="s">
        <v>111</v>
      </c>
      <c r="C53" s="173" t="s">
        <v>112</v>
      </c>
      <c r="D53" s="174"/>
      <c r="E53" s="37">
        <v>21.13</v>
      </c>
      <c r="F53" s="4">
        <v>2293</v>
      </c>
      <c r="G53" s="4">
        <f t="shared" si="31"/>
        <v>48451.09</v>
      </c>
      <c r="H53" s="22" t="s">
        <v>139</v>
      </c>
      <c r="I53" s="16">
        <v>10</v>
      </c>
      <c r="J53" s="18">
        <v>3000</v>
      </c>
      <c r="K53" s="17">
        <f t="shared" si="1"/>
        <v>300</v>
      </c>
      <c r="L53" s="16">
        <v>10</v>
      </c>
      <c r="M53" s="18">
        <f t="shared" si="32"/>
        <v>2866.2500000000009</v>
      </c>
      <c r="N53" s="18">
        <f t="shared" si="3"/>
        <v>286.62500000000011</v>
      </c>
      <c r="O53" s="19">
        <f t="shared" si="4"/>
        <v>0</v>
      </c>
      <c r="P53" s="20">
        <f t="shared" si="5"/>
        <v>-13.374999999999886</v>
      </c>
      <c r="Q53" s="21">
        <f t="shared" si="6"/>
        <v>0.95541666666666702</v>
      </c>
      <c r="R53" s="188"/>
      <c r="S53" s="28">
        <v>0.58819444444444435</v>
      </c>
      <c r="T53" s="28">
        <v>0.62152777777777768</v>
      </c>
      <c r="U53" s="4">
        <f t="shared" si="34"/>
        <v>7.9999999999999716</v>
      </c>
      <c r="V53" s="22">
        <f t="shared" si="33"/>
        <v>47.999999999999986</v>
      </c>
      <c r="W53" s="23"/>
      <c r="X53" s="23"/>
      <c r="Y53" s="26"/>
      <c r="Z53" s="26"/>
      <c r="AA53" s="175"/>
      <c r="AB53" s="176"/>
      <c r="AC53" s="25"/>
      <c r="AD53" s="25"/>
      <c r="AE53" s="19">
        <f t="shared" si="8"/>
        <v>-133.74999999999909</v>
      </c>
      <c r="AF53" s="21">
        <f t="shared" si="9"/>
        <v>0.95541666666666702</v>
      </c>
      <c r="AG53" s="188"/>
    </row>
    <row r="54" spans="1:33" ht="15.75" customHeight="1">
      <c r="A54" s="185" t="s">
        <v>2197</v>
      </c>
      <c r="B54" s="37" t="s">
        <v>111</v>
      </c>
      <c r="C54" s="173" t="s">
        <v>113</v>
      </c>
      <c r="D54" s="174"/>
      <c r="E54" s="37">
        <v>27.17</v>
      </c>
      <c r="F54" s="4">
        <v>3137</v>
      </c>
      <c r="G54" s="4">
        <f t="shared" si="31"/>
        <v>85232.290000000008</v>
      </c>
      <c r="H54" s="22" t="s">
        <v>139</v>
      </c>
      <c r="I54" s="16">
        <v>10</v>
      </c>
      <c r="J54" s="18">
        <v>3000</v>
      </c>
      <c r="K54" s="17">
        <f t="shared" si="1"/>
        <v>300</v>
      </c>
      <c r="L54" s="16">
        <v>10</v>
      </c>
      <c r="M54" s="18">
        <f t="shared" si="32"/>
        <v>2895.6923076923108</v>
      </c>
      <c r="N54" s="18">
        <f t="shared" si="3"/>
        <v>289.56923076923107</v>
      </c>
      <c r="O54" s="19">
        <f t="shared" si="4"/>
        <v>0</v>
      </c>
      <c r="P54" s="20">
        <f t="shared" si="5"/>
        <v>-10.430769230768931</v>
      </c>
      <c r="Q54" s="21">
        <f t="shared" si="6"/>
        <v>0.96523076923077022</v>
      </c>
      <c r="R54" s="188"/>
      <c r="S54" s="28">
        <v>0.62708333333333321</v>
      </c>
      <c r="T54" s="28">
        <v>0.67222222222222205</v>
      </c>
      <c r="U54" s="4">
        <f t="shared" si="34"/>
        <v>7.9999999999999716</v>
      </c>
      <c r="V54" s="22">
        <f t="shared" si="33"/>
        <v>64.999999999999929</v>
      </c>
      <c r="W54" s="23"/>
      <c r="X54" s="23"/>
      <c r="Y54" s="26"/>
      <c r="Z54" s="26"/>
      <c r="AA54" s="175"/>
      <c r="AB54" s="176"/>
      <c r="AC54" s="25"/>
      <c r="AD54" s="25"/>
      <c r="AE54" s="19">
        <f t="shared" si="8"/>
        <v>-104.30769230768919</v>
      </c>
      <c r="AF54" s="21">
        <f t="shared" si="9"/>
        <v>0.96523076923077022</v>
      </c>
      <c r="AG54" s="188"/>
    </row>
    <row r="55" spans="1:33" ht="15.75" customHeight="1">
      <c r="A55" s="185" t="s">
        <v>2197</v>
      </c>
      <c r="B55" s="37" t="s">
        <v>111</v>
      </c>
      <c r="C55" s="173" t="s">
        <v>114</v>
      </c>
      <c r="D55" s="174"/>
      <c r="E55" s="37">
        <v>35.119999999999997</v>
      </c>
      <c r="F55" s="4">
        <v>2689</v>
      </c>
      <c r="G55" s="4">
        <f t="shared" si="31"/>
        <v>94437.68</v>
      </c>
      <c r="H55" s="22" t="s">
        <v>139</v>
      </c>
      <c r="I55" s="16">
        <v>10</v>
      </c>
      <c r="J55" s="18">
        <v>3000</v>
      </c>
      <c r="K55" s="17">
        <f t="shared" si="1"/>
        <v>300</v>
      </c>
      <c r="L55" s="16">
        <v>10</v>
      </c>
      <c r="M55" s="18">
        <f t="shared" si="32"/>
        <v>2881.0714285714307</v>
      </c>
      <c r="N55" s="18">
        <f t="shared" si="3"/>
        <v>288.10714285714306</v>
      </c>
      <c r="O55" s="19">
        <f t="shared" si="4"/>
        <v>0</v>
      </c>
      <c r="P55" s="20">
        <f t="shared" si="5"/>
        <v>-11.89285714285694</v>
      </c>
      <c r="Q55" s="21">
        <f t="shared" si="6"/>
        <v>0.96035714285714358</v>
      </c>
      <c r="R55" s="188"/>
      <c r="S55" s="28">
        <v>0.67638888888888871</v>
      </c>
      <c r="T55" s="28">
        <v>0.71527777777777757</v>
      </c>
      <c r="U55" s="4">
        <f t="shared" si="34"/>
        <v>5.9999999999999787</v>
      </c>
      <c r="V55" s="22">
        <f t="shared" si="33"/>
        <v>55.999999999999957</v>
      </c>
      <c r="W55" s="23"/>
      <c r="X55" s="23"/>
      <c r="Y55" s="26"/>
      <c r="Z55" s="26"/>
      <c r="AA55" s="175"/>
      <c r="AB55" s="176"/>
      <c r="AC55" s="25"/>
      <c r="AD55" s="25"/>
      <c r="AE55" s="19">
        <f t="shared" si="8"/>
        <v>-118.92857142856928</v>
      </c>
      <c r="AF55" s="21">
        <f t="shared" si="9"/>
        <v>0.96035714285714358</v>
      </c>
      <c r="AG55" s="188"/>
    </row>
    <row r="56" spans="1:33" ht="15.75" customHeight="1">
      <c r="A56" s="186" t="s">
        <v>2197</v>
      </c>
      <c r="B56" s="37" t="s">
        <v>2190</v>
      </c>
      <c r="C56" s="166"/>
      <c r="D56" s="167"/>
      <c r="E56" s="41"/>
      <c r="F56" s="4"/>
      <c r="G56" s="4"/>
      <c r="H56" s="4"/>
      <c r="I56" s="30">
        <v>9.8000000000000007</v>
      </c>
      <c r="J56" s="18">
        <v>3000</v>
      </c>
      <c r="K56" s="17">
        <f t="shared" si="1"/>
        <v>306.12244897959181</v>
      </c>
      <c r="L56" s="30">
        <v>9.8000000000000007</v>
      </c>
      <c r="M56" s="18">
        <f>AVERAGE(M46:M55)</f>
        <v>2872.8965504855687</v>
      </c>
      <c r="N56" s="17">
        <f t="shared" si="3"/>
        <v>293.15270923322129</v>
      </c>
      <c r="O56" s="19">
        <f t="shared" si="4"/>
        <v>0</v>
      </c>
      <c r="P56" s="20">
        <f t="shared" si="5"/>
        <v>-12.969739746370522</v>
      </c>
      <c r="Q56" s="21">
        <f t="shared" si="6"/>
        <v>0.95763218349518964</v>
      </c>
      <c r="R56" s="189"/>
      <c r="S56" s="28"/>
      <c r="T56" s="28"/>
      <c r="U56" s="4"/>
      <c r="V56" s="22"/>
      <c r="W56" s="23"/>
      <c r="X56" s="23"/>
      <c r="Y56" s="31">
        <f>SUM(Y46:Y55)</f>
        <v>0</v>
      </c>
      <c r="Z56" s="31">
        <f>SUM(Z46:Z55)</f>
        <v>0</v>
      </c>
      <c r="AA56" s="180"/>
      <c r="AB56" s="181"/>
      <c r="AC56" s="31">
        <v>10</v>
      </c>
      <c r="AD56" s="31">
        <f>SUM(AD46:AD55)</f>
        <v>0</v>
      </c>
      <c r="AE56" s="19">
        <f t="shared" si="8"/>
        <v>-127.1034495144313</v>
      </c>
      <c r="AF56" s="21">
        <f t="shared" si="9"/>
        <v>0.95763218349518953</v>
      </c>
      <c r="AG56" s="189"/>
    </row>
    <row r="57" spans="1:33" ht="15.75" customHeight="1">
      <c r="A57" s="182" t="s">
        <v>2198</v>
      </c>
      <c r="B57" s="37" t="s">
        <v>84</v>
      </c>
      <c r="C57" s="165" t="s">
        <v>118</v>
      </c>
      <c r="D57" s="165"/>
      <c r="E57" s="37">
        <v>46</v>
      </c>
      <c r="F57" s="42">
        <v>1619</v>
      </c>
      <c r="G57" s="4">
        <f t="shared" ref="G57:G66" si="35">E57*F57</f>
        <v>74474</v>
      </c>
      <c r="H57" s="22" t="s">
        <v>139</v>
      </c>
      <c r="I57" s="16">
        <v>17</v>
      </c>
      <c r="J57" s="18">
        <v>2000</v>
      </c>
      <c r="K57" s="17">
        <f t="shared" si="1"/>
        <v>117.64705882352941</v>
      </c>
      <c r="L57" s="16">
        <v>17</v>
      </c>
      <c r="M57" s="18">
        <f t="shared" ref="M57:M66" si="36">F57/V57*60</f>
        <v>1904.7058823529403</v>
      </c>
      <c r="N57" s="18">
        <f t="shared" si="3"/>
        <v>112.04152249134943</v>
      </c>
      <c r="O57" s="19">
        <f t="shared" si="4"/>
        <v>0</v>
      </c>
      <c r="P57" s="20">
        <f t="shared" si="5"/>
        <v>-5.6055363321799803</v>
      </c>
      <c r="Q57" s="21">
        <f t="shared" si="6"/>
        <v>0.95235294117647018</v>
      </c>
      <c r="R57" s="172">
        <f>Q67</f>
        <v>0.94533092172107991</v>
      </c>
      <c r="S57" s="28">
        <v>0.20833333333333334</v>
      </c>
      <c r="T57" s="28">
        <v>0.24375000000000002</v>
      </c>
      <c r="U57" s="28"/>
      <c r="V57" s="22">
        <f t="shared" ref="V57:V66" si="37">(T57-S57)*24*60</f>
        <v>51.000000000000021</v>
      </c>
      <c r="W57" s="28"/>
      <c r="X57" s="28"/>
      <c r="Y57" s="28"/>
      <c r="Z57" s="28"/>
      <c r="AA57" s="164"/>
      <c r="AB57" s="164"/>
      <c r="AC57" s="25">
        <v>10</v>
      </c>
      <c r="AD57" s="25"/>
      <c r="AE57" s="19">
        <f t="shared" si="8"/>
        <v>-95.294117647059693</v>
      </c>
      <c r="AF57" s="21">
        <f t="shared" si="9"/>
        <v>0.95235294117647018</v>
      </c>
      <c r="AG57" s="172">
        <f>AF67</f>
        <v>0.9453309217210798</v>
      </c>
    </row>
    <row r="58" spans="1:33" ht="15.75" customHeight="1">
      <c r="A58" s="182" t="s">
        <v>2198</v>
      </c>
      <c r="B58" s="37" t="s">
        <v>84</v>
      </c>
      <c r="C58" s="165" t="s">
        <v>119</v>
      </c>
      <c r="D58" s="165"/>
      <c r="E58" s="37">
        <v>46</v>
      </c>
      <c r="F58" s="42">
        <v>1769</v>
      </c>
      <c r="G58" s="4">
        <f t="shared" si="35"/>
        <v>81374</v>
      </c>
      <c r="H58" s="22" t="s">
        <v>139</v>
      </c>
      <c r="I58" s="16">
        <v>17</v>
      </c>
      <c r="J58" s="18">
        <v>2000</v>
      </c>
      <c r="K58" s="17">
        <f t="shared" si="1"/>
        <v>117.64705882352941</v>
      </c>
      <c r="L58" s="16">
        <v>17</v>
      </c>
      <c r="M58" s="18">
        <f t="shared" si="36"/>
        <v>1929.8181818181815</v>
      </c>
      <c r="N58" s="18">
        <f t="shared" si="3"/>
        <v>113.51871657754009</v>
      </c>
      <c r="O58" s="19">
        <f t="shared" si="4"/>
        <v>0</v>
      </c>
      <c r="P58" s="20">
        <f t="shared" si="5"/>
        <v>-4.128342245989316</v>
      </c>
      <c r="Q58" s="21">
        <f t="shared" si="6"/>
        <v>0.96490909090909083</v>
      </c>
      <c r="R58" s="172"/>
      <c r="S58" s="28">
        <v>0.24861111111111114</v>
      </c>
      <c r="T58" s="28">
        <v>0.28680555555555559</v>
      </c>
      <c r="U58" s="4">
        <f t="shared" ref="U58:U66" si="38">IF(S58=TIME(17,0,0),"",(S58-T57)*24*60)</f>
        <v>7.0000000000000151</v>
      </c>
      <c r="V58" s="22">
        <f t="shared" si="37"/>
        <v>55.000000000000007</v>
      </c>
      <c r="W58" s="23"/>
      <c r="X58" s="23"/>
      <c r="Y58" s="23"/>
      <c r="Z58" s="23"/>
      <c r="AA58" s="164"/>
      <c r="AB58" s="164"/>
      <c r="AC58" s="25"/>
      <c r="AD58" s="25"/>
      <c r="AE58" s="19">
        <f t="shared" si="8"/>
        <v>-70.181818181818471</v>
      </c>
      <c r="AF58" s="21">
        <f t="shared" si="9"/>
        <v>0.96490909090909072</v>
      </c>
      <c r="AG58" s="172"/>
    </row>
    <row r="59" spans="1:33" ht="15.75" customHeight="1">
      <c r="A59" s="182" t="s">
        <v>2198</v>
      </c>
      <c r="B59" s="37" t="s">
        <v>78</v>
      </c>
      <c r="C59" s="173" t="s">
        <v>120</v>
      </c>
      <c r="D59" s="174"/>
      <c r="E59" s="37">
        <v>56.43</v>
      </c>
      <c r="F59" s="42">
        <v>2118</v>
      </c>
      <c r="G59" s="4">
        <f t="shared" si="35"/>
        <v>119518.74</v>
      </c>
      <c r="H59" s="22" t="s">
        <v>139</v>
      </c>
      <c r="I59" s="16">
        <v>22</v>
      </c>
      <c r="J59" s="18">
        <v>2000</v>
      </c>
      <c r="K59" s="17">
        <f t="shared" si="1"/>
        <v>90.909090909090907</v>
      </c>
      <c r="L59" s="16">
        <v>22</v>
      </c>
      <c r="M59" s="18">
        <f t="shared" si="36"/>
        <v>1815.4285714285718</v>
      </c>
      <c r="N59" s="18">
        <f t="shared" si="3"/>
        <v>82.519480519480538</v>
      </c>
      <c r="O59" s="19">
        <f t="shared" si="4"/>
        <v>0</v>
      </c>
      <c r="P59" s="20">
        <f t="shared" si="5"/>
        <v>-8.3896103896103682</v>
      </c>
      <c r="Q59" s="21">
        <f t="shared" si="6"/>
        <v>0.90771428571428592</v>
      </c>
      <c r="R59" s="172"/>
      <c r="S59" s="28">
        <v>0.29097222222222224</v>
      </c>
      <c r="T59" s="28">
        <v>0.33958333333333335</v>
      </c>
      <c r="U59" s="4">
        <f t="shared" si="38"/>
        <v>5.9999999999999787</v>
      </c>
      <c r="V59" s="22">
        <f t="shared" si="37"/>
        <v>69.999999999999986</v>
      </c>
      <c r="W59" s="23"/>
      <c r="X59" s="23"/>
      <c r="Y59" s="26"/>
      <c r="Z59" s="26"/>
      <c r="AA59" s="164"/>
      <c r="AB59" s="164"/>
      <c r="AC59" s="25"/>
      <c r="AD59" s="25"/>
      <c r="AE59" s="19">
        <f t="shared" si="8"/>
        <v>-184.57142857142821</v>
      </c>
      <c r="AF59" s="21">
        <f t="shared" si="9"/>
        <v>0.90771428571428592</v>
      </c>
      <c r="AG59" s="172"/>
    </row>
    <row r="60" spans="1:33" ht="15.75" customHeight="1">
      <c r="A60" s="182" t="s">
        <v>2198</v>
      </c>
      <c r="B60" s="37" t="s">
        <v>78</v>
      </c>
      <c r="C60" s="43" t="s">
        <v>121</v>
      </c>
      <c r="D60" s="44"/>
      <c r="E60" s="37">
        <v>51.75</v>
      </c>
      <c r="F60" s="42">
        <v>1718</v>
      </c>
      <c r="G60" s="4">
        <f t="shared" si="35"/>
        <v>88906.5</v>
      </c>
      <c r="H60" s="22" t="s">
        <v>139</v>
      </c>
      <c r="I60" s="16">
        <v>25</v>
      </c>
      <c r="J60" s="18">
        <v>2000</v>
      </c>
      <c r="K60" s="17">
        <f t="shared" si="1"/>
        <v>80</v>
      </c>
      <c r="L60" s="16">
        <v>25</v>
      </c>
      <c r="M60" s="18">
        <f t="shared" si="36"/>
        <v>1840.7142857142871</v>
      </c>
      <c r="N60" s="18">
        <f t="shared" si="3"/>
        <v>73.62857142857149</v>
      </c>
      <c r="O60" s="19">
        <f t="shared" si="4"/>
        <v>0</v>
      </c>
      <c r="P60" s="20">
        <f t="shared" si="5"/>
        <v>-6.3714285714285097</v>
      </c>
      <c r="Q60" s="21">
        <f t="shared" si="6"/>
        <v>0.92035714285714365</v>
      </c>
      <c r="R60" s="172"/>
      <c r="S60" s="28">
        <v>0.34444444444444444</v>
      </c>
      <c r="T60" s="28">
        <v>0.3833333333333333</v>
      </c>
      <c r="U60" s="4">
        <f t="shared" si="38"/>
        <v>6.9999999999999751</v>
      </c>
      <c r="V60" s="22">
        <f t="shared" si="37"/>
        <v>55.999999999999957</v>
      </c>
      <c r="W60" s="23"/>
      <c r="X60" s="23"/>
      <c r="Y60" s="26"/>
      <c r="Z60" s="26"/>
      <c r="AA60" s="164"/>
      <c r="AB60" s="164"/>
      <c r="AC60" s="25"/>
      <c r="AD60" s="25"/>
      <c r="AE60" s="19">
        <f t="shared" si="8"/>
        <v>-159.28571428571286</v>
      </c>
      <c r="AF60" s="21">
        <f t="shared" si="9"/>
        <v>0.92035714285714354</v>
      </c>
      <c r="AG60" s="172"/>
    </row>
    <row r="61" spans="1:33" ht="15.75" customHeight="1">
      <c r="A61" s="182" t="s">
        <v>2198</v>
      </c>
      <c r="B61" s="37" t="s">
        <v>78</v>
      </c>
      <c r="C61" s="43" t="s">
        <v>122</v>
      </c>
      <c r="D61" s="44"/>
      <c r="E61" s="37">
        <v>54.09</v>
      </c>
      <c r="F61" s="42">
        <v>1247</v>
      </c>
      <c r="G61" s="4">
        <f t="shared" si="35"/>
        <v>67450.23000000001</v>
      </c>
      <c r="H61" s="22" t="s">
        <v>139</v>
      </c>
      <c r="I61" s="16">
        <v>19</v>
      </c>
      <c r="J61" s="18">
        <v>2000</v>
      </c>
      <c r="K61" s="17">
        <f t="shared" si="1"/>
        <v>105.26315789473684</v>
      </c>
      <c r="L61" s="16">
        <v>19</v>
      </c>
      <c r="M61" s="18">
        <f t="shared" si="36"/>
        <v>1824.8780487804872</v>
      </c>
      <c r="N61" s="18">
        <f t="shared" si="3"/>
        <v>96.046213093709852</v>
      </c>
      <c r="O61" s="19">
        <f t="shared" si="4"/>
        <v>0</v>
      </c>
      <c r="P61" s="20">
        <f t="shared" si="5"/>
        <v>-9.2169448010269832</v>
      </c>
      <c r="Q61" s="21">
        <f t="shared" si="6"/>
        <v>0.9124390243902436</v>
      </c>
      <c r="R61" s="172"/>
      <c r="S61" s="28">
        <v>0.3881944444444444</v>
      </c>
      <c r="T61" s="28">
        <v>0.41666666666666663</v>
      </c>
      <c r="U61" s="4">
        <f t="shared" si="38"/>
        <v>6.9999999999999751</v>
      </c>
      <c r="V61" s="22">
        <f t="shared" si="37"/>
        <v>41.000000000000014</v>
      </c>
      <c r="W61" s="23"/>
      <c r="X61" s="23"/>
      <c r="Y61" s="26"/>
      <c r="Z61" s="26"/>
      <c r="AA61" s="164"/>
      <c r="AB61" s="164"/>
      <c r="AC61" s="25"/>
      <c r="AD61" s="25"/>
      <c r="AE61" s="19">
        <f t="shared" si="8"/>
        <v>-175.12195121951277</v>
      </c>
      <c r="AF61" s="21">
        <f t="shared" si="9"/>
        <v>0.9124390243902436</v>
      </c>
      <c r="AG61" s="172"/>
    </row>
    <row r="62" spans="1:33" ht="15.75" customHeight="1">
      <c r="A62" s="182" t="s">
        <v>2198</v>
      </c>
      <c r="B62" s="37" t="s">
        <v>78</v>
      </c>
      <c r="C62" s="173" t="s">
        <v>123</v>
      </c>
      <c r="D62" s="174"/>
      <c r="E62" s="37">
        <v>55.56</v>
      </c>
      <c r="F62" s="42">
        <v>1000</v>
      </c>
      <c r="G62" s="4">
        <f t="shared" si="35"/>
        <v>55560</v>
      </c>
      <c r="H62" s="22">
        <v>2</v>
      </c>
      <c r="I62" s="16">
        <v>17</v>
      </c>
      <c r="J62" s="18">
        <v>2000</v>
      </c>
      <c r="K62" s="17">
        <f t="shared" si="1"/>
        <v>117.64705882352941</v>
      </c>
      <c r="L62" s="16">
        <v>17</v>
      </c>
      <c r="M62" s="18">
        <f t="shared" si="36"/>
        <v>1935.483870967739</v>
      </c>
      <c r="N62" s="18">
        <f t="shared" si="3"/>
        <v>113.85199240986699</v>
      </c>
      <c r="O62" s="19">
        <f t="shared" si="4"/>
        <v>0</v>
      </c>
      <c r="P62" s="20">
        <f t="shared" si="5"/>
        <v>-3.7950664136624113</v>
      </c>
      <c r="Q62" s="21">
        <f t="shared" si="6"/>
        <v>0.96774193548386955</v>
      </c>
      <c r="R62" s="172"/>
      <c r="S62" s="28">
        <v>0.70833333333333337</v>
      </c>
      <c r="T62" s="28">
        <v>0.72986111111111118</v>
      </c>
      <c r="U62" s="4" t="str">
        <f t="shared" si="38"/>
        <v/>
      </c>
      <c r="V62" s="22">
        <f t="shared" si="37"/>
        <v>31.00000000000005</v>
      </c>
      <c r="W62" s="23"/>
      <c r="X62" s="23"/>
      <c r="Y62" s="26"/>
      <c r="Z62" s="26"/>
      <c r="AA62" s="175"/>
      <c r="AB62" s="176"/>
      <c r="AC62" s="25"/>
      <c r="AD62" s="25"/>
      <c r="AE62" s="19">
        <f t="shared" si="8"/>
        <v>-64.516129032261006</v>
      </c>
      <c r="AF62" s="21">
        <f t="shared" si="9"/>
        <v>0.96774193548386944</v>
      </c>
      <c r="AG62" s="172"/>
    </row>
    <row r="63" spans="1:33" ht="15.75" customHeight="1">
      <c r="A63" s="182" t="s">
        <v>2198</v>
      </c>
      <c r="B63" s="37" t="s">
        <v>78</v>
      </c>
      <c r="C63" s="173" t="s">
        <v>124</v>
      </c>
      <c r="D63" s="174"/>
      <c r="E63" s="37">
        <v>55.32</v>
      </c>
      <c r="F63" s="42">
        <v>1488</v>
      </c>
      <c r="G63" s="4">
        <f t="shared" si="35"/>
        <v>82316.160000000003</v>
      </c>
      <c r="H63" s="22" t="s">
        <v>139</v>
      </c>
      <c r="I63" s="16">
        <v>15</v>
      </c>
      <c r="J63" s="18">
        <v>2000</v>
      </c>
      <c r="K63" s="17">
        <f t="shared" si="1"/>
        <v>133.33333333333334</v>
      </c>
      <c r="L63" s="16">
        <v>15</v>
      </c>
      <c r="M63" s="18">
        <f t="shared" si="36"/>
        <v>1940.8695652173915</v>
      </c>
      <c r="N63" s="18">
        <f t="shared" si="3"/>
        <v>129.39130434782609</v>
      </c>
      <c r="O63" s="19">
        <f t="shared" si="4"/>
        <v>0</v>
      </c>
      <c r="P63" s="20">
        <f t="shared" si="5"/>
        <v>-3.9420289855072497</v>
      </c>
      <c r="Q63" s="21">
        <f t="shared" si="6"/>
        <v>0.97043478260869565</v>
      </c>
      <c r="R63" s="172"/>
      <c r="S63" s="28">
        <v>0.73333333333333339</v>
      </c>
      <c r="T63" s="28">
        <v>0.76527777777777783</v>
      </c>
      <c r="U63" s="4">
        <f t="shared" si="38"/>
        <v>4.9999999999999822</v>
      </c>
      <c r="V63" s="22">
        <f t="shared" si="37"/>
        <v>46</v>
      </c>
      <c r="W63" s="23"/>
      <c r="X63" s="23"/>
      <c r="Y63" s="26"/>
      <c r="Z63" s="26"/>
      <c r="AA63" s="175"/>
      <c r="AB63" s="176"/>
      <c r="AC63" s="25"/>
      <c r="AD63" s="25"/>
      <c r="AE63" s="19">
        <f t="shared" si="8"/>
        <v>-59.130434782608518</v>
      </c>
      <c r="AF63" s="21">
        <f t="shared" si="9"/>
        <v>0.97043478260869576</v>
      </c>
      <c r="AG63" s="172"/>
    </row>
    <row r="64" spans="1:33" ht="15.75" customHeight="1">
      <c r="A64" s="182" t="s">
        <v>2198</v>
      </c>
      <c r="B64" s="37" t="s">
        <v>78</v>
      </c>
      <c r="C64" s="173" t="s">
        <v>125</v>
      </c>
      <c r="D64" s="174"/>
      <c r="E64" s="37">
        <v>54.29</v>
      </c>
      <c r="F64" s="42">
        <v>1558</v>
      </c>
      <c r="G64" s="4">
        <f t="shared" si="35"/>
        <v>84583.819999999992</v>
      </c>
      <c r="H64" s="22" t="s">
        <v>139</v>
      </c>
      <c r="I64" s="16">
        <v>20</v>
      </c>
      <c r="J64" s="18">
        <v>2000</v>
      </c>
      <c r="K64" s="17">
        <f t="shared" si="1"/>
        <v>100</v>
      </c>
      <c r="L64" s="16">
        <v>20</v>
      </c>
      <c r="M64" s="18">
        <f t="shared" si="36"/>
        <v>1907.7551020408171</v>
      </c>
      <c r="N64" s="18">
        <f t="shared" si="3"/>
        <v>95.387755102040856</v>
      </c>
      <c r="O64" s="19">
        <f t="shared" si="4"/>
        <v>0</v>
      </c>
      <c r="P64" s="20">
        <f t="shared" si="5"/>
        <v>-4.6122448979591439</v>
      </c>
      <c r="Q64" s="21">
        <f t="shared" si="6"/>
        <v>0.95387755102040861</v>
      </c>
      <c r="R64" s="172"/>
      <c r="S64" s="28">
        <v>0.76875000000000004</v>
      </c>
      <c r="T64" s="28">
        <v>0.80277777777777781</v>
      </c>
      <c r="U64" s="4">
        <f t="shared" si="38"/>
        <v>4.9999999999999822</v>
      </c>
      <c r="V64" s="22">
        <f t="shared" si="37"/>
        <v>48.999999999999986</v>
      </c>
      <c r="W64" s="23"/>
      <c r="X64" s="23"/>
      <c r="Y64" s="26"/>
      <c r="Z64" s="26"/>
      <c r="AA64" s="175"/>
      <c r="AB64" s="176"/>
      <c r="AC64" s="25"/>
      <c r="AD64" s="25"/>
      <c r="AE64" s="19">
        <f t="shared" si="8"/>
        <v>-92.244897959182936</v>
      </c>
      <c r="AF64" s="21">
        <f t="shared" si="9"/>
        <v>0.9538775510204085</v>
      </c>
      <c r="AG64" s="172"/>
    </row>
    <row r="65" spans="1:33">
      <c r="A65" s="182" t="s">
        <v>2198</v>
      </c>
      <c r="B65" s="37" t="s">
        <v>78</v>
      </c>
      <c r="C65" s="173" t="s">
        <v>126</v>
      </c>
      <c r="D65" s="174"/>
      <c r="E65" s="37">
        <v>57.73</v>
      </c>
      <c r="F65" s="42">
        <v>1311</v>
      </c>
      <c r="G65" s="4">
        <f t="shared" si="35"/>
        <v>75684.03</v>
      </c>
      <c r="H65" s="22" t="s">
        <v>139</v>
      </c>
      <c r="I65" s="16">
        <v>16</v>
      </c>
      <c r="J65" s="18">
        <v>1500</v>
      </c>
      <c r="K65" s="17">
        <f t="shared" si="1"/>
        <v>93.75</v>
      </c>
      <c r="L65" s="16">
        <v>16</v>
      </c>
      <c r="M65" s="18">
        <f t="shared" si="36"/>
        <v>1430.1818181818189</v>
      </c>
      <c r="N65" s="18">
        <f t="shared" si="3"/>
        <v>89.386363636363683</v>
      </c>
      <c r="O65" s="19">
        <f t="shared" si="4"/>
        <v>0</v>
      </c>
      <c r="P65" s="20">
        <f t="shared" si="5"/>
        <v>-4.3636363636363171</v>
      </c>
      <c r="Q65" s="21">
        <f t="shared" si="6"/>
        <v>0.953454545454546</v>
      </c>
      <c r="R65" s="172"/>
      <c r="S65" s="28">
        <v>0.80625000000000002</v>
      </c>
      <c r="T65" s="28">
        <v>0.84444444444444444</v>
      </c>
      <c r="U65" s="4">
        <f t="shared" si="38"/>
        <v>4.9999999999999822</v>
      </c>
      <c r="V65" s="22">
        <f t="shared" si="37"/>
        <v>54.999999999999964</v>
      </c>
      <c r="W65" s="23">
        <f>T65</f>
        <v>0.84444444444444444</v>
      </c>
      <c r="X65" s="23">
        <f>S66</f>
        <v>0.88611111111111107</v>
      </c>
      <c r="Y65" s="26"/>
      <c r="Z65" s="26"/>
      <c r="AA65" s="175"/>
      <c r="AB65" s="176"/>
      <c r="AC65" s="25"/>
      <c r="AD65" s="25"/>
      <c r="AE65" s="19">
        <f t="shared" si="8"/>
        <v>-69.818181818181074</v>
      </c>
      <c r="AF65" s="21">
        <f t="shared" si="9"/>
        <v>0.953454545454546</v>
      </c>
      <c r="AG65" s="172"/>
    </row>
    <row r="66" spans="1:33">
      <c r="A66" s="182" t="s">
        <v>2198</v>
      </c>
      <c r="B66" s="37" t="s">
        <v>78</v>
      </c>
      <c r="C66" s="173" t="s">
        <v>123</v>
      </c>
      <c r="D66" s="174"/>
      <c r="E66" s="37">
        <v>55.56</v>
      </c>
      <c r="F66" s="42">
        <v>1079</v>
      </c>
      <c r="G66" s="4">
        <f t="shared" si="35"/>
        <v>59949.240000000005</v>
      </c>
      <c r="H66" s="22" t="s">
        <v>139</v>
      </c>
      <c r="I66" s="16">
        <v>17</v>
      </c>
      <c r="J66" s="18">
        <v>2000</v>
      </c>
      <c r="K66" s="17">
        <f t="shared" si="1"/>
        <v>117.64705882352941</v>
      </c>
      <c r="L66" s="16">
        <v>17</v>
      </c>
      <c r="M66" s="18">
        <f t="shared" si="36"/>
        <v>1904.1176470588211</v>
      </c>
      <c r="N66" s="18">
        <f t="shared" si="3"/>
        <v>112.00692041522477</v>
      </c>
      <c r="O66" s="19">
        <f t="shared" si="4"/>
        <v>0</v>
      </c>
      <c r="P66" s="20">
        <f t="shared" si="5"/>
        <v>-5.6401384083046366</v>
      </c>
      <c r="Q66" s="21">
        <f t="shared" si="6"/>
        <v>0.95205882352941062</v>
      </c>
      <c r="R66" s="172"/>
      <c r="S66" s="28">
        <v>0.88611111111111107</v>
      </c>
      <c r="T66" s="28">
        <v>0.90972222222222221</v>
      </c>
      <c r="U66" s="4">
        <f t="shared" si="38"/>
        <v>59.999999999999943</v>
      </c>
      <c r="V66" s="22">
        <f t="shared" si="37"/>
        <v>34.000000000000043</v>
      </c>
      <c r="W66" s="23"/>
      <c r="X66" s="23"/>
      <c r="Y66" s="26"/>
      <c r="Z66" s="26"/>
      <c r="AA66" s="175"/>
      <c r="AB66" s="176"/>
      <c r="AC66" s="25"/>
      <c r="AD66" s="25"/>
      <c r="AE66" s="19">
        <f t="shared" si="8"/>
        <v>-95.882352941178851</v>
      </c>
      <c r="AF66" s="21">
        <f t="shared" si="9"/>
        <v>0.95205882352941062</v>
      </c>
      <c r="AG66" s="172"/>
    </row>
    <row r="67" spans="1:33">
      <c r="A67" s="183" t="s">
        <v>2198</v>
      </c>
      <c r="B67" s="37" t="s">
        <v>2190</v>
      </c>
      <c r="C67" s="177"/>
      <c r="D67" s="177"/>
      <c r="E67" s="38"/>
      <c r="F67" s="17"/>
      <c r="G67" s="17"/>
      <c r="H67" s="4"/>
      <c r="I67" s="30">
        <v>18.5</v>
      </c>
      <c r="J67" s="18">
        <v>1950</v>
      </c>
      <c r="K67" s="17">
        <f t="shared" si="1"/>
        <v>105.4054054054054</v>
      </c>
      <c r="L67" s="30">
        <v>18.5</v>
      </c>
      <c r="M67" s="18">
        <f>AVERAGE(M57:M66)</f>
        <v>1843.3952973561056</v>
      </c>
      <c r="N67" s="17">
        <f t="shared" si="3"/>
        <v>99.642989046275986</v>
      </c>
      <c r="O67" s="19">
        <f t="shared" si="4"/>
        <v>0</v>
      </c>
      <c r="P67" s="20">
        <f t="shared" si="5"/>
        <v>-5.7624163591294177</v>
      </c>
      <c r="Q67" s="21">
        <f t="shared" si="6"/>
        <v>0.94533092172107991</v>
      </c>
      <c r="R67" s="172"/>
      <c r="S67" s="28"/>
      <c r="T67" s="28"/>
      <c r="U67" s="4"/>
      <c r="V67" s="22"/>
      <c r="W67" s="17"/>
      <c r="X67" s="17"/>
      <c r="Y67" s="31">
        <f>SUM(Y57:Y66)</f>
        <v>0</v>
      </c>
      <c r="Z67" s="31">
        <f>SUM(Z57:Z66)</f>
        <v>0</v>
      </c>
      <c r="AA67" s="168"/>
      <c r="AB67" s="168"/>
      <c r="AC67" s="31">
        <v>10</v>
      </c>
      <c r="AD67" s="31">
        <f>SUM(AD57:AD66)</f>
        <v>0</v>
      </c>
      <c r="AE67" s="19">
        <f>M67-J67</f>
        <v>-106.60470264389437</v>
      </c>
      <c r="AF67" s="21">
        <f t="shared" si="9"/>
        <v>0.9453309217210798</v>
      </c>
      <c r="AG67" s="172"/>
    </row>
    <row r="68" spans="1:33" ht="15.75" customHeight="1">
      <c r="A68" s="178" t="s">
        <v>2199</v>
      </c>
      <c r="B68" s="4" t="s">
        <v>84</v>
      </c>
      <c r="C68" s="165" t="s">
        <v>127</v>
      </c>
      <c r="D68" s="165"/>
      <c r="E68" s="37">
        <v>26.97</v>
      </c>
      <c r="F68" s="42">
        <v>2679</v>
      </c>
      <c r="G68" s="4">
        <f t="shared" ref="G68:G73" si="39">E68*F68</f>
        <v>72252.62999999999</v>
      </c>
      <c r="H68" s="22" t="s">
        <v>139</v>
      </c>
      <c r="I68" s="16">
        <v>8</v>
      </c>
      <c r="J68" s="18">
        <v>1500</v>
      </c>
      <c r="K68" s="17">
        <f t="shared" si="1"/>
        <v>187.5</v>
      </c>
      <c r="L68" s="16">
        <v>8</v>
      </c>
      <c r="M68" s="18">
        <f t="shared" ref="M68:M73" si="40">F68/V68*60</f>
        <v>1435.1785714285718</v>
      </c>
      <c r="N68" s="17">
        <f t="shared" si="3"/>
        <v>179.39732142857147</v>
      </c>
      <c r="O68" s="19">
        <f t="shared" si="4"/>
        <v>0</v>
      </c>
      <c r="P68" s="20">
        <f t="shared" si="5"/>
        <v>-8.1026785714285268</v>
      </c>
      <c r="Q68" s="21">
        <f t="shared" si="6"/>
        <v>0.95678571428571457</v>
      </c>
      <c r="R68" s="172">
        <f>Q74</f>
        <v>0.95614280490090209</v>
      </c>
      <c r="S68" s="28">
        <v>0.20833333333333334</v>
      </c>
      <c r="T68" s="28">
        <v>0.28611111111111109</v>
      </c>
      <c r="U68" s="4"/>
      <c r="V68" s="22">
        <f t="shared" ref="V68:V73" si="41">(T68-S68)*24*60</f>
        <v>111.99999999999996</v>
      </c>
      <c r="W68" s="28"/>
      <c r="X68" s="28"/>
      <c r="Y68" s="28"/>
      <c r="Z68" s="28"/>
      <c r="AA68" s="164"/>
      <c r="AB68" s="164"/>
      <c r="AC68" s="25">
        <v>6</v>
      </c>
      <c r="AD68" s="25"/>
      <c r="AE68" s="19">
        <f t="shared" ref="AE68:AE81" si="42">M68-J68</f>
        <v>-64.821428571428214</v>
      </c>
      <c r="AF68" s="21">
        <f t="shared" si="9"/>
        <v>0.95678571428571457</v>
      </c>
      <c r="AG68" s="172">
        <f>AF74</f>
        <v>0.95614280490090209</v>
      </c>
    </row>
    <row r="69" spans="1:33" ht="15.75" customHeight="1">
      <c r="A69" s="178" t="s">
        <v>2199</v>
      </c>
      <c r="B69" s="4" t="s">
        <v>84</v>
      </c>
      <c r="C69" s="165" t="s">
        <v>128</v>
      </c>
      <c r="D69" s="165"/>
      <c r="E69" s="37">
        <v>27.4</v>
      </c>
      <c r="F69" s="42">
        <v>932</v>
      </c>
      <c r="G69" s="4">
        <f t="shared" si="39"/>
        <v>25536.799999999999</v>
      </c>
      <c r="H69" s="22" t="s">
        <v>139</v>
      </c>
      <c r="I69" s="16">
        <v>10</v>
      </c>
      <c r="J69" s="18">
        <v>1500</v>
      </c>
      <c r="K69" s="17">
        <f t="shared" ref="K69:K81" si="43">J69/I69</f>
        <v>150</v>
      </c>
      <c r="L69" s="16">
        <v>10</v>
      </c>
      <c r="M69" s="18">
        <f t="shared" si="40"/>
        <v>1433.8461538461529</v>
      </c>
      <c r="N69" s="17">
        <f t="shared" ref="N69:N81" si="44">M69/L69</f>
        <v>143.3846153846153</v>
      </c>
      <c r="O69" s="19">
        <f t="shared" ref="O69:O81" si="45">L69-I69</f>
        <v>0</v>
      </c>
      <c r="P69" s="20">
        <f t="shared" ref="P69:P81" si="46">N69-K69</f>
        <v>-6.6153846153846985</v>
      </c>
      <c r="Q69" s="21">
        <f t="shared" ref="Q69:Q81" si="47">N69/K69</f>
        <v>0.95589743589743537</v>
      </c>
      <c r="R69" s="172"/>
      <c r="S69" s="28">
        <v>0.2895833333333333</v>
      </c>
      <c r="T69" s="28">
        <v>0.31666666666666665</v>
      </c>
      <c r="U69" s="4">
        <f t="shared" ref="U69:U73" si="48">(S69-T68)*24*60</f>
        <v>4.9999999999999822</v>
      </c>
      <c r="V69" s="22">
        <f t="shared" si="41"/>
        <v>39.000000000000021</v>
      </c>
      <c r="W69" s="4"/>
      <c r="X69" s="4"/>
      <c r="Y69" s="4"/>
      <c r="Z69" s="4"/>
      <c r="AA69" s="164"/>
      <c r="AB69" s="164"/>
      <c r="AC69" s="25"/>
      <c r="AD69" s="25"/>
      <c r="AE69" s="19">
        <f t="shared" si="42"/>
        <v>-66.153846153847098</v>
      </c>
      <c r="AF69" s="21">
        <f t="shared" ref="AF69:AF81" si="49">M69/J69</f>
        <v>0.95589743589743525</v>
      </c>
      <c r="AG69" s="172"/>
    </row>
    <row r="70" spans="1:33" ht="15.75" customHeight="1">
      <c r="A70" s="178" t="s">
        <v>2199</v>
      </c>
      <c r="B70" s="4" t="s">
        <v>111</v>
      </c>
      <c r="C70" s="165" t="s">
        <v>129</v>
      </c>
      <c r="D70" s="165"/>
      <c r="E70" s="37">
        <v>31</v>
      </c>
      <c r="F70" s="42">
        <v>644</v>
      </c>
      <c r="G70" s="4">
        <f t="shared" si="39"/>
        <v>19964</v>
      </c>
      <c r="H70" s="22" t="s">
        <v>139</v>
      </c>
      <c r="I70" s="16">
        <v>13</v>
      </c>
      <c r="J70" s="18">
        <v>2000</v>
      </c>
      <c r="K70" s="17">
        <f t="shared" si="43"/>
        <v>153.84615384615384</v>
      </c>
      <c r="L70" s="16">
        <v>13</v>
      </c>
      <c r="M70" s="18">
        <f t="shared" si="40"/>
        <v>1931.9999999999993</v>
      </c>
      <c r="N70" s="17">
        <f t="shared" si="44"/>
        <v>148.61538461538456</v>
      </c>
      <c r="O70" s="19">
        <f t="shared" si="45"/>
        <v>0</v>
      </c>
      <c r="P70" s="20">
        <f t="shared" si="46"/>
        <v>-5.2307692307692832</v>
      </c>
      <c r="Q70" s="21">
        <f t="shared" si="47"/>
        <v>0.96599999999999964</v>
      </c>
      <c r="R70" s="172"/>
      <c r="S70" s="28">
        <v>0.32013888888888886</v>
      </c>
      <c r="T70" s="28">
        <v>0.33402777777777776</v>
      </c>
      <c r="U70" s="4">
        <f t="shared" si="48"/>
        <v>4.9999999999999822</v>
      </c>
      <c r="V70" s="22">
        <f t="shared" si="41"/>
        <v>20.000000000000007</v>
      </c>
      <c r="W70" s="4"/>
      <c r="X70" s="4"/>
      <c r="Y70" s="4"/>
      <c r="Z70" s="4"/>
      <c r="AA70" s="164"/>
      <c r="AB70" s="164"/>
      <c r="AC70" s="25"/>
      <c r="AD70" s="25"/>
      <c r="AE70" s="19">
        <f t="shared" si="42"/>
        <v>-68.000000000000682</v>
      </c>
      <c r="AF70" s="21">
        <f t="shared" si="49"/>
        <v>0.96599999999999964</v>
      </c>
      <c r="AG70" s="172"/>
    </row>
    <row r="71" spans="1:33" ht="15.75" customHeight="1">
      <c r="A71" s="178" t="s">
        <v>2199</v>
      </c>
      <c r="B71" s="4" t="s">
        <v>111</v>
      </c>
      <c r="C71" s="165" t="s">
        <v>130</v>
      </c>
      <c r="D71" s="165"/>
      <c r="E71" s="37">
        <v>37.85</v>
      </c>
      <c r="F71" s="42">
        <v>2291</v>
      </c>
      <c r="G71" s="4">
        <f t="shared" si="39"/>
        <v>86714.35</v>
      </c>
      <c r="H71" s="22" t="s">
        <v>139</v>
      </c>
      <c r="I71" s="16">
        <v>12</v>
      </c>
      <c r="J71" s="18">
        <v>2000</v>
      </c>
      <c r="K71" s="17">
        <f t="shared" si="43"/>
        <v>166.66666666666666</v>
      </c>
      <c r="L71" s="16">
        <v>12</v>
      </c>
      <c r="M71" s="18">
        <f t="shared" si="40"/>
        <v>1909.166666666667</v>
      </c>
      <c r="N71" s="17">
        <f t="shared" si="44"/>
        <v>159.09722222222226</v>
      </c>
      <c r="O71" s="19">
        <f t="shared" si="45"/>
        <v>0</v>
      </c>
      <c r="P71" s="20">
        <f t="shared" si="46"/>
        <v>-7.5694444444444002</v>
      </c>
      <c r="Q71" s="21">
        <f t="shared" si="47"/>
        <v>0.95458333333333356</v>
      </c>
      <c r="R71" s="172"/>
      <c r="S71" s="28">
        <v>0.33819444444444441</v>
      </c>
      <c r="T71" s="28">
        <v>0.3881944444444444</v>
      </c>
      <c r="U71" s="4">
        <f t="shared" si="48"/>
        <v>5.9999999999999787</v>
      </c>
      <c r="V71" s="22">
        <f t="shared" si="41"/>
        <v>71.999999999999986</v>
      </c>
      <c r="W71" s="4"/>
      <c r="X71" s="4"/>
      <c r="Y71" s="4"/>
      <c r="Z71" s="4"/>
      <c r="AA71" s="164"/>
      <c r="AB71" s="164"/>
      <c r="AC71" s="25"/>
      <c r="AD71" s="25"/>
      <c r="AE71" s="19">
        <f t="shared" si="42"/>
        <v>-90.83333333333303</v>
      </c>
      <c r="AF71" s="21">
        <f t="shared" si="49"/>
        <v>0.95458333333333345</v>
      </c>
      <c r="AG71" s="172"/>
    </row>
    <row r="72" spans="1:33">
      <c r="A72" s="179" t="s">
        <v>2199</v>
      </c>
      <c r="B72" s="4" t="s">
        <v>111</v>
      </c>
      <c r="C72" s="165" t="s">
        <v>131</v>
      </c>
      <c r="D72" s="165"/>
      <c r="E72" s="37">
        <v>34.36</v>
      </c>
      <c r="F72" s="42">
        <v>1814</v>
      </c>
      <c r="G72" s="4">
        <f t="shared" si="39"/>
        <v>62329.04</v>
      </c>
      <c r="H72" s="22" t="s">
        <v>139</v>
      </c>
      <c r="I72" s="16">
        <v>10</v>
      </c>
      <c r="J72" s="18">
        <v>3000</v>
      </c>
      <c r="K72" s="17">
        <f t="shared" si="43"/>
        <v>300</v>
      </c>
      <c r="L72" s="16">
        <v>10</v>
      </c>
      <c r="M72" s="18">
        <f t="shared" si="40"/>
        <v>2864.2105263157873</v>
      </c>
      <c r="N72" s="17">
        <f t="shared" si="44"/>
        <v>286.42105263157873</v>
      </c>
      <c r="O72" s="19">
        <f t="shared" si="45"/>
        <v>0</v>
      </c>
      <c r="P72" s="20">
        <f t="shared" si="46"/>
        <v>-13.578947368421268</v>
      </c>
      <c r="Q72" s="21">
        <f t="shared" si="47"/>
        <v>0.95473684210526244</v>
      </c>
      <c r="R72" s="172"/>
      <c r="S72" s="28">
        <v>0.39236111111111105</v>
      </c>
      <c r="T72" s="28">
        <v>0.41874999999999996</v>
      </c>
      <c r="U72" s="4">
        <f t="shared" si="48"/>
        <v>5.9999999999999787</v>
      </c>
      <c r="V72" s="22">
        <f t="shared" si="41"/>
        <v>38.000000000000028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42"/>
        <v>-135.78947368421268</v>
      </c>
      <c r="AF72" s="21">
        <f t="shared" si="49"/>
        <v>0.95473684210526244</v>
      </c>
      <c r="AG72" s="172"/>
    </row>
    <row r="73" spans="1:33" ht="15" customHeight="1">
      <c r="A73" s="179" t="s">
        <v>2199</v>
      </c>
      <c r="B73" s="4" t="s">
        <v>111</v>
      </c>
      <c r="C73" s="173" t="s">
        <v>117</v>
      </c>
      <c r="D73" s="174"/>
      <c r="E73" s="37">
        <v>44.03</v>
      </c>
      <c r="F73" s="42">
        <v>1047</v>
      </c>
      <c r="G73" s="4">
        <f t="shared" si="39"/>
        <v>46099.41</v>
      </c>
      <c r="H73" s="22" t="s">
        <v>139</v>
      </c>
      <c r="I73" s="16">
        <v>10</v>
      </c>
      <c r="J73" s="18">
        <v>3000</v>
      </c>
      <c r="K73" s="17">
        <f t="shared" si="43"/>
        <v>300</v>
      </c>
      <c r="L73" s="16">
        <v>10</v>
      </c>
      <c r="M73" s="18">
        <f t="shared" si="40"/>
        <v>2855.4545454545455</v>
      </c>
      <c r="N73" s="17">
        <f t="shared" si="44"/>
        <v>285.54545454545456</v>
      </c>
      <c r="O73" s="19">
        <f t="shared" si="45"/>
        <v>0</v>
      </c>
      <c r="P73" s="20">
        <f t="shared" si="46"/>
        <v>-14.454545454545439</v>
      </c>
      <c r="Q73" s="21">
        <f t="shared" si="47"/>
        <v>0.9518181818181819</v>
      </c>
      <c r="R73" s="172"/>
      <c r="S73" s="28">
        <v>0.42361111111111105</v>
      </c>
      <c r="T73" s="28">
        <v>0.43888888888888883</v>
      </c>
      <c r="U73" s="4">
        <f t="shared" si="48"/>
        <v>6.9999999999999751</v>
      </c>
      <c r="V73" s="22">
        <f t="shared" si="41"/>
        <v>22</v>
      </c>
      <c r="W73" s="4"/>
      <c r="X73" s="4"/>
      <c r="Y73" s="32"/>
      <c r="Z73" s="32"/>
      <c r="AA73" s="175"/>
      <c r="AB73" s="176"/>
      <c r="AC73" s="25"/>
      <c r="AD73" s="25"/>
      <c r="AE73" s="19">
        <f t="shared" si="42"/>
        <v>-144.5454545454545</v>
      </c>
      <c r="AF73" s="21">
        <f t="shared" si="49"/>
        <v>0.95181818181818179</v>
      </c>
      <c r="AG73" s="172"/>
    </row>
    <row r="74" spans="1:33">
      <c r="A74" s="179" t="s">
        <v>2199</v>
      </c>
      <c r="B74" s="37" t="s">
        <v>2190</v>
      </c>
      <c r="C74" s="177"/>
      <c r="D74" s="177"/>
      <c r="E74" s="38"/>
      <c r="F74" s="17"/>
      <c r="G74" s="17"/>
      <c r="H74" s="4"/>
      <c r="I74" s="30">
        <v>10.5</v>
      </c>
      <c r="J74" s="18">
        <v>2166.6666666666665</v>
      </c>
      <c r="K74" s="17">
        <f t="shared" si="43"/>
        <v>206.34920634920633</v>
      </c>
      <c r="L74" s="30">
        <v>10.5</v>
      </c>
      <c r="M74" s="18">
        <f>AVERAGE(M68:M73)</f>
        <v>2071.6427439519543</v>
      </c>
      <c r="N74" s="17">
        <f t="shared" si="44"/>
        <v>197.29930894780517</v>
      </c>
      <c r="O74" s="19">
        <f t="shared" si="45"/>
        <v>0</v>
      </c>
      <c r="P74" s="20">
        <f t="shared" si="46"/>
        <v>-9.0498974014011537</v>
      </c>
      <c r="Q74" s="21">
        <f t="shared" si="47"/>
        <v>0.95614280490090209</v>
      </c>
      <c r="R74" s="172"/>
      <c r="S74" s="28"/>
      <c r="T74" s="28"/>
      <c r="U74" s="17"/>
      <c r="V74" s="22"/>
      <c r="W74" s="17"/>
      <c r="X74" s="17"/>
      <c r="Y74" s="31">
        <f>SUM(Y68:Y73)</f>
        <v>0</v>
      </c>
      <c r="Z74" s="31">
        <f>SUM(Z68:Z73)</f>
        <v>0</v>
      </c>
      <c r="AA74" s="168"/>
      <c r="AB74" s="168"/>
      <c r="AC74" s="31">
        <v>6</v>
      </c>
      <c r="AD74" s="31">
        <f>SUM(AD68:AD73)</f>
        <v>0</v>
      </c>
      <c r="AE74" s="19">
        <f t="shared" si="42"/>
        <v>-95.023922714712171</v>
      </c>
      <c r="AF74" s="21">
        <f t="shared" si="49"/>
        <v>0.95614280490090209</v>
      </c>
      <c r="AG74" s="172"/>
    </row>
    <row r="75" spans="1:33" ht="15.75" customHeight="1">
      <c r="A75" s="169" t="s">
        <v>2200</v>
      </c>
      <c r="B75" s="4" t="s">
        <v>100</v>
      </c>
      <c r="C75" s="165" t="s">
        <v>133</v>
      </c>
      <c r="D75" s="165"/>
      <c r="E75" s="37">
        <v>20.2</v>
      </c>
      <c r="F75" s="4">
        <v>2408</v>
      </c>
      <c r="G75" s="4">
        <f t="shared" ref="G75:G80" si="50">E75*F75</f>
        <v>48641.599999999999</v>
      </c>
      <c r="H75" s="22" t="s">
        <v>139</v>
      </c>
      <c r="I75" s="16">
        <v>19</v>
      </c>
      <c r="J75" s="18">
        <v>2400</v>
      </c>
      <c r="K75" s="17">
        <f t="shared" si="43"/>
        <v>126.31578947368421</v>
      </c>
      <c r="L75" s="16">
        <v>19</v>
      </c>
      <c r="M75" s="18">
        <f t="shared" ref="M75:M80" si="51">F75/V75*60</f>
        <v>2293.333333333333</v>
      </c>
      <c r="N75" s="17">
        <f t="shared" si="44"/>
        <v>120.70175438596489</v>
      </c>
      <c r="O75" s="19">
        <f t="shared" si="45"/>
        <v>0</v>
      </c>
      <c r="P75" s="20">
        <f t="shared" si="46"/>
        <v>-5.6140350877193157</v>
      </c>
      <c r="Q75" s="21">
        <f t="shared" si="47"/>
        <v>0.95555555555555538</v>
      </c>
      <c r="R75" s="172">
        <f>Q81</f>
        <v>0.95757909926176366</v>
      </c>
      <c r="S75" s="28">
        <v>0.125</v>
      </c>
      <c r="T75" s="28">
        <v>0.16875000000000001</v>
      </c>
      <c r="U75" s="28"/>
      <c r="V75" s="22">
        <f t="shared" ref="V75:V80" si="52">(T75-S75)*24*60</f>
        <v>63.000000000000014</v>
      </c>
      <c r="W75" s="23">
        <f>T75</f>
        <v>0.16875000000000001</v>
      </c>
      <c r="X75" s="23">
        <f>S76</f>
        <v>0.18819444444444444</v>
      </c>
      <c r="Y75" s="23"/>
      <c r="Z75" s="23"/>
      <c r="AA75" s="164"/>
      <c r="AB75" s="164"/>
      <c r="AC75" s="25">
        <v>6</v>
      </c>
      <c r="AD75" s="25"/>
      <c r="AE75" s="19">
        <f t="shared" si="42"/>
        <v>-106.66666666666697</v>
      </c>
      <c r="AF75" s="21">
        <f t="shared" si="49"/>
        <v>0.95555555555555538</v>
      </c>
      <c r="AG75" s="172">
        <f>AF81</f>
        <v>0.95757909926176377</v>
      </c>
    </row>
    <row r="76" spans="1:33" ht="15.75" customHeight="1">
      <c r="A76" s="170" t="s">
        <v>2200</v>
      </c>
      <c r="B76" s="4" t="s">
        <v>100</v>
      </c>
      <c r="C76" s="165" t="s">
        <v>109</v>
      </c>
      <c r="D76" s="165"/>
      <c r="E76" s="37">
        <v>24.45</v>
      </c>
      <c r="F76" s="4">
        <v>3180</v>
      </c>
      <c r="G76" s="4">
        <f t="shared" si="50"/>
        <v>77751</v>
      </c>
      <c r="H76" s="22" t="s">
        <v>139</v>
      </c>
      <c r="I76" s="16">
        <v>20</v>
      </c>
      <c r="J76" s="18">
        <v>2400</v>
      </c>
      <c r="K76" s="17">
        <f t="shared" si="43"/>
        <v>120</v>
      </c>
      <c r="L76" s="16">
        <v>20</v>
      </c>
      <c r="M76" s="18">
        <f t="shared" si="51"/>
        <v>2298.7951807228919</v>
      </c>
      <c r="N76" s="17">
        <f t="shared" si="44"/>
        <v>114.93975903614459</v>
      </c>
      <c r="O76" s="19">
        <f t="shared" si="45"/>
        <v>0</v>
      </c>
      <c r="P76" s="20">
        <f t="shared" si="46"/>
        <v>-5.0602409638554064</v>
      </c>
      <c r="Q76" s="21">
        <f t="shared" si="47"/>
        <v>0.95783132530120496</v>
      </c>
      <c r="R76" s="172"/>
      <c r="S76" s="28">
        <v>0.18819444444444444</v>
      </c>
      <c r="T76" s="28">
        <v>0.24583333333333332</v>
      </c>
      <c r="U76" s="4">
        <f t="shared" ref="U76:U80" si="53">(S76-T75)*24*60</f>
        <v>27.999999999999979</v>
      </c>
      <c r="V76" s="22">
        <f t="shared" si="52"/>
        <v>82.999999999999986</v>
      </c>
      <c r="W76" s="23"/>
      <c r="X76" s="23"/>
      <c r="Y76" s="23"/>
      <c r="Z76" s="23"/>
      <c r="AA76" s="164"/>
      <c r="AB76" s="164"/>
      <c r="AC76" s="25"/>
      <c r="AD76" s="25"/>
      <c r="AE76" s="19">
        <f t="shared" si="42"/>
        <v>-101.20481927710807</v>
      </c>
      <c r="AF76" s="21">
        <f t="shared" si="49"/>
        <v>0.95783132530120496</v>
      </c>
      <c r="AG76" s="172"/>
    </row>
    <row r="77" spans="1:33" ht="15.75" customHeight="1">
      <c r="A77" s="170" t="s">
        <v>2200</v>
      </c>
      <c r="B77" s="4" t="s">
        <v>100</v>
      </c>
      <c r="C77" s="165" t="s">
        <v>136</v>
      </c>
      <c r="D77" s="165"/>
      <c r="E77" s="37">
        <v>24.43</v>
      </c>
      <c r="F77" s="4">
        <v>7671</v>
      </c>
      <c r="G77" s="4">
        <f t="shared" si="50"/>
        <v>187402.53</v>
      </c>
      <c r="H77" s="22" t="s">
        <v>139</v>
      </c>
      <c r="I77" s="16">
        <v>14</v>
      </c>
      <c r="J77" s="18">
        <v>2400</v>
      </c>
      <c r="K77" s="17">
        <f t="shared" si="43"/>
        <v>171.42857142857142</v>
      </c>
      <c r="L77" s="16">
        <v>14</v>
      </c>
      <c r="M77" s="18">
        <f t="shared" si="51"/>
        <v>2289.8507462686571</v>
      </c>
      <c r="N77" s="17">
        <f t="shared" si="44"/>
        <v>163.56076759061835</v>
      </c>
      <c r="O77" s="19">
        <f t="shared" si="45"/>
        <v>0</v>
      </c>
      <c r="P77" s="20">
        <f t="shared" si="46"/>
        <v>-7.8678038379530619</v>
      </c>
      <c r="Q77" s="21">
        <f t="shared" si="47"/>
        <v>0.9541044776119405</v>
      </c>
      <c r="R77" s="172"/>
      <c r="S77" s="28">
        <v>0.24930555555555553</v>
      </c>
      <c r="T77" s="28">
        <v>0.38888888888888884</v>
      </c>
      <c r="U77" s="4">
        <f t="shared" si="53"/>
        <v>4.9999999999999822</v>
      </c>
      <c r="V77" s="22">
        <f t="shared" si="52"/>
        <v>200.99999999999997</v>
      </c>
      <c r="W77" s="23"/>
      <c r="X77" s="23"/>
      <c r="Y77" s="23"/>
      <c r="Z77" s="23"/>
      <c r="AA77" s="164"/>
      <c r="AB77" s="164"/>
      <c r="AC77" s="25"/>
      <c r="AD77" s="25"/>
      <c r="AE77" s="19">
        <f t="shared" si="42"/>
        <v>-110.14925373134292</v>
      </c>
      <c r="AF77" s="21">
        <f t="shared" si="49"/>
        <v>0.95410447761194039</v>
      </c>
      <c r="AG77" s="172"/>
    </row>
    <row r="78" spans="1:33" ht="15.75" customHeight="1">
      <c r="A78" s="170" t="s">
        <v>2200</v>
      </c>
      <c r="B78" s="4" t="s">
        <v>100</v>
      </c>
      <c r="C78" s="165" t="s">
        <v>138</v>
      </c>
      <c r="D78" s="165"/>
      <c r="E78" s="37">
        <v>22.69</v>
      </c>
      <c r="F78" s="4">
        <v>1006</v>
      </c>
      <c r="G78" s="4">
        <f t="shared" si="50"/>
        <v>22826.140000000003</v>
      </c>
      <c r="H78" s="22" t="s">
        <v>139</v>
      </c>
      <c r="I78" s="16">
        <v>15</v>
      </c>
      <c r="J78" s="18">
        <v>2400</v>
      </c>
      <c r="K78" s="17">
        <f t="shared" si="43"/>
        <v>160</v>
      </c>
      <c r="L78" s="16">
        <v>15</v>
      </c>
      <c r="M78" s="18">
        <f t="shared" si="51"/>
        <v>2321.5384615384628</v>
      </c>
      <c r="N78" s="17">
        <f t="shared" si="44"/>
        <v>154.76923076923086</v>
      </c>
      <c r="O78" s="19">
        <f t="shared" si="45"/>
        <v>0</v>
      </c>
      <c r="P78" s="20">
        <f t="shared" si="46"/>
        <v>-5.2307692307691411</v>
      </c>
      <c r="Q78" s="21">
        <f t="shared" si="47"/>
        <v>0.96730769230769287</v>
      </c>
      <c r="R78" s="172"/>
      <c r="S78" s="28">
        <v>0.39444444444444438</v>
      </c>
      <c r="T78" s="28">
        <v>0.41249999999999992</v>
      </c>
      <c r="U78" s="4">
        <f t="shared" si="53"/>
        <v>7.9999999999999716</v>
      </c>
      <c r="V78" s="22">
        <f t="shared" si="52"/>
        <v>25.999999999999986</v>
      </c>
      <c r="W78" s="23"/>
      <c r="X78" s="23"/>
      <c r="Y78" s="23"/>
      <c r="Z78" s="23"/>
      <c r="AA78" s="164"/>
      <c r="AB78" s="164"/>
      <c r="AC78" s="25"/>
      <c r="AD78" s="25"/>
      <c r="AE78" s="19">
        <f t="shared" si="42"/>
        <v>-78.461538461537202</v>
      </c>
      <c r="AF78" s="21">
        <f t="shared" si="49"/>
        <v>0.96730769230769287</v>
      </c>
      <c r="AG78" s="172"/>
    </row>
    <row r="79" spans="1:33" ht="15.75" customHeight="1">
      <c r="A79" s="170" t="s">
        <v>2200</v>
      </c>
      <c r="B79" s="4" t="s">
        <v>100</v>
      </c>
      <c r="C79" s="165" t="s">
        <v>135</v>
      </c>
      <c r="D79" s="165"/>
      <c r="E79" s="37">
        <v>19.02</v>
      </c>
      <c r="F79" s="4">
        <v>4500</v>
      </c>
      <c r="G79" s="4">
        <f t="shared" si="50"/>
        <v>85590</v>
      </c>
      <c r="H79" s="22">
        <v>2</v>
      </c>
      <c r="I79" s="16">
        <v>15</v>
      </c>
      <c r="J79" s="18">
        <v>2400</v>
      </c>
      <c r="K79" s="17">
        <f t="shared" si="43"/>
        <v>160</v>
      </c>
      <c r="L79" s="16">
        <v>15</v>
      </c>
      <c r="M79" s="18">
        <f t="shared" si="51"/>
        <v>2288.1355932203396</v>
      </c>
      <c r="N79" s="17">
        <f t="shared" si="44"/>
        <v>152.54237288135599</v>
      </c>
      <c r="O79" s="19">
        <f t="shared" si="45"/>
        <v>0</v>
      </c>
      <c r="P79" s="20">
        <f t="shared" si="46"/>
        <v>-7.4576271186440124</v>
      </c>
      <c r="Q79" s="21">
        <f t="shared" si="47"/>
        <v>0.95338983050847492</v>
      </c>
      <c r="R79" s="172"/>
      <c r="S79" s="28">
        <v>0.41805555555555546</v>
      </c>
      <c r="T79" s="28">
        <v>0.49999999999999989</v>
      </c>
      <c r="U79" s="4">
        <f t="shared" si="53"/>
        <v>7.9999999999999716</v>
      </c>
      <c r="V79" s="22">
        <f t="shared" si="52"/>
        <v>117.99999999999999</v>
      </c>
      <c r="W79" s="23">
        <f>T79</f>
        <v>0.49999999999999989</v>
      </c>
      <c r="X79" s="23">
        <f>S80</f>
        <v>0.54097222222222208</v>
      </c>
      <c r="Y79" s="23"/>
      <c r="Z79" s="23"/>
      <c r="AA79" s="164"/>
      <c r="AB79" s="164"/>
      <c r="AC79" s="25"/>
      <c r="AD79" s="25"/>
      <c r="AE79" s="19">
        <f t="shared" si="42"/>
        <v>-111.86440677966038</v>
      </c>
      <c r="AF79" s="21">
        <f t="shared" si="49"/>
        <v>0.95338983050847481</v>
      </c>
      <c r="AG79" s="172"/>
    </row>
    <row r="80" spans="1:33" ht="15.75" customHeight="1">
      <c r="A80" s="170" t="s">
        <v>2200</v>
      </c>
      <c r="B80" s="4" t="s">
        <v>100</v>
      </c>
      <c r="C80" s="165" t="s">
        <v>135</v>
      </c>
      <c r="D80" s="165"/>
      <c r="E80" s="37">
        <v>19.02</v>
      </c>
      <c r="F80" s="4">
        <v>6701</v>
      </c>
      <c r="G80" s="4">
        <f t="shared" si="50"/>
        <v>127453.02</v>
      </c>
      <c r="H80" s="22" t="s">
        <v>139</v>
      </c>
      <c r="I80" s="16">
        <v>15</v>
      </c>
      <c r="J80" s="18">
        <v>2400</v>
      </c>
      <c r="K80" s="17">
        <f t="shared" si="43"/>
        <v>160</v>
      </c>
      <c r="L80" s="16">
        <v>15</v>
      </c>
      <c r="M80" s="18">
        <f t="shared" si="51"/>
        <v>2297.485714285714</v>
      </c>
      <c r="N80" s="17">
        <f t="shared" si="44"/>
        <v>153.16571428571427</v>
      </c>
      <c r="O80" s="19">
        <f t="shared" si="45"/>
        <v>0</v>
      </c>
      <c r="P80" s="20">
        <f t="shared" si="46"/>
        <v>-6.834285714285727</v>
      </c>
      <c r="Q80" s="21">
        <f t="shared" si="47"/>
        <v>0.95728571428571418</v>
      </c>
      <c r="R80" s="172"/>
      <c r="S80" s="28">
        <v>0.54097222222222208</v>
      </c>
      <c r="T80" s="28">
        <v>0.66249999999999987</v>
      </c>
      <c r="U80" s="4">
        <f t="shared" si="53"/>
        <v>58.99999999999995</v>
      </c>
      <c r="V80" s="22">
        <f t="shared" si="52"/>
        <v>175.00000000000003</v>
      </c>
      <c r="W80" s="23"/>
      <c r="X80" s="23"/>
      <c r="Y80" s="23"/>
      <c r="Z80" s="23"/>
      <c r="AA80" s="164"/>
      <c r="AB80" s="164"/>
      <c r="AC80" s="25"/>
      <c r="AD80" s="25"/>
      <c r="AE80" s="19">
        <f t="shared" si="42"/>
        <v>-102.51428571428596</v>
      </c>
      <c r="AF80" s="21">
        <f t="shared" si="49"/>
        <v>0.95728571428571418</v>
      </c>
      <c r="AG80" s="172"/>
    </row>
    <row r="81" spans="1:33" ht="16.5" customHeight="1">
      <c r="A81" s="171" t="s">
        <v>2200</v>
      </c>
      <c r="B81" s="37" t="s">
        <v>2190</v>
      </c>
      <c r="C81" s="166"/>
      <c r="D81" s="167"/>
      <c r="E81" s="38"/>
      <c r="F81" s="17"/>
      <c r="G81" s="17"/>
      <c r="H81" s="4"/>
      <c r="I81" s="30">
        <v>16.333333333333332</v>
      </c>
      <c r="J81" s="18">
        <v>2400</v>
      </c>
      <c r="K81" s="17">
        <f t="shared" si="43"/>
        <v>146.9387755102041</v>
      </c>
      <c r="L81" s="30">
        <v>16.333333333333332</v>
      </c>
      <c r="M81" s="18">
        <f>AVERAGE(M75:M80)</f>
        <v>2298.1898382282329</v>
      </c>
      <c r="N81" s="17">
        <f t="shared" si="44"/>
        <v>140.70550029968774</v>
      </c>
      <c r="O81" s="19">
        <f t="shared" si="45"/>
        <v>0</v>
      </c>
      <c r="P81" s="20">
        <f t="shared" si="46"/>
        <v>-6.2332752105163536</v>
      </c>
      <c r="Q81" s="21">
        <f t="shared" si="47"/>
        <v>0.95757909926176366</v>
      </c>
      <c r="R81" s="172"/>
      <c r="S81" s="28"/>
      <c r="T81" s="28"/>
      <c r="U81" s="17"/>
      <c r="V81" s="22"/>
      <c r="W81" s="17"/>
      <c r="X81" s="17"/>
      <c r="Y81" s="31">
        <f>SUM(Y75:Y80)</f>
        <v>0</v>
      </c>
      <c r="Z81" s="31">
        <f>SUM(Z75:Z80)</f>
        <v>0</v>
      </c>
      <c r="AA81" s="168"/>
      <c r="AB81" s="168"/>
      <c r="AC81" s="31">
        <v>6</v>
      </c>
      <c r="AD81" s="31">
        <f>SUM(AD75:AD80)</f>
        <v>0</v>
      </c>
      <c r="AE81" s="19">
        <f t="shared" si="42"/>
        <v>-101.81016177176707</v>
      </c>
      <c r="AF81" s="21">
        <f t="shared" si="49"/>
        <v>0.95757909926176377</v>
      </c>
      <c r="AG81" s="172"/>
    </row>
    <row r="82" spans="1:33">
      <c r="D82" s="33"/>
      <c r="E82" s="33"/>
    </row>
  </sheetData>
  <mergeCells count="21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14:A22"/>
    <mergeCell ref="C14:D14"/>
    <mergeCell ref="R14:R22"/>
    <mergeCell ref="AA14:AB14"/>
    <mergeCell ref="AG14:AG22"/>
    <mergeCell ref="C18:D18"/>
    <mergeCell ref="AA18:AB18"/>
    <mergeCell ref="C19:D19"/>
    <mergeCell ref="AA19:AB19"/>
    <mergeCell ref="AA20:AB20"/>
    <mergeCell ref="AA21:AB21"/>
    <mergeCell ref="C15:D15"/>
    <mergeCell ref="AA15:AB15"/>
    <mergeCell ref="C16:D16"/>
    <mergeCell ref="AA16:AB16"/>
    <mergeCell ref="C17:D17"/>
    <mergeCell ref="AA17:AB17"/>
    <mergeCell ref="C22:D22"/>
    <mergeCell ref="AA22:AB22"/>
    <mergeCell ref="A23:A29"/>
    <mergeCell ref="C23:D23"/>
    <mergeCell ref="R23:R29"/>
    <mergeCell ref="AA23:AB23"/>
    <mergeCell ref="AA28:AB28"/>
    <mergeCell ref="C29:D29"/>
    <mergeCell ref="AA29:AB29"/>
    <mergeCell ref="AG30:AG37"/>
    <mergeCell ref="C31:D31"/>
    <mergeCell ref="AA31:AB31"/>
    <mergeCell ref="C32:D32"/>
    <mergeCell ref="AA32:AB32"/>
    <mergeCell ref="C33:D33"/>
    <mergeCell ref="AG23:AG29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AA33:AB33"/>
    <mergeCell ref="C34:D34"/>
    <mergeCell ref="AA34:AB34"/>
    <mergeCell ref="C35:D35"/>
    <mergeCell ref="AA35:AB35"/>
    <mergeCell ref="C36:D36"/>
    <mergeCell ref="AA36:AB36"/>
    <mergeCell ref="A30:A37"/>
    <mergeCell ref="C30:D30"/>
    <mergeCell ref="R30:R37"/>
    <mergeCell ref="AA30:AB30"/>
    <mergeCell ref="C37:D37"/>
    <mergeCell ref="AA37:AB37"/>
    <mergeCell ref="A38:A45"/>
    <mergeCell ref="C38:D38"/>
    <mergeCell ref="R38:R45"/>
    <mergeCell ref="AA38:AB38"/>
    <mergeCell ref="AA43:AB43"/>
    <mergeCell ref="C44:D44"/>
    <mergeCell ref="AA44:AB44"/>
    <mergeCell ref="C45:D45"/>
    <mergeCell ref="AA45:AB45"/>
    <mergeCell ref="C49:D49"/>
    <mergeCell ref="AA49:AB49"/>
    <mergeCell ref="C50:D50"/>
    <mergeCell ref="AA50:AB50"/>
    <mergeCell ref="C51:D51"/>
    <mergeCell ref="AA51:AB51"/>
    <mergeCell ref="C55:D55"/>
    <mergeCell ref="AA55:AB55"/>
    <mergeCell ref="C56:D56"/>
    <mergeCell ref="AA56:AB56"/>
    <mergeCell ref="AA66:AB66"/>
    <mergeCell ref="C67:D67"/>
    <mergeCell ref="AA67:AB67"/>
    <mergeCell ref="AG38:AG45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G46:AG56"/>
    <mergeCell ref="C47:D47"/>
    <mergeCell ref="AA47:AB47"/>
    <mergeCell ref="C48:D48"/>
    <mergeCell ref="AA48:AB48"/>
    <mergeCell ref="C52:D52"/>
    <mergeCell ref="AA52:AB52"/>
    <mergeCell ref="C53:D53"/>
    <mergeCell ref="AA53:AB53"/>
    <mergeCell ref="C54:D54"/>
    <mergeCell ref="AA54:AB54"/>
    <mergeCell ref="A46:A56"/>
    <mergeCell ref="C46:D46"/>
    <mergeCell ref="R46:R56"/>
    <mergeCell ref="AA46:AB46"/>
    <mergeCell ref="AG57:AG67"/>
    <mergeCell ref="C58:D58"/>
    <mergeCell ref="AA58:AB58"/>
    <mergeCell ref="C59:D59"/>
    <mergeCell ref="AA59:AB59"/>
    <mergeCell ref="AA60:AB60"/>
    <mergeCell ref="AA61:AB61"/>
    <mergeCell ref="C62:D62"/>
    <mergeCell ref="AA62:AB62"/>
    <mergeCell ref="C63:D63"/>
    <mergeCell ref="A57:A67"/>
    <mergeCell ref="C57:D57"/>
    <mergeCell ref="R57:R67"/>
    <mergeCell ref="AA57:AB57"/>
    <mergeCell ref="AA63:AB63"/>
    <mergeCell ref="C64:D64"/>
    <mergeCell ref="AA64:AB64"/>
    <mergeCell ref="C65:D65"/>
    <mergeCell ref="AA65:AB65"/>
    <mergeCell ref="C66:D66"/>
    <mergeCell ref="A68:A74"/>
    <mergeCell ref="C68:D68"/>
    <mergeCell ref="R68:R74"/>
    <mergeCell ref="AA68:AB68"/>
    <mergeCell ref="AG68:AG74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73:D73"/>
    <mergeCell ref="AA73:AB73"/>
    <mergeCell ref="C74:D74"/>
    <mergeCell ref="AA74:AB74"/>
    <mergeCell ref="AA78:AB78"/>
    <mergeCell ref="C79:D79"/>
    <mergeCell ref="AA79:AB79"/>
    <mergeCell ref="A75:A81"/>
    <mergeCell ref="C75:D75"/>
    <mergeCell ref="R75:R81"/>
    <mergeCell ref="AA75:AB75"/>
    <mergeCell ref="AG75:AG81"/>
    <mergeCell ref="C76:D76"/>
    <mergeCell ref="AA76:AB76"/>
    <mergeCell ref="C77:D77"/>
    <mergeCell ref="AA77:AB77"/>
    <mergeCell ref="C78:D78"/>
    <mergeCell ref="C80:D80"/>
    <mergeCell ref="AA80:AB80"/>
    <mergeCell ref="C81:D81"/>
    <mergeCell ref="AA81:AB81"/>
  </mergeCells>
  <phoneticPr fontId="3" type="noConversion"/>
  <conditionalFormatting sqref="O5:O81">
    <cfRule type="cellIs" dxfId="238" priority="1" operator="greaterThan">
      <formula>0</formula>
    </cfRule>
  </conditionalFormatting>
  <conditionalFormatting sqref="P5:P81">
    <cfRule type="cellIs" dxfId="237" priority="4" operator="lessThan">
      <formula>0</formula>
    </cfRule>
  </conditionalFormatting>
  <conditionalFormatting sqref="Q5:Q81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R5:R11 AG5:AG11">
    <cfRule type="cellIs" dxfId="234" priority="91" operator="lessThan">
      <formula>0.8</formula>
    </cfRule>
  </conditionalFormatting>
  <conditionalFormatting sqref="AE5:AE81">
    <cfRule type="cellIs" dxfId="233" priority="27" operator="lessThan">
      <formula>0</formula>
    </cfRule>
  </conditionalFormatting>
  <conditionalFormatting sqref="AF5:AF81">
    <cfRule type="cellIs" dxfId="232" priority="25" operator="greaterThan">
      <formula>1</formula>
    </cfRule>
    <cfRule type="cellIs" dxfId="231" priority="26" operator="lessThan">
      <formula>0.8</formula>
    </cfRule>
  </conditionalFormatting>
  <conditionalFormatting sqref="AG14:AG71 R14:R81">
    <cfRule type="cellIs" dxfId="230" priority="5" operator="lessThan">
      <formula>0.8</formula>
    </cfRule>
  </conditionalFormatting>
  <dataValidations count="1">
    <dataValidation type="list" allowBlank="1" showInputMessage="1" showErrorMessage="1" sqref="AB10 AA5:AB9 AB72:AB73 AA10:AA73 AB12:AB68 AA74:AB81" xr:uid="{00000000-0002-0000-09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Q32"/>
  <sheetViews>
    <sheetView zoomScale="85" zoomScaleNormal="85" workbookViewId="0">
      <selection activeCell="L6" sqref="L6:L8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140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2037</v>
      </c>
      <c r="C3" s="153" t="str">
        <f>TEXT('0223 4度C'!A2,"yyyy.mm.ddaaaa")</f>
        <v>2026.02.23星期一</v>
      </c>
      <c r="D3" s="154"/>
      <c r="E3" s="47" t="s">
        <v>2038</v>
      </c>
      <c r="F3" s="155">
        <f>'0223 4度C'!D1</f>
        <v>171985</v>
      </c>
      <c r="G3" s="156"/>
      <c r="H3" s="47" t="s">
        <v>2039</v>
      </c>
      <c r="I3" s="157">
        <f>'0223 4度C'!F1</f>
        <v>5890218.9100000001</v>
      </c>
      <c r="J3" s="158"/>
      <c r="K3" s="48"/>
      <c r="L3" s="49"/>
      <c r="M3" s="49"/>
      <c r="N3" s="49"/>
    </row>
    <row r="4" spans="2:17" ht="28.5" customHeight="1">
      <c r="B4" s="159" t="s">
        <v>2040</v>
      </c>
      <c r="C4" s="145" t="s">
        <v>145</v>
      </c>
      <c r="D4" s="146"/>
      <c r="E4" s="162" t="s">
        <v>2041</v>
      </c>
      <c r="F4" s="163"/>
      <c r="G4" s="162" t="s">
        <v>2042</v>
      </c>
      <c r="H4" s="163"/>
      <c r="I4" s="162" t="s">
        <v>148</v>
      </c>
      <c r="J4" s="163"/>
      <c r="K4" s="143" t="s">
        <v>2043</v>
      </c>
      <c r="L4" s="144"/>
      <c r="M4" s="144" t="s">
        <v>2044</v>
      </c>
      <c r="N4" s="144"/>
    </row>
    <row r="5" spans="2:17" ht="28.5" customHeight="1">
      <c r="B5" s="160"/>
      <c r="C5" s="145" t="s">
        <v>2045</v>
      </c>
      <c r="D5" s="146"/>
      <c r="E5" s="145" t="s">
        <v>152</v>
      </c>
      <c r="F5" s="146"/>
      <c r="G5" s="147" t="s">
        <v>2046</v>
      </c>
      <c r="H5" s="148"/>
      <c r="I5" s="149" t="s">
        <v>154</v>
      </c>
      <c r="J5" s="150"/>
      <c r="K5" s="50" t="s">
        <v>155</v>
      </c>
      <c r="L5" s="51" t="s">
        <v>156</v>
      </c>
      <c r="M5" s="50" t="s">
        <v>155</v>
      </c>
      <c r="N5" s="51" t="s">
        <v>2047</v>
      </c>
    </row>
    <row r="6" spans="2:17" ht="28.5" customHeight="1">
      <c r="B6" s="160"/>
      <c r="C6" s="145" t="s">
        <v>158</v>
      </c>
      <c r="D6" s="146"/>
      <c r="E6" s="137">
        <f>AVERAGE(D13:M13)</f>
        <v>146.3052170019165</v>
      </c>
      <c r="F6" s="138">
        <f>AVERAGE(D31:O31,D13:J13)</f>
        <v>150.50704170640833</v>
      </c>
      <c r="G6" s="139">
        <f>AVERAGE(D13:J13)</f>
        <v>150.50704170640833</v>
      </c>
      <c r="H6" s="140"/>
      <c r="I6" s="139">
        <f>AVERAGE(K13:M13)</f>
        <v>136.50095935810222</v>
      </c>
      <c r="J6" s="140"/>
      <c r="K6" s="141">
        <f>'0223 4度C'!Y2</f>
        <v>0</v>
      </c>
      <c r="L6" s="126">
        <f>'0223 4度C'!Z2</f>
        <v>0</v>
      </c>
      <c r="M6" s="142">
        <f>'0223 4度C'!AC2</f>
        <v>67</v>
      </c>
      <c r="N6" s="126">
        <f>'0223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140.1373855350696</v>
      </c>
      <c r="F7" s="130">
        <f>AVERAGE(D32:O32,D14:J14)</f>
        <v>144.22628556769101</v>
      </c>
      <c r="G7" s="131">
        <f>AVERAGE(D14:J14)</f>
        <v>144.22628556769101</v>
      </c>
      <c r="H7" s="132"/>
      <c r="I7" s="131">
        <f>AVERAGE(K14:M14)</f>
        <v>130.59661879228631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0.95702153618005281</v>
      </c>
      <c r="F8" s="134">
        <f>AVERAGE(D15:J15,D33:O33)</f>
        <v>0.95716899265054978</v>
      </c>
      <c r="G8" s="135">
        <f>AVERAGE(D15:J15)</f>
        <v>0.95716899265054978</v>
      </c>
      <c r="H8" s="136"/>
      <c r="I8" s="135">
        <f>AVERAGE(K15:M15)</f>
        <v>0.95667747108222667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161</v>
      </c>
      <c r="N9" s="49"/>
      <c r="O9" s="49"/>
      <c r="P9" s="49"/>
      <c r="Q9" s="49"/>
    </row>
    <row r="10" spans="2:17" ht="30" customHeight="1">
      <c r="B10" s="109" t="s">
        <v>162</v>
      </c>
      <c r="C10" s="110"/>
      <c r="D10" s="111" t="s">
        <v>163</v>
      </c>
      <c r="E10" s="112"/>
      <c r="F10" s="112"/>
      <c r="G10" s="112"/>
      <c r="H10" s="112"/>
      <c r="I10" s="112"/>
      <c r="J10" s="113"/>
      <c r="K10" s="114" t="s">
        <v>2048</v>
      </c>
      <c r="L10" s="115"/>
      <c r="M10" s="116"/>
      <c r="P10" s="55"/>
      <c r="Q10" s="55"/>
    </row>
    <row r="11" spans="2:17" ht="17.25" customHeight="1">
      <c r="B11" s="117" t="s">
        <v>165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2049</v>
      </c>
      <c r="C13" s="62" t="s">
        <v>2050</v>
      </c>
      <c r="D13" s="63">
        <f>SUMIFS('0223 4度C'!$K:$K,'0223 4度C'!$A:$A,"新豐6線",'0223 4度C'!$B:$B,"平均")</f>
        <v>113.63636363636363</v>
      </c>
      <c r="E13" s="64">
        <f>SUMIFS('0223 4度C'!$K:$K,'0223 4度C'!$A:$A,"新豐2線",'0223 4度C'!$B:$B,"平均")</f>
        <v>83.333333333333329</v>
      </c>
      <c r="F13" s="65">
        <f>SUMIFS('0223 4度C'!$K:$K,'0223 4度C'!$A:$A,"新豐5線",'0223 4度C'!$B:$B,"平均")</f>
        <v>109.48905109489051</v>
      </c>
      <c r="G13" s="65">
        <f>SUMIFS('0223 4度C'!$K:$K,'0223 4度C'!$A:$A,"新豐7線",'0223 4度C'!$B:$B,"平均")</f>
        <v>129.2134831460674</v>
      </c>
      <c r="H13" s="65">
        <f>SUMIFS('0223 4度C'!$K:$K,'0223 4度C'!$A:$A,"新豐3線",'0223 4度C'!$B:$B,"平均")</f>
        <v>306.12244897959181</v>
      </c>
      <c r="I13" s="65">
        <f>SUMIFS('0223 4度C'!$K:$K,'0223 4度C'!$A:$A,"新豐1線",'0223 4度C'!$B:$B,"平均")</f>
        <v>105.4054054054054</v>
      </c>
      <c r="J13" s="66">
        <f>SUMIFS('0223 4度C'!$K:$K,'0223 4度C'!$A:$A,"新豐10線",'0223 4度C'!$B:$B,"平均")</f>
        <v>206.34920634920633</v>
      </c>
      <c r="K13" s="67">
        <f>SUMIFS('0223 4度C'!$K:$K,'0223 4度C'!$A:$A,"新豐8線",'0223 4度C'!$B:$B,"平均")</f>
        <v>129.23076923076923</v>
      </c>
      <c r="L13" s="68">
        <f>SUMIFS('0223 4度C'!$K:$K,'0223 4度C'!$A:$A,"新豐9線",'0223 4度C'!$B:$B,"平均")</f>
        <v>133.33333333333334</v>
      </c>
      <c r="M13" s="66">
        <f>SUMIFS('0223 4度C'!$K:$K,'0223 4度C'!$A:$A,"新豐4線",'0223 4度C'!$B:$B,"平均")</f>
        <v>146.9387755102041</v>
      </c>
    </row>
    <row r="14" spans="2:17" ht="39.6" customHeight="1">
      <c r="B14" s="122"/>
      <c r="C14" s="69" t="s">
        <v>2051</v>
      </c>
      <c r="D14" s="70">
        <f>SUMIFS('0223 4度C'!$N:$N,'0223 4度C'!$A:$A,"新豐6線",'0223 4度C'!$B:$B,"平均")</f>
        <v>109.55910852713194</v>
      </c>
      <c r="E14" s="71">
        <f>SUMIFS('0223 4度C'!$N:$N,'0223 4度C'!$A:$A,"新豐2線",'0223 4度C'!$B:$B,"平均")</f>
        <v>79.417651118418391</v>
      </c>
      <c r="F14" s="71">
        <f>SUMIFS('0223 4度C'!$N:$N,'0223 4度C'!$A:$A,"新豐5線",'0223 4度C'!$B:$B,"平均")</f>
        <v>105.52810706807304</v>
      </c>
      <c r="G14" s="71">
        <f>SUMIFS('0223 4度C'!$N:$N,'0223 4度C'!$A:$A,"新豐7線",'0223 4度C'!$B:$B,"平均")</f>
        <v>123.99985935421034</v>
      </c>
      <c r="H14" s="71">
        <f>SUMIFS('0223 4度C'!$N:$N,'0223 4度C'!$A:$A,"新豐3線",'0223 4度C'!$B:$B,"平均")</f>
        <v>293.22859341619829</v>
      </c>
      <c r="I14" s="71">
        <f>SUMIFS('0223 4度C'!$N:$N,'0223 4度C'!$A:$A,"新豐1線",'0223 4度C'!$B:$B,"平均")</f>
        <v>98.742447122562538</v>
      </c>
      <c r="J14" s="72">
        <f>SUMIFS('0223 4度C'!$N:$N,'0223 4度C'!$A:$A,"新豐10線",'0223 4度C'!$B:$B,"平均")</f>
        <v>199.10823236724249</v>
      </c>
      <c r="K14" s="73">
        <f>SUMIFS('0223 4度C'!$N:$N,'0223 4度C'!$A:$A,"新豐8線",'0223 4度C'!$B:$B,"平均")</f>
        <v>123.46534420916618</v>
      </c>
      <c r="L14" s="74">
        <f>SUMIFS('0223 4度C'!$N:$N,'0223 4度C'!$A:$A,"新豐9線",'0223 4度C'!$B:$B,"平均")</f>
        <v>127.50976321540745</v>
      </c>
      <c r="M14" s="72">
        <f>SUMIFS('0223 4度C'!$N:$N,'0223 4度C'!$A:$A,"新豐4線",'0223 4度C'!$B:$B,"平均")</f>
        <v>140.81474895228533</v>
      </c>
    </row>
    <row r="15" spans="2:17" ht="40.15" customHeight="1">
      <c r="B15" s="123"/>
      <c r="C15" s="75" t="s">
        <v>2052</v>
      </c>
      <c r="D15" s="76">
        <f t="shared" ref="D15:M15" si="0">D14/D13</f>
        <v>0.96412015503876114</v>
      </c>
      <c r="E15" s="77">
        <f t="shared" si="0"/>
        <v>0.9530118134210207</v>
      </c>
      <c r="F15" s="77">
        <f t="shared" si="0"/>
        <v>0.96382337788840045</v>
      </c>
      <c r="G15" s="77">
        <f t="shared" si="0"/>
        <v>0.95965108543693234</v>
      </c>
      <c r="H15" s="77">
        <f t="shared" si="0"/>
        <v>0.95788007182624779</v>
      </c>
      <c r="I15" s="77">
        <f t="shared" si="0"/>
        <v>0.93678731885508049</v>
      </c>
      <c r="J15" s="78">
        <f t="shared" si="0"/>
        <v>0.96490912608740609</v>
      </c>
      <c r="K15" s="76">
        <f t="shared" si="0"/>
        <v>0.95538659209473831</v>
      </c>
      <c r="L15" s="77">
        <f t="shared" si="0"/>
        <v>0.95632322411555581</v>
      </c>
      <c r="M15" s="78">
        <f t="shared" si="0"/>
        <v>0.95832259703638611</v>
      </c>
    </row>
    <row r="16" spans="2:17" ht="17.25" customHeight="1">
      <c r="B16" s="124" t="s">
        <v>2053</v>
      </c>
      <c r="C16" s="79" t="s">
        <v>181</v>
      </c>
      <c r="D16" s="80">
        <f>VLOOKUP("新豐6線",'0223 4度C'!$A:$T,19,0)</f>
        <v>0.70833333333333337</v>
      </c>
      <c r="E16" s="81">
        <f>VLOOKUP("新豐2線",'0223 4度C'!$A:$T,19,0)</f>
        <v>0.20833333333333334</v>
      </c>
      <c r="F16" s="81">
        <f>VLOOKUP("新豐5線",'0223 4度C'!$A:$T,19,0)</f>
        <v>0.20833333333333334</v>
      </c>
      <c r="G16" s="81">
        <f>VLOOKUP("新豐7線",'0223 4度C'!$A:$T,19,0)</f>
        <v>0.20833333333333334</v>
      </c>
      <c r="H16" s="81">
        <f>VLOOKUP("新豐3線",'0223 4度C'!$A:$T,19,0)</f>
        <v>0.20833333333333334</v>
      </c>
      <c r="I16" s="81">
        <f>VLOOKUP("新豐1線",'0223 4度C'!$A:$T,19,0)</f>
        <v>0.20833333333333334</v>
      </c>
      <c r="J16" s="82">
        <f>VLOOKUP("新豐10線",'0223 4度C'!$A:$T,19,0)</f>
        <v>0.20833333333333334</v>
      </c>
      <c r="K16" s="83">
        <f>VLOOKUP("新豐8線",'0223 4度C'!$A:$T,19,0)</f>
        <v>0.125</v>
      </c>
      <c r="L16" s="84">
        <f>VLOOKUP("新豐9線",'0223 4度C'!$A:$T,19,0)</f>
        <v>0.125</v>
      </c>
      <c r="M16" s="85">
        <f>VLOOKUP("新豐4線",'0223 4度C'!$A:$T,19,0)</f>
        <v>0.125</v>
      </c>
    </row>
    <row r="17" spans="2:13" ht="17.25" customHeight="1">
      <c r="B17" s="125"/>
      <c r="C17" s="79" t="s">
        <v>2054</v>
      </c>
      <c r="D17" s="83">
        <f>LOOKUP(2,1/(('0223 4度C'!$A:$A="新豐6線")*('0223 4度C'!$T:$T&lt;&gt;"")),'0223 4度C'!$T:$T)</f>
        <v>0.84999999999999987</v>
      </c>
      <c r="E17" s="81">
        <f>LOOKUP(2,1/(('0223 4度C'!$A:$A="新豐2線")*('0223 4度C'!$T:$T&lt;&gt;"")),'0223 4度C'!$T:$T)</f>
        <v>0.50277777777777777</v>
      </c>
      <c r="F17" s="81">
        <f>LOOKUP(2,1/(('0223 4度C'!$A:$A="新豐5線")*('0223 4度C'!$T:$T&lt;&gt;"")),'0223 4度C'!$T:$T)</f>
        <v>0.95277777777777772</v>
      </c>
      <c r="G17" s="81">
        <f>LOOKUP(2,1/(('0223 4度C'!$A:$A="新豐7線")*('0223 4度C'!$T:$T&lt;&gt;"")),'0223 4度C'!$T:$T)</f>
        <v>0.92291666666666672</v>
      </c>
      <c r="H17" s="81">
        <f>LOOKUP(2,1/(('0223 4度C'!$A:$A="新豐3線")*('0223 4度C'!$T:$T&lt;&gt;"")),'0223 4度C'!$T:$T)</f>
        <v>0.72777777777777763</v>
      </c>
      <c r="I17" s="81">
        <f>LOOKUP(2,1/(('0223 4度C'!$A:$A="新豐1線")*('0223 4度C'!$T:$T&lt;&gt;"")),'0223 4度C'!$T:$T)</f>
        <v>0.9194444444444444</v>
      </c>
      <c r="J17" s="82">
        <f>LOOKUP(2,1/(('0223 4度C'!$A:$A="新豐10線")*('0223 4度C'!$T:$T&lt;&gt;"")),'0223 4度C'!$T:$T)</f>
        <v>0.45972222222222214</v>
      </c>
      <c r="K17" s="80">
        <f>LOOKUP(2,1/(('0223 4度C'!$A:$A="新豐8線")*('0223 4度C'!$T:$T&lt;&gt;"")),'0223 4度C'!$T:$T)</f>
        <v>0.67569444444444426</v>
      </c>
      <c r="L17" s="81">
        <f>LOOKUP(2,1/(('0223 4度C'!$A:$A="新豐9線")*('0223 4度C'!$T:$T&lt;&gt;"")),'0223 4度C'!$T:$T)</f>
        <v>0.66805555555555562</v>
      </c>
      <c r="M17" s="82">
        <f>LOOKUP(2,1/(('0223 4度C'!$A:$A="新豐4線")*('0223 4度C'!$T:$T&lt;&gt;"")),'0223 4度C'!$T:$T)</f>
        <v>0.64513888888888871</v>
      </c>
    </row>
    <row r="18" spans="2:13" ht="17.25" customHeight="1">
      <c r="B18" s="103" t="s">
        <v>183</v>
      </c>
      <c r="C18" s="86" t="s">
        <v>42</v>
      </c>
      <c r="D18" s="87">
        <f>SUMIFS('0223 4度C'!$Y:$Y,'0223 4度C'!$A:$A,"新豐6線",'0223 4度C'!$B:$B,"平均")</f>
        <v>0</v>
      </c>
      <c r="E18" s="88">
        <f>SUMIFS('0223 4度C'!$Y:$Y,'0223 4度C'!$A:$A,"新豐2線",'0223 4度C'!$B:$B,"平均")</f>
        <v>0</v>
      </c>
      <c r="F18" s="88">
        <f>SUMIFS('0223 4度C'!$Y:$Y,'0223 4度C'!$A:$A,"新豐5線",'0223 4度C'!$B:$B,"平均")</f>
        <v>0</v>
      </c>
      <c r="G18" s="88">
        <f>SUMIFS('0223 4度C'!$Y:$Y,'0223 4度C'!$A:$A,"新豐7線",'0223 4度C'!$B:$B,"平均")</f>
        <v>0</v>
      </c>
      <c r="H18" s="88">
        <f>SUMIFS('0223 4度C'!$Y:$Y,'0223 4度C'!$A:$A,"新豐3線",'0223 4度C'!$B:$B,"平均")</f>
        <v>0</v>
      </c>
      <c r="I18" s="88">
        <f>SUMIFS('0223 4度C'!$Y:$Y,'0223 4度C'!$A:$A,"新豐1線",'0223 4度C'!$B:$B,"平均")</f>
        <v>0</v>
      </c>
      <c r="J18" s="89">
        <f>SUMIFS('0223 4度C'!$Y:$Y,'0223 4度C'!$A:$A,"新豐10線",'0223 4度C'!$B:$B,"平均")</f>
        <v>0</v>
      </c>
      <c r="K18" s="90">
        <f>SUMIFS('0223 4度C'!$Y:$Y,'0223 4度C'!$A:$A,"新豐8線",'0223 4度C'!$B:$B,"平均")</f>
        <v>0</v>
      </c>
      <c r="L18" s="88">
        <f>SUMIFS('0223 4度C'!$Y:$Y,'0223 4度C'!$A:$A,"新豐9線",'0223 4度C'!$B:$B,"平均")</f>
        <v>0</v>
      </c>
      <c r="M18" s="89">
        <f>SUMIFS('0223 4度C'!$Y:$Y,'0223 4度C'!$A:$A,"新豐4線",'0223 4度C'!$B:$B,"平均")</f>
        <v>0</v>
      </c>
    </row>
    <row r="19" spans="2:13" ht="17.25" customHeight="1">
      <c r="B19" s="104"/>
      <c r="C19" s="86" t="s">
        <v>185</v>
      </c>
      <c r="D19" s="87">
        <f>SUMIFS('0223 4度C'!$Z:$Z,'0223 4度C'!$A:$A,"新豐6線",'0223 4度C'!$B:$B,"平均")</f>
        <v>0</v>
      </c>
      <c r="E19" s="88">
        <f>SUMIFS('0223 4度C'!$Z:$Z,'0223 4度C'!$A:$A,"新豐2線",'0223 4度C'!$B:$B,"平均")</f>
        <v>0</v>
      </c>
      <c r="F19" s="88">
        <f>SUMIFS('0223 4度C'!$Z:$Z,'0223 4度C'!$A:$A,"新豐5線",'0223 4度C'!$B:$B,"平均")</f>
        <v>0</v>
      </c>
      <c r="G19" s="88">
        <f>SUMIFS('0223 4度C'!$Z:$Z,'0223 4度C'!$A:$A,"新豐7線",'0223 4度C'!$B:$B,"平均")</f>
        <v>0</v>
      </c>
      <c r="H19" s="88">
        <f>SUMIFS('0223 4度C'!$Z:$Z,'0223 4度C'!$A:$A,"新豐3線",'0223 4度C'!$B:$B,"平均")</f>
        <v>0</v>
      </c>
      <c r="I19" s="88">
        <f>SUMIFS('0223 4度C'!$Z:$Z,'0223 4度C'!$A:$A,"新豐1線",'0223 4度C'!$B:$B,"平均")</f>
        <v>0</v>
      </c>
      <c r="J19" s="89">
        <f>SUMIFS('0223 4度C'!$Z:$Z,'0223 4度C'!$A:$A,"新豐10線",'0223 4度C'!$B:$B,"平均")</f>
        <v>0</v>
      </c>
      <c r="K19" s="90">
        <f>SUMIFS('0223 4度C'!$Z:$Z,'0223 4度C'!$A:$A,"新豐8線",'0223 4度C'!$B:$B,"平均")</f>
        <v>0</v>
      </c>
      <c r="L19" s="88">
        <f>SUMIFS('0223 4度C'!$Z:$Z,'0223 4度C'!$A:$A,"新豐9線",'0223 4度C'!$B:$B,"平均")</f>
        <v>0</v>
      </c>
      <c r="M19" s="89">
        <f>SUMIFS('0223 4度C'!$Z:$Z,'0223 4度C'!$A:$A,"新豐4線",'0223 4度C'!$B:$B,"平均")</f>
        <v>0</v>
      </c>
    </row>
    <row r="20" spans="2:13" ht="17.25" customHeight="1">
      <c r="B20" s="103" t="s">
        <v>2055</v>
      </c>
      <c r="C20" s="86" t="s">
        <v>42</v>
      </c>
      <c r="D20" s="87">
        <f>SUMIFS('0223 4度C'!$AC:$AC,'0223 4度C'!$A:$A,"新豐6線",'0223 4度C'!$B:$B,"平均")</f>
        <v>5</v>
      </c>
      <c r="E20" s="88">
        <f>SUMIFS('0223 4度C'!$AC:$AC,'0223 4度C'!$A:$A,"新豐2線",'0223 4度C'!$B:$B,"平均")</f>
        <v>2</v>
      </c>
      <c r="F20" s="88">
        <f>SUMIFS('0223 4度C'!$AC:$AC,'0223 4度C'!$A:$A,"新豐5線",'0223 4度C'!$B:$B,"平均")</f>
        <v>8</v>
      </c>
      <c r="G20" s="88">
        <f>SUMIFS('0223 4度C'!$AC:$AC,'0223 4度C'!$A:$A,"新豐7線",'0223 4度C'!$B:$B,"平均")</f>
        <v>6</v>
      </c>
      <c r="H20" s="88">
        <f>SUMIFS('0223 4度C'!$AC:$AC,'0223 4度C'!$A:$A,"新豐3線",'0223 4度C'!$B:$B,"平均")</f>
        <v>10</v>
      </c>
      <c r="I20" s="88">
        <f>SUMIFS('0223 4度C'!$AC:$AC,'0223 4度C'!$A:$A,"新豐1線",'0223 4度C'!$B:$B,"平均")</f>
        <v>10</v>
      </c>
      <c r="J20" s="89">
        <f>SUMIFS('0223 4度C'!$AC:$AC,'0223 4度C'!$A:$A,"新豐10線",'0223 4度C'!$B:$B,"平均")</f>
        <v>6</v>
      </c>
      <c r="K20" s="90">
        <f>SUMIFS('0223 4度C'!$AC:$AC,'0223 4度C'!$A:$A,"新豐8線",'0223 4度C'!$B:$B,"平均")</f>
        <v>7</v>
      </c>
      <c r="L20" s="88">
        <f>SUMIFS('0223 4度C'!$AC:$AC,'0223 4度C'!$A:$A,"新豐9線",'0223 4度C'!$B:$B,"平均")</f>
        <v>7</v>
      </c>
      <c r="M20" s="89">
        <f>SUMIFS('0223 4度C'!$AC:$AC,'0223 4度C'!$A:$A,"新豐4線",'0223 4度C'!$B:$B,"平均")</f>
        <v>6</v>
      </c>
    </row>
    <row r="21" spans="2:13" ht="17.25" customHeight="1">
      <c r="B21" s="104"/>
      <c r="C21" s="86" t="s">
        <v>188</v>
      </c>
      <c r="D21" s="87">
        <f>SUMIFS('0223 4度C'!$AD:$AD,'0223 4度C'!$A:$A,"新豐6線",'0223 4度C'!$B:$B,"平均")</f>
        <v>0</v>
      </c>
      <c r="E21" s="88">
        <f>SUMIFS('0223 4度C'!$AD:$AD,'0223 4度C'!$A:$A,"新豐2線",'0223 4度C'!$B:$B,"平均")</f>
        <v>0</v>
      </c>
      <c r="F21" s="88">
        <f>SUMIFS('0223 4度C'!$AD:$AD,'0223 4度C'!$A:$A,"新豐5線",'0223 4度C'!$B:$B,"平均")</f>
        <v>0</v>
      </c>
      <c r="G21" s="88">
        <f>SUMIFS('0223 4度C'!$AD:$AD,'0223 4度C'!$A:$A,"新豐7線",'0223 4度C'!$B:$B,"平均")</f>
        <v>0</v>
      </c>
      <c r="H21" s="88">
        <f>SUMIFS('0223 4度C'!$AD:$AD,'0223 4度C'!$A:$A,"新豐3線",'0223 4度C'!$B:$B,"平均")</f>
        <v>0</v>
      </c>
      <c r="I21" s="88">
        <f>SUMIFS('0223 4度C'!$AD:$AD,'0223 4度C'!$A:$A,"新豐1線",'0223 4度C'!$B:$B,"平均")</f>
        <v>0</v>
      </c>
      <c r="J21" s="89">
        <f>SUMIFS('0223 4度C'!$AD:$AD,'0223 4度C'!$A:$A,"新豐10線",'0223 4度C'!$B:$B,"平均")</f>
        <v>0</v>
      </c>
      <c r="K21" s="90">
        <f>SUMIFS('0223 4度C'!$AD:$AD,'0223 4度C'!$A:$A,"新豐8線",'0223 4度C'!$B:$B,"平均")</f>
        <v>0</v>
      </c>
      <c r="L21" s="88">
        <f>SUMIFS('0223 4度C'!$AD:$AD,'0223 4度C'!$A:$A,"新豐9線",'0223 4度C'!$B:$B,"平均")</f>
        <v>0</v>
      </c>
      <c r="M21" s="89">
        <f>SUMIFS('0223 4度C'!$AD:$AD,'0223 4度C'!$A:$A,"新豐4線",'0223 4度C'!$B:$B,"平均")</f>
        <v>0</v>
      </c>
    </row>
    <row r="22" spans="2:13" ht="17.25" customHeight="1">
      <c r="B22" s="105" t="s">
        <v>2056</v>
      </c>
      <c r="C22" s="106"/>
      <c r="D22" s="91">
        <f>SUMIFS('0223 4度C'!$I:$I,'0223 4度C'!$A:$A,"新豐6線",'0223 4度C'!$B:$B,"平均")</f>
        <v>17.600000000000001</v>
      </c>
      <c r="E22" s="92">
        <f>SUMIFS('0223 4度C'!$I:$I,'0223 4度C'!$A:$A,"新豐2線",'0223 4度C'!$B:$B,"平均")</f>
        <v>18</v>
      </c>
      <c r="F22" s="92">
        <f>SUMIFS('0223 4度C'!$I:$I,'0223 4度C'!$A:$A,"新豐5線",'0223 4度C'!$B:$B,"平均")</f>
        <v>17.125</v>
      </c>
      <c r="G22" s="92">
        <f>SUMIFS('0223 4度C'!$I:$I,'0223 4度C'!$A:$A,"新豐7線",'0223 4度C'!$B:$B,"平均")</f>
        <v>14.833333333333334</v>
      </c>
      <c r="H22" s="92">
        <f>SUMIFS('0223 4度C'!$I:$I,'0223 4度C'!$A:$A,"新豐3線",'0223 4度C'!$B:$B,"平均")</f>
        <v>9.8000000000000007</v>
      </c>
      <c r="I22" s="92">
        <f>SUMIFS('0223 4度C'!$I:$I,'0223 4度C'!$A:$A,"新豐1線",'0223 4度C'!$B:$B,"平均")</f>
        <v>18.5</v>
      </c>
      <c r="J22" s="93">
        <f>SUMIFS('0223 4度C'!$I:$I,'0223 4度C'!$A:$A,"新豐10線",'0223 4度C'!$B:$B,"平均")</f>
        <v>10.5</v>
      </c>
      <c r="K22" s="91">
        <f>SUMIFS('0223 4度C'!$I:$I,'0223 4度C'!$A:$A,"新豐8線",'0223 4度C'!$B:$B,"平均")</f>
        <v>18.571428571428573</v>
      </c>
      <c r="L22" s="92">
        <f>SUMIFS('0223 4度C'!$I:$I,'0223 4度C'!$A:$A,"新豐9線",'0223 4度C'!$B:$B,"平均")</f>
        <v>18</v>
      </c>
      <c r="M22" s="93">
        <f>SUMIFS('0223 4度C'!$I:$I,'0223 4度C'!$A:$A,"新豐4線",'0223 4度C'!$B:$B,"平均")</f>
        <v>16.333333333333332</v>
      </c>
    </row>
    <row r="23" spans="2:13" ht="17.25" customHeight="1">
      <c r="B23" s="105" t="s">
        <v>439</v>
      </c>
      <c r="C23" s="106"/>
      <c r="D23" s="94" t="s">
        <v>191</v>
      </c>
      <c r="E23" s="95" t="s">
        <v>192</v>
      </c>
      <c r="F23" s="95" t="s">
        <v>238</v>
      </c>
      <c r="G23" s="95" t="s">
        <v>238</v>
      </c>
      <c r="H23" s="95" t="s">
        <v>194</v>
      </c>
      <c r="I23" s="95" t="s">
        <v>191</v>
      </c>
      <c r="J23" s="96" t="s">
        <v>194</v>
      </c>
      <c r="K23" s="94" t="s">
        <v>239</v>
      </c>
      <c r="L23" s="95" t="s">
        <v>239</v>
      </c>
      <c r="M23" s="96" t="s">
        <v>239</v>
      </c>
    </row>
    <row r="24" spans="2:13" ht="17.25" customHeight="1">
      <c r="B24" s="105" t="s">
        <v>196</v>
      </c>
      <c r="C24" s="106"/>
      <c r="D24" s="94"/>
      <c r="E24" s="95"/>
      <c r="F24" s="95" t="s">
        <v>531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198</v>
      </c>
      <c r="C25" s="108"/>
      <c r="D25" s="97"/>
      <c r="E25" s="98" t="s">
        <v>199</v>
      </c>
      <c r="F25" s="101" t="s">
        <v>200</v>
      </c>
      <c r="G25" s="102"/>
      <c r="H25" s="98" t="s">
        <v>201</v>
      </c>
      <c r="I25" s="98" t="s">
        <v>2057</v>
      </c>
      <c r="J25" s="99" t="s">
        <v>201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2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3">
    <pageSetUpPr fitToPage="1"/>
  </sheetPr>
  <dimension ref="A1:AG82"/>
  <sheetViews>
    <sheetView zoomScale="80" zoomScaleNormal="80" workbookViewId="0">
      <pane ySplit="4" topLeftCell="A5" activePane="bottomLeft" state="frozen"/>
      <selection activeCell="J13" sqref="J13"/>
      <selection pane="bottomLeft" activeCell="G26" sqref="G2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2058</v>
      </c>
      <c r="B1" s="1"/>
      <c r="C1" s="2" t="s">
        <v>1</v>
      </c>
      <c r="D1" s="3">
        <f>SUM(F5:F81)</f>
        <v>171985</v>
      </c>
      <c r="E1" s="4" t="s">
        <v>2059</v>
      </c>
      <c r="F1" s="1">
        <f>SUM(G5:G81)</f>
        <v>5890218.9100000001</v>
      </c>
      <c r="G1" s="1" t="s">
        <v>2060</v>
      </c>
      <c r="H1" s="5">
        <f>L10+L13+L56+L67+L22+L74+L37+L45+L29+L81</f>
        <v>159.26309523809527</v>
      </c>
      <c r="I1" s="214" t="s">
        <v>2061</v>
      </c>
      <c r="J1" s="214"/>
      <c r="K1" s="214"/>
      <c r="L1" s="214" t="s">
        <v>2062</v>
      </c>
      <c r="M1" s="214"/>
      <c r="N1" s="214"/>
      <c r="O1" s="214" t="s">
        <v>2063</v>
      </c>
      <c r="P1" s="214"/>
      <c r="Q1" s="214"/>
      <c r="R1" s="214"/>
      <c r="S1" s="214" t="s">
        <v>2064</v>
      </c>
      <c r="T1" s="214"/>
      <c r="U1" s="214"/>
      <c r="V1" s="214"/>
      <c r="W1" s="214"/>
      <c r="X1" s="214"/>
      <c r="Y1" s="6" t="s">
        <v>2065</v>
      </c>
      <c r="Z1" s="7" t="s">
        <v>2066</v>
      </c>
      <c r="AA1" s="215" t="s">
        <v>939</v>
      </c>
      <c r="AB1" s="215"/>
      <c r="AC1" s="8" t="s">
        <v>2065</v>
      </c>
      <c r="AD1" s="7" t="s">
        <v>2067</v>
      </c>
      <c r="AE1" s="214" t="s">
        <v>2068</v>
      </c>
      <c r="AF1" s="216"/>
      <c r="AG1" s="216"/>
    </row>
    <row r="2" spans="1:33" ht="26.25" customHeight="1">
      <c r="A2" s="35">
        <v>46076</v>
      </c>
      <c r="B2" s="36" t="s">
        <v>254</v>
      </c>
      <c r="C2" s="2" t="s">
        <v>2049</v>
      </c>
      <c r="D2" s="10">
        <f>AVERAGE(N10,N13,N56,N67,N22,N74,N29,N37,N45,N81)</f>
        <v>140.1373855350696</v>
      </c>
      <c r="E2" s="11" t="s">
        <v>14</v>
      </c>
      <c r="F2" s="12">
        <f>F1/D1</f>
        <v>34.248445562112977</v>
      </c>
      <c r="G2" s="1" t="s">
        <v>2069</v>
      </c>
      <c r="H2" s="13">
        <f>COUNT(H5:H81)</f>
        <v>13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SUM(Y10+Y13+Y22+Y29+Y37+Y45+Y56+Y67+Y74+Y81)</f>
        <v>0</v>
      </c>
      <c r="Z2" s="14">
        <f>SUM(Z10+Z13+Z22+Z29+Z37+Z45+Z56+Z67+Z74+Z81)</f>
        <v>0</v>
      </c>
      <c r="AA2" s="215"/>
      <c r="AB2" s="215"/>
      <c r="AC2" s="14">
        <f>SUM(AC10+AC13+AC22+AC29+AC37+AC45+AC56+AC67+AC74+AC81)</f>
        <v>67</v>
      </c>
      <c r="AD2" s="14">
        <f>SUM(AD10+AD13+AD22+AD29+AD37+AD45+AD56+AD67+AD74+AD81)</f>
        <v>0</v>
      </c>
      <c r="AE2" s="216"/>
      <c r="AF2" s="216"/>
      <c r="AG2" s="216"/>
    </row>
    <row r="3" spans="1:33" ht="40.5" customHeight="1">
      <c r="A3" s="164" t="s">
        <v>2070</v>
      </c>
      <c r="B3" s="164" t="s">
        <v>2071</v>
      </c>
      <c r="C3" s="164" t="s">
        <v>2072</v>
      </c>
      <c r="D3" s="164"/>
      <c r="E3" s="212" t="s">
        <v>258</v>
      </c>
      <c r="F3" s="164" t="s">
        <v>2073</v>
      </c>
      <c r="G3" s="212" t="s">
        <v>2074</v>
      </c>
      <c r="H3" s="206" t="s">
        <v>2075</v>
      </c>
      <c r="I3" s="204" t="s">
        <v>23</v>
      </c>
      <c r="J3" s="201" t="s">
        <v>2076</v>
      </c>
      <c r="K3" s="211" t="s">
        <v>2049</v>
      </c>
      <c r="L3" s="204" t="s">
        <v>2077</v>
      </c>
      <c r="M3" s="201" t="s">
        <v>2076</v>
      </c>
      <c r="N3" s="211" t="s">
        <v>2049</v>
      </c>
      <c r="O3" s="204" t="s">
        <v>2077</v>
      </c>
      <c r="P3" s="211" t="s">
        <v>2049</v>
      </c>
      <c r="Q3" s="202" t="s">
        <v>2078</v>
      </c>
      <c r="R3" s="182" t="s">
        <v>2079</v>
      </c>
      <c r="S3" s="164" t="s">
        <v>30</v>
      </c>
      <c r="T3" s="164"/>
      <c r="U3" s="206" t="s">
        <v>31</v>
      </c>
      <c r="V3" s="206" t="s">
        <v>2080</v>
      </c>
      <c r="W3" s="164" t="s">
        <v>2081</v>
      </c>
      <c r="X3" s="164"/>
      <c r="Y3" s="207" t="s">
        <v>2082</v>
      </c>
      <c r="Z3" s="168"/>
      <c r="AA3" s="208" t="s">
        <v>2083</v>
      </c>
      <c r="AB3" s="209"/>
      <c r="AC3" s="207" t="s">
        <v>2084</v>
      </c>
      <c r="AD3" s="168"/>
      <c r="AE3" s="201" t="s">
        <v>2076</v>
      </c>
      <c r="AF3" s="202" t="s">
        <v>2078</v>
      </c>
      <c r="AG3" s="182" t="s">
        <v>2079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2085</v>
      </c>
      <c r="X4" s="4" t="s">
        <v>2086</v>
      </c>
      <c r="Y4" s="15" t="s">
        <v>2087</v>
      </c>
      <c r="Z4" s="15" t="s">
        <v>2088</v>
      </c>
      <c r="AA4" s="210"/>
      <c r="AB4" s="209"/>
      <c r="AC4" s="15" t="s">
        <v>2089</v>
      </c>
      <c r="AD4" s="15" t="s">
        <v>2090</v>
      </c>
      <c r="AE4" s="201"/>
      <c r="AF4" s="202"/>
      <c r="AG4" s="182"/>
    </row>
    <row r="5" spans="1:33">
      <c r="A5" s="203" t="s">
        <v>2091</v>
      </c>
      <c r="B5" s="37" t="s">
        <v>78</v>
      </c>
      <c r="C5" s="205" t="s">
        <v>79</v>
      </c>
      <c r="D5" s="205"/>
      <c r="E5" s="37">
        <v>50.67</v>
      </c>
      <c r="F5" s="4">
        <v>1734</v>
      </c>
      <c r="G5" s="4">
        <f t="shared" ref="G5:G9" si="0">E5*F5</f>
        <v>87861.78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9" si="2">F5/V5*60</f>
        <v>1926.6666666666677</v>
      </c>
      <c r="N5" s="17">
        <f t="shared" ref="N5:N68" si="3">M5/L5</f>
        <v>113.33333333333339</v>
      </c>
      <c r="O5" s="19">
        <f t="shared" ref="O5:O68" si="4">L5-I5</f>
        <v>0</v>
      </c>
      <c r="P5" s="20">
        <f t="shared" ref="P5:P68" si="5">N5-K5</f>
        <v>-4.3137254901960205</v>
      </c>
      <c r="Q5" s="21">
        <f t="shared" ref="Q5:Q68" si="6">N5/K5</f>
        <v>0.96333333333333382</v>
      </c>
      <c r="R5" s="172">
        <f>Q10</f>
        <v>0.96412015503876114</v>
      </c>
      <c r="S5" s="28">
        <v>0.70833333333333337</v>
      </c>
      <c r="T5" s="28">
        <v>0.74583333333333335</v>
      </c>
      <c r="U5" s="4"/>
      <c r="V5" s="22">
        <f t="shared" ref="V5:V9" si="7">(T5-S5)*24*60</f>
        <v>53.999999999999972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66" si="8">M5-J5</f>
        <v>-73.333333333332348</v>
      </c>
      <c r="AF5" s="21">
        <f t="shared" ref="AF5:AF68" si="9">M5/J5</f>
        <v>0.96333333333333382</v>
      </c>
      <c r="AG5" s="172">
        <f>AF10</f>
        <v>0.96412015503876114</v>
      </c>
    </row>
    <row r="6" spans="1:33">
      <c r="A6" s="204" t="s">
        <v>2091</v>
      </c>
      <c r="B6" s="37" t="s">
        <v>78</v>
      </c>
      <c r="C6" s="205" t="s">
        <v>80</v>
      </c>
      <c r="D6" s="205"/>
      <c r="E6" s="37">
        <v>54.09</v>
      </c>
      <c r="F6" s="4">
        <v>1390</v>
      </c>
      <c r="G6" s="4">
        <f t="shared" si="0"/>
        <v>75185.100000000006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1939.5348837209301</v>
      </c>
      <c r="N6" s="17">
        <f t="shared" si="3"/>
        <v>102.08078335373317</v>
      </c>
      <c r="O6" s="19">
        <f t="shared" si="4"/>
        <v>0</v>
      </c>
      <c r="P6" s="20">
        <f t="shared" si="5"/>
        <v>-3.1823745410036679</v>
      </c>
      <c r="Q6" s="21">
        <f t="shared" si="6"/>
        <v>0.96976744186046515</v>
      </c>
      <c r="R6" s="172"/>
      <c r="S6" s="28">
        <v>0.74930555555555556</v>
      </c>
      <c r="T6" s="28">
        <v>0.77916666666666667</v>
      </c>
      <c r="U6" s="4">
        <f t="shared" ref="U6:U9" si="10">IF(S6=TIME(17,0,0),"",(S6-T5)*24*60)</f>
        <v>4.9999999999999822</v>
      </c>
      <c r="V6" s="22">
        <f t="shared" si="7"/>
        <v>43.000000000000007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-60.465116279069889</v>
      </c>
      <c r="AF6" s="21">
        <f t="shared" si="9"/>
        <v>0.96976744186046504</v>
      </c>
      <c r="AG6" s="172"/>
    </row>
    <row r="7" spans="1:33">
      <c r="A7" s="204" t="s">
        <v>2091</v>
      </c>
      <c r="B7" s="37" t="s">
        <v>78</v>
      </c>
      <c r="C7" s="196" t="s">
        <v>81</v>
      </c>
      <c r="D7" s="197"/>
      <c r="E7" s="37">
        <v>50.29</v>
      </c>
      <c r="F7" s="4">
        <v>634</v>
      </c>
      <c r="G7" s="4">
        <f t="shared" si="0"/>
        <v>31883.86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1902.0000000000068</v>
      </c>
      <c r="N7" s="17">
        <f t="shared" si="3"/>
        <v>118.87500000000043</v>
      </c>
      <c r="O7" s="19">
        <f t="shared" si="4"/>
        <v>0</v>
      </c>
      <c r="P7" s="20">
        <f t="shared" si="5"/>
        <v>-6.1249999999995737</v>
      </c>
      <c r="Q7" s="21">
        <f t="shared" si="6"/>
        <v>0.9510000000000034</v>
      </c>
      <c r="R7" s="172"/>
      <c r="S7" s="28">
        <v>0.78263888888888888</v>
      </c>
      <c r="T7" s="28">
        <v>0.79652777777777772</v>
      </c>
      <c r="U7" s="4">
        <f t="shared" si="10"/>
        <v>4.9999999999999822</v>
      </c>
      <c r="V7" s="22">
        <f t="shared" si="7"/>
        <v>19.999999999999929</v>
      </c>
      <c r="W7" s="23"/>
      <c r="X7" s="23"/>
      <c r="Y7" s="26"/>
      <c r="Z7" s="26"/>
      <c r="AA7" s="175"/>
      <c r="AB7" s="176"/>
      <c r="AC7" s="27"/>
      <c r="AD7" s="27"/>
      <c r="AE7" s="19">
        <f t="shared" si="8"/>
        <v>-97.999999999993179</v>
      </c>
      <c r="AF7" s="21">
        <f t="shared" si="9"/>
        <v>0.9510000000000034</v>
      </c>
      <c r="AG7" s="172"/>
    </row>
    <row r="8" spans="1:33">
      <c r="A8" s="204" t="s">
        <v>2091</v>
      </c>
      <c r="B8" s="37" t="s">
        <v>78</v>
      </c>
      <c r="C8" s="196" t="s">
        <v>82</v>
      </c>
      <c r="D8" s="197"/>
      <c r="E8" s="37">
        <v>57.3</v>
      </c>
      <c r="F8" s="4">
        <v>1376</v>
      </c>
      <c r="G8" s="4">
        <f t="shared" si="0"/>
        <v>78844.800000000003</v>
      </c>
      <c r="H8" s="22" t="s">
        <v>139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1919.9999999999998</v>
      </c>
      <c r="N8" s="17">
        <f t="shared" si="3"/>
        <v>127.99999999999999</v>
      </c>
      <c r="O8" s="19">
        <f t="shared" si="4"/>
        <v>0</v>
      </c>
      <c r="P8" s="20">
        <f t="shared" si="5"/>
        <v>-5.333333333333357</v>
      </c>
      <c r="Q8" s="21">
        <f t="shared" si="6"/>
        <v>0.95999999999999985</v>
      </c>
      <c r="R8" s="172"/>
      <c r="S8" s="28">
        <v>0.80138888888888882</v>
      </c>
      <c r="T8" s="28">
        <v>0.83124999999999993</v>
      </c>
      <c r="U8" s="4">
        <f t="shared" si="10"/>
        <v>6.9999999999999751</v>
      </c>
      <c r="V8" s="22">
        <f t="shared" si="7"/>
        <v>43.000000000000007</v>
      </c>
      <c r="W8" s="28"/>
      <c r="X8" s="28"/>
      <c r="Y8" s="29"/>
      <c r="Z8" s="29"/>
      <c r="AA8" s="175"/>
      <c r="AB8" s="176"/>
      <c r="AC8" s="27"/>
      <c r="AD8" s="27"/>
      <c r="AE8" s="19">
        <f t="shared" si="8"/>
        <v>-80.000000000000227</v>
      </c>
      <c r="AF8" s="21">
        <f t="shared" si="9"/>
        <v>0.95999999999999985</v>
      </c>
      <c r="AG8" s="172"/>
    </row>
    <row r="9" spans="1:33">
      <c r="A9" s="204" t="s">
        <v>46</v>
      </c>
      <c r="B9" s="37" t="s">
        <v>78</v>
      </c>
      <c r="C9" s="196" t="s">
        <v>83</v>
      </c>
      <c r="D9" s="197"/>
      <c r="E9" s="37">
        <v>50.67</v>
      </c>
      <c r="F9" s="4">
        <v>651</v>
      </c>
      <c r="G9" s="4">
        <f t="shared" si="0"/>
        <v>32986.17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1953.000000000007</v>
      </c>
      <c r="N9" s="17">
        <f t="shared" si="3"/>
        <v>93.000000000000341</v>
      </c>
      <c r="O9" s="19">
        <f t="shared" si="4"/>
        <v>0</v>
      </c>
      <c r="P9" s="20">
        <f t="shared" si="5"/>
        <v>-2.2380952380948997</v>
      </c>
      <c r="Q9" s="21">
        <f t="shared" si="6"/>
        <v>0.97650000000000359</v>
      </c>
      <c r="R9" s="172"/>
      <c r="S9" s="28">
        <v>0.83611111111111103</v>
      </c>
      <c r="T9" s="28">
        <v>0.84999999999999987</v>
      </c>
      <c r="U9" s="4">
        <f t="shared" si="10"/>
        <v>6.9999999999999751</v>
      </c>
      <c r="V9" s="22">
        <f t="shared" si="7"/>
        <v>19.999999999999929</v>
      </c>
      <c r="W9" s="23"/>
      <c r="X9" s="23"/>
      <c r="Y9" s="26"/>
      <c r="Z9" s="26"/>
      <c r="AA9" s="175"/>
      <c r="AB9" s="176"/>
      <c r="AC9" s="27"/>
      <c r="AD9" s="27"/>
      <c r="AE9" s="19">
        <f t="shared" si="8"/>
        <v>-46.999999999992951</v>
      </c>
      <c r="AF9" s="21">
        <f t="shared" si="9"/>
        <v>0.97650000000000348</v>
      </c>
      <c r="AG9" s="172"/>
    </row>
    <row r="10" spans="1:33">
      <c r="A10" s="204" t="s">
        <v>2091</v>
      </c>
      <c r="B10" s="37" t="s">
        <v>2092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1"/>
        <v>113.63636363636363</v>
      </c>
      <c r="L10" s="30">
        <v>17.600000000000001</v>
      </c>
      <c r="M10" s="18">
        <f>AVERAGE(M5:M9)</f>
        <v>1928.2403100775223</v>
      </c>
      <c r="N10" s="17">
        <f t="shared" si="3"/>
        <v>109.55910852713194</v>
      </c>
      <c r="O10" s="19">
        <f t="shared" si="4"/>
        <v>0</v>
      </c>
      <c r="P10" s="20">
        <f t="shared" si="5"/>
        <v>-4.077255109231686</v>
      </c>
      <c r="Q10" s="21">
        <f t="shared" si="6"/>
        <v>0.96412015503876114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8"/>
        <v>-71.759689922477719</v>
      </c>
      <c r="AF10" s="21">
        <f t="shared" si="9"/>
        <v>0.96412015503876114</v>
      </c>
      <c r="AG10" s="172"/>
    </row>
    <row r="11" spans="1:33" ht="15.75" customHeight="1">
      <c r="A11" s="200" t="s">
        <v>2093</v>
      </c>
      <c r="B11" s="37" t="s">
        <v>84</v>
      </c>
      <c r="C11" s="196" t="s">
        <v>85</v>
      </c>
      <c r="D11" s="197"/>
      <c r="E11" s="37">
        <v>39.619999999999997</v>
      </c>
      <c r="F11" s="4">
        <v>3833</v>
      </c>
      <c r="G11" s="4">
        <f t="shared" ref="G11:G12" si="11">E11*F11</f>
        <v>151863.46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1428.4472049689443</v>
      </c>
      <c r="N11" s="17">
        <f t="shared" si="3"/>
        <v>75.181431840470751</v>
      </c>
      <c r="O11" s="19">
        <f t="shared" si="4"/>
        <v>0</v>
      </c>
      <c r="P11" s="20">
        <f t="shared" si="5"/>
        <v>-3.7659365805818794</v>
      </c>
      <c r="Q11" s="21">
        <f t="shared" si="6"/>
        <v>0.95229813664596286</v>
      </c>
      <c r="R11" s="172">
        <f>Q13</f>
        <v>0.9530118134210207</v>
      </c>
      <c r="S11" s="28">
        <v>0.20833333333333334</v>
      </c>
      <c r="T11" s="28">
        <v>0.32013888888888886</v>
      </c>
      <c r="U11" s="4"/>
      <c r="V11" s="22">
        <f t="shared" ref="V11:V12" si="13">(T11-S11)*24*60</f>
        <v>160.99999999999997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-71.552795031055666</v>
      </c>
      <c r="AF11" s="21">
        <f t="shared" si="9"/>
        <v>0.95229813664596286</v>
      </c>
      <c r="AG11" s="172">
        <f>AF13</f>
        <v>0.95301181342102059</v>
      </c>
    </row>
    <row r="12" spans="1:33" ht="15.75" customHeight="1">
      <c r="A12" s="200" t="s">
        <v>2093</v>
      </c>
      <c r="B12" s="37" t="s">
        <v>84</v>
      </c>
      <c r="C12" s="196" t="s">
        <v>86</v>
      </c>
      <c r="D12" s="197"/>
      <c r="E12" s="37">
        <v>39.799999999999997</v>
      </c>
      <c r="F12" s="4">
        <v>6080</v>
      </c>
      <c r="G12" s="4">
        <f t="shared" si="11"/>
        <v>241983.99999999997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1430.5882352941173</v>
      </c>
      <c r="N12" s="17">
        <f t="shared" si="3"/>
        <v>84.152249134948079</v>
      </c>
      <c r="O12" s="19">
        <f t="shared" si="4"/>
        <v>0</v>
      </c>
      <c r="P12" s="20">
        <f t="shared" si="5"/>
        <v>-4.0830449826989792</v>
      </c>
      <c r="Q12" s="21">
        <f t="shared" si="6"/>
        <v>0.95372549019607822</v>
      </c>
      <c r="R12" s="172"/>
      <c r="S12" s="28">
        <v>0.3256944444444444</v>
      </c>
      <c r="T12" s="28">
        <v>0.50277777777777777</v>
      </c>
      <c r="U12" s="4">
        <f t="shared" ref="U12" si="14">IF(S12=TIME(17,0,0),"",(S12-T11)*24*60)</f>
        <v>7.9999999999999716</v>
      </c>
      <c r="V12" s="22">
        <f t="shared" si="13"/>
        <v>255.00000000000006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-69.411764705882661</v>
      </c>
      <c r="AF12" s="21">
        <f t="shared" si="9"/>
        <v>0.95372549019607822</v>
      </c>
      <c r="AG12" s="172"/>
    </row>
    <row r="13" spans="1:33" ht="16.5" customHeight="1">
      <c r="A13" s="200" t="s">
        <v>50</v>
      </c>
      <c r="B13" s="37" t="s">
        <v>2092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1429.517720131531</v>
      </c>
      <c r="N13" s="17">
        <f t="shared" si="3"/>
        <v>79.417651118418391</v>
      </c>
      <c r="O13" s="19">
        <f t="shared" si="4"/>
        <v>0</v>
      </c>
      <c r="P13" s="20">
        <f t="shared" si="5"/>
        <v>-3.9156822149149377</v>
      </c>
      <c r="Q13" s="21">
        <f t="shared" si="6"/>
        <v>0.9530118134210207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8"/>
        <v>-70.48227986846905</v>
      </c>
      <c r="AF13" s="21">
        <f t="shared" si="9"/>
        <v>0.95301181342102059</v>
      </c>
      <c r="AG13" s="172"/>
    </row>
    <row r="14" spans="1:33" ht="16.5" customHeight="1">
      <c r="A14" s="198" t="s">
        <v>2094</v>
      </c>
      <c r="B14" s="4" t="s">
        <v>87</v>
      </c>
      <c r="C14" s="190" t="s">
        <v>88</v>
      </c>
      <c r="D14" s="190"/>
      <c r="E14" s="37">
        <v>41</v>
      </c>
      <c r="F14" s="4">
        <v>2417</v>
      </c>
      <c r="G14" s="4">
        <f t="shared" ref="G14:G21" si="15">E14*F14</f>
        <v>99097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21" si="16">F14/V14*60</f>
        <v>1435.8415841584158</v>
      </c>
      <c r="N14" s="17">
        <f t="shared" si="3"/>
        <v>55.224676313785224</v>
      </c>
      <c r="O14" s="19">
        <f t="shared" si="4"/>
        <v>0</v>
      </c>
      <c r="P14" s="20">
        <f t="shared" si="5"/>
        <v>-2.4676313785224693</v>
      </c>
      <c r="Q14" s="21">
        <f t="shared" si="6"/>
        <v>0.95722772277227719</v>
      </c>
      <c r="R14" s="172">
        <f>Q22</f>
        <v>0.96382337788840045</v>
      </c>
      <c r="S14" s="28">
        <v>0.20833333333333334</v>
      </c>
      <c r="T14" s="28">
        <v>0.27847222222222223</v>
      </c>
      <c r="U14" s="4"/>
      <c r="V14" s="22">
        <f t="shared" ref="V14:V21" si="17">(T14-S14)*24*60</f>
        <v>101</v>
      </c>
      <c r="W14" s="28"/>
      <c r="X14" s="28"/>
      <c r="Y14" s="28"/>
      <c r="Z14" s="28"/>
      <c r="AA14" s="164"/>
      <c r="AB14" s="164"/>
      <c r="AC14" s="25">
        <v>8</v>
      </c>
      <c r="AD14" s="25"/>
      <c r="AE14" s="19">
        <f t="shared" si="8"/>
        <v>-64.158415841584201</v>
      </c>
      <c r="AF14" s="21">
        <f t="shared" si="9"/>
        <v>0.95722772277227719</v>
      </c>
      <c r="AG14" s="172">
        <f>AF22</f>
        <v>0.96382337788840033</v>
      </c>
    </row>
    <row r="15" spans="1:33" ht="16.5" customHeight="1">
      <c r="A15" s="199" t="s">
        <v>2094</v>
      </c>
      <c r="B15" s="4" t="s">
        <v>89</v>
      </c>
      <c r="C15" s="190" t="s">
        <v>90</v>
      </c>
      <c r="D15" s="190"/>
      <c r="E15" s="37">
        <v>72.400000000000006</v>
      </c>
      <c r="F15" s="4">
        <v>692</v>
      </c>
      <c r="G15" s="4">
        <f t="shared" si="15"/>
        <v>50100.800000000003</v>
      </c>
      <c r="H15" s="22" t="s">
        <v>139</v>
      </c>
      <c r="I15" s="16">
        <v>18</v>
      </c>
      <c r="J15" s="18">
        <v>1500</v>
      </c>
      <c r="K15" s="17">
        <f t="shared" si="1"/>
        <v>83.333333333333329</v>
      </c>
      <c r="L15" s="16">
        <v>18</v>
      </c>
      <c r="M15" s="18">
        <f t="shared" si="16"/>
        <v>1431.7241379310356</v>
      </c>
      <c r="N15" s="17">
        <f t="shared" si="3"/>
        <v>79.540229885057528</v>
      </c>
      <c r="O15" s="19">
        <f t="shared" si="4"/>
        <v>0</v>
      </c>
      <c r="P15" s="20">
        <f t="shared" si="5"/>
        <v>-3.7931034482758008</v>
      </c>
      <c r="Q15" s="21">
        <f t="shared" si="6"/>
        <v>0.95448275862069043</v>
      </c>
      <c r="R15" s="172"/>
      <c r="S15" s="28">
        <v>0.28402777777777777</v>
      </c>
      <c r="T15" s="28">
        <v>0.30416666666666664</v>
      </c>
      <c r="U15" s="4">
        <f t="shared" ref="U15:U21" si="18">IF(S15=TIME(17,0,0),"",(S15-T14)*24*60)</f>
        <v>7.9999999999999716</v>
      </c>
      <c r="V15" s="22">
        <f t="shared" si="17"/>
        <v>28.999999999999979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-68.275862068964443</v>
      </c>
      <c r="AF15" s="21">
        <f t="shared" si="9"/>
        <v>0.95448275862069032</v>
      </c>
      <c r="AG15" s="172"/>
    </row>
    <row r="16" spans="1:33" ht="16.5" customHeight="1">
      <c r="A16" s="199" t="s">
        <v>2094</v>
      </c>
      <c r="B16" s="4" t="s">
        <v>78</v>
      </c>
      <c r="C16" s="190" t="s">
        <v>91</v>
      </c>
      <c r="D16" s="190"/>
      <c r="E16" s="37">
        <v>50.98</v>
      </c>
      <c r="F16" s="4">
        <v>1000</v>
      </c>
      <c r="G16" s="4">
        <f t="shared" si="15"/>
        <v>50980</v>
      </c>
      <c r="H16" s="22">
        <v>2</v>
      </c>
      <c r="I16" s="16">
        <v>16</v>
      </c>
      <c r="J16" s="18">
        <v>2000</v>
      </c>
      <c r="K16" s="17">
        <f t="shared" si="1"/>
        <v>125</v>
      </c>
      <c r="L16" s="16">
        <v>16</v>
      </c>
      <c r="M16" s="18">
        <f t="shared" si="16"/>
        <v>1935.483870967739</v>
      </c>
      <c r="N16" s="17">
        <f t="shared" si="3"/>
        <v>120.96774193548369</v>
      </c>
      <c r="O16" s="19">
        <f t="shared" si="4"/>
        <v>0</v>
      </c>
      <c r="P16" s="20">
        <f t="shared" si="5"/>
        <v>-4.0322580645163129</v>
      </c>
      <c r="Q16" s="21">
        <f t="shared" si="6"/>
        <v>0.96774193548386944</v>
      </c>
      <c r="R16" s="172"/>
      <c r="S16" s="28">
        <v>0.70833333333333337</v>
      </c>
      <c r="T16" s="28">
        <v>0.72986111111111118</v>
      </c>
      <c r="U16" s="4" t="str">
        <f t="shared" si="18"/>
        <v/>
      </c>
      <c r="V16" s="22">
        <f t="shared" si="17"/>
        <v>31.00000000000005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-64.516129032261006</v>
      </c>
      <c r="AF16" s="21">
        <f t="shared" si="9"/>
        <v>0.96774193548386944</v>
      </c>
      <c r="AG16" s="172"/>
    </row>
    <row r="17" spans="1:33" ht="16.5" customHeight="1">
      <c r="A17" s="199" t="s">
        <v>2094</v>
      </c>
      <c r="B17" s="4" t="s">
        <v>78</v>
      </c>
      <c r="C17" s="190" t="s">
        <v>92</v>
      </c>
      <c r="D17" s="190"/>
      <c r="E17" s="37">
        <v>50.92</v>
      </c>
      <c r="F17" s="4">
        <v>1000</v>
      </c>
      <c r="G17" s="4">
        <f t="shared" si="15"/>
        <v>50920</v>
      </c>
      <c r="H17" s="22">
        <v>2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1935.483870967739</v>
      </c>
      <c r="N17" s="17">
        <f t="shared" si="3"/>
        <v>129.03225806451593</v>
      </c>
      <c r="O17" s="19">
        <f t="shared" si="4"/>
        <v>0</v>
      </c>
      <c r="P17" s="20">
        <f t="shared" si="5"/>
        <v>-4.3010752688174136</v>
      </c>
      <c r="Q17" s="21">
        <f t="shared" si="6"/>
        <v>0.96774193548386944</v>
      </c>
      <c r="R17" s="172"/>
      <c r="S17" s="28">
        <v>0.73333333333333339</v>
      </c>
      <c r="T17" s="28">
        <v>0.7548611111111112</v>
      </c>
      <c r="U17" s="4">
        <f t="shared" si="18"/>
        <v>4.9999999999999822</v>
      </c>
      <c r="V17" s="22">
        <f t="shared" si="17"/>
        <v>31.00000000000005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-64.516129032261006</v>
      </c>
      <c r="AF17" s="21">
        <f t="shared" si="9"/>
        <v>0.96774193548386944</v>
      </c>
      <c r="AG17" s="172"/>
    </row>
    <row r="18" spans="1:33" ht="16.5" customHeight="1">
      <c r="A18" s="199" t="s">
        <v>2094</v>
      </c>
      <c r="B18" s="4" t="s">
        <v>78</v>
      </c>
      <c r="C18" s="190" t="s">
        <v>93</v>
      </c>
      <c r="D18" s="190"/>
      <c r="E18" s="37">
        <v>50.67</v>
      </c>
      <c r="F18" s="4">
        <v>2018</v>
      </c>
      <c r="G18" s="4">
        <f t="shared" si="15"/>
        <v>102252.06</v>
      </c>
      <c r="H18" s="22" t="s">
        <v>139</v>
      </c>
      <c r="I18" s="16">
        <v>15</v>
      </c>
      <c r="J18" s="18">
        <v>2000</v>
      </c>
      <c r="K18" s="17">
        <f t="shared" si="1"/>
        <v>133.33333333333334</v>
      </c>
      <c r="L18" s="16">
        <v>15</v>
      </c>
      <c r="M18" s="18">
        <f t="shared" si="16"/>
        <v>1921.904761904764</v>
      </c>
      <c r="N18" s="17">
        <f t="shared" si="3"/>
        <v>128.12698412698427</v>
      </c>
      <c r="O18" s="19">
        <f t="shared" si="4"/>
        <v>0</v>
      </c>
      <c r="P18" s="20">
        <f t="shared" si="5"/>
        <v>-5.2063492063490742</v>
      </c>
      <c r="Q18" s="21">
        <f t="shared" si="6"/>
        <v>0.960952380952382</v>
      </c>
      <c r="R18" s="172"/>
      <c r="S18" s="28">
        <v>0.75833333333333341</v>
      </c>
      <c r="T18" s="28">
        <v>0.80208333333333337</v>
      </c>
      <c r="U18" s="4">
        <f t="shared" si="18"/>
        <v>4.9999999999999822</v>
      </c>
      <c r="V18" s="22">
        <f t="shared" si="17"/>
        <v>62.999999999999936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-78.095238095236027</v>
      </c>
      <c r="AF18" s="21">
        <f t="shared" si="9"/>
        <v>0.960952380952382</v>
      </c>
      <c r="AG18" s="172"/>
    </row>
    <row r="19" spans="1:33" ht="16.5" customHeight="1">
      <c r="A19" s="199" t="s">
        <v>2094</v>
      </c>
      <c r="B19" s="4" t="s">
        <v>78</v>
      </c>
      <c r="C19" s="217" t="s">
        <v>98</v>
      </c>
      <c r="D19" s="218"/>
      <c r="E19" s="37">
        <v>50.67</v>
      </c>
      <c r="F19" s="4">
        <v>1000</v>
      </c>
      <c r="G19" s="4">
        <f t="shared" si="15"/>
        <v>50670</v>
      </c>
      <c r="H19" s="22" t="s">
        <v>139</v>
      </c>
      <c r="I19" s="16">
        <v>16</v>
      </c>
      <c r="J19" s="18">
        <v>2000</v>
      </c>
      <c r="K19" s="17">
        <f t="shared" si="1"/>
        <v>125</v>
      </c>
      <c r="L19" s="16">
        <v>16</v>
      </c>
      <c r="M19" s="18">
        <f t="shared" si="16"/>
        <v>1935.483870967739</v>
      </c>
      <c r="N19" s="17">
        <f t="shared" si="3"/>
        <v>120.96774193548369</v>
      </c>
      <c r="O19" s="19">
        <f t="shared" si="4"/>
        <v>0</v>
      </c>
      <c r="P19" s="20">
        <f t="shared" si="5"/>
        <v>-4.0322580645163129</v>
      </c>
      <c r="Q19" s="21">
        <f t="shared" si="6"/>
        <v>0.96774193548386944</v>
      </c>
      <c r="R19" s="172"/>
      <c r="S19" s="28">
        <v>0.80763888888888891</v>
      </c>
      <c r="T19" s="28">
        <v>0.82916666666666672</v>
      </c>
      <c r="U19" s="4">
        <f t="shared" si="18"/>
        <v>7.9999999999999716</v>
      </c>
      <c r="V19" s="22">
        <f t="shared" si="17"/>
        <v>31.00000000000005</v>
      </c>
      <c r="W19" s="23">
        <f>T19</f>
        <v>0.82916666666666672</v>
      </c>
      <c r="X19" s="23">
        <f>S20</f>
        <v>0.87013888888888891</v>
      </c>
      <c r="Y19" s="26"/>
      <c r="Z19" s="26"/>
      <c r="AA19" s="175"/>
      <c r="AB19" s="176"/>
      <c r="AC19" s="25"/>
      <c r="AD19" s="25"/>
      <c r="AE19" s="19">
        <f t="shared" si="8"/>
        <v>-64.516129032261006</v>
      </c>
      <c r="AF19" s="21">
        <f t="shared" si="9"/>
        <v>0.96774193548386944</v>
      </c>
      <c r="AG19" s="172"/>
    </row>
    <row r="20" spans="1:33" ht="16.5" customHeight="1">
      <c r="A20" s="199" t="s">
        <v>2094</v>
      </c>
      <c r="B20" s="4" t="s">
        <v>78</v>
      </c>
      <c r="C20" s="39" t="s">
        <v>92</v>
      </c>
      <c r="D20" s="40"/>
      <c r="E20" s="37">
        <v>50.92</v>
      </c>
      <c r="F20" s="4">
        <v>1799</v>
      </c>
      <c r="G20" s="4">
        <f t="shared" si="15"/>
        <v>91605.08</v>
      </c>
      <c r="H20" s="22" t="s">
        <v>139</v>
      </c>
      <c r="I20" s="16">
        <v>15</v>
      </c>
      <c r="J20" s="18">
        <v>2000</v>
      </c>
      <c r="K20" s="17">
        <f t="shared" si="1"/>
        <v>133.33333333333334</v>
      </c>
      <c r="L20" s="16">
        <v>15</v>
      </c>
      <c r="M20" s="18">
        <f t="shared" si="16"/>
        <v>1927.5000000000014</v>
      </c>
      <c r="N20" s="17">
        <f t="shared" si="3"/>
        <v>128.50000000000009</v>
      </c>
      <c r="O20" s="19">
        <f t="shared" si="4"/>
        <v>0</v>
      </c>
      <c r="P20" s="20">
        <f t="shared" si="5"/>
        <v>-4.8333333333332575</v>
      </c>
      <c r="Q20" s="21">
        <f t="shared" si="6"/>
        <v>0.96375000000000055</v>
      </c>
      <c r="R20" s="172"/>
      <c r="S20" s="28">
        <v>0.87013888888888891</v>
      </c>
      <c r="T20" s="28">
        <v>0.90902777777777777</v>
      </c>
      <c r="U20" s="4">
        <f t="shared" si="18"/>
        <v>58.99999999999995</v>
      </c>
      <c r="V20" s="22">
        <f t="shared" si="17"/>
        <v>55.999999999999957</v>
      </c>
      <c r="W20" s="23"/>
      <c r="X20" s="23"/>
      <c r="Y20" s="26"/>
      <c r="Z20" s="26"/>
      <c r="AA20" s="175"/>
      <c r="AB20" s="176"/>
      <c r="AC20" s="25"/>
      <c r="AD20" s="25"/>
      <c r="AE20" s="19">
        <f t="shared" si="8"/>
        <v>-72.499999999998636</v>
      </c>
      <c r="AF20" s="21">
        <f t="shared" si="9"/>
        <v>0.96375000000000066</v>
      </c>
      <c r="AG20" s="172"/>
    </row>
    <row r="21" spans="1:33" ht="16.5" customHeight="1">
      <c r="A21" s="199" t="s">
        <v>2094</v>
      </c>
      <c r="B21" s="4" t="s">
        <v>78</v>
      </c>
      <c r="C21" s="39" t="s">
        <v>91</v>
      </c>
      <c r="D21" s="40"/>
      <c r="E21" s="37">
        <v>50.98</v>
      </c>
      <c r="F21" s="4">
        <v>1805</v>
      </c>
      <c r="G21" s="4">
        <f t="shared" si="15"/>
        <v>92018.9</v>
      </c>
      <c r="H21" s="22" t="s">
        <v>139</v>
      </c>
      <c r="I21" s="16">
        <v>16</v>
      </c>
      <c r="J21" s="18">
        <v>2000</v>
      </c>
      <c r="K21" s="17">
        <f t="shared" si="1"/>
        <v>125</v>
      </c>
      <c r="L21" s="16">
        <v>16</v>
      </c>
      <c r="M21" s="18">
        <f t="shared" si="16"/>
        <v>1933.9285714285729</v>
      </c>
      <c r="N21" s="17">
        <f t="shared" si="3"/>
        <v>120.87053571428581</v>
      </c>
      <c r="O21" s="19">
        <f t="shared" si="4"/>
        <v>0</v>
      </c>
      <c r="P21" s="20">
        <f t="shared" si="5"/>
        <v>-4.1294642857141923</v>
      </c>
      <c r="Q21" s="21">
        <f t="shared" si="6"/>
        <v>0.9669642857142865</v>
      </c>
      <c r="R21" s="172"/>
      <c r="S21" s="28">
        <v>0.91388888888888886</v>
      </c>
      <c r="T21" s="28">
        <v>0.95277777777777772</v>
      </c>
      <c r="U21" s="4">
        <f t="shared" si="18"/>
        <v>6.9999999999999751</v>
      </c>
      <c r="V21" s="22">
        <f t="shared" si="17"/>
        <v>55.999999999999957</v>
      </c>
      <c r="W21" s="23"/>
      <c r="X21" s="23"/>
      <c r="Y21" s="26"/>
      <c r="Z21" s="26"/>
      <c r="AA21" s="175"/>
      <c r="AB21" s="176"/>
      <c r="AC21" s="25"/>
      <c r="AD21" s="25"/>
      <c r="AE21" s="19">
        <f t="shared" si="8"/>
        <v>-66.071428571427077</v>
      </c>
      <c r="AF21" s="21">
        <f t="shared" si="9"/>
        <v>0.9669642857142865</v>
      </c>
      <c r="AG21" s="172"/>
    </row>
    <row r="22" spans="1:33" ht="16.5" customHeight="1">
      <c r="A22" s="199" t="s">
        <v>2094</v>
      </c>
      <c r="B22" s="37" t="s">
        <v>48</v>
      </c>
      <c r="C22" s="177"/>
      <c r="D22" s="177"/>
      <c r="E22" s="38"/>
      <c r="F22" s="17"/>
      <c r="G22" s="17"/>
      <c r="H22" s="4"/>
      <c r="I22" s="30">
        <v>17.125</v>
      </c>
      <c r="J22" s="18">
        <v>1875</v>
      </c>
      <c r="K22" s="17">
        <f t="shared" si="1"/>
        <v>109.48905109489051</v>
      </c>
      <c r="L22" s="30">
        <v>17.125</v>
      </c>
      <c r="M22" s="18">
        <f>AVERAGE(M14:M21)</f>
        <v>1807.1688335407507</v>
      </c>
      <c r="N22" s="17">
        <f t="shared" si="3"/>
        <v>105.52810706807304</v>
      </c>
      <c r="O22" s="19">
        <f t="shared" si="4"/>
        <v>0</v>
      </c>
      <c r="P22" s="20">
        <f t="shared" si="5"/>
        <v>-3.9609440268174723</v>
      </c>
      <c r="Q22" s="21">
        <f t="shared" si="6"/>
        <v>0.96382337788840045</v>
      </c>
      <c r="R22" s="172"/>
      <c r="S22" s="28"/>
      <c r="T22" s="28"/>
      <c r="U22" s="4"/>
      <c r="V22" s="22"/>
      <c r="W22" s="17"/>
      <c r="X22" s="17"/>
      <c r="Y22" s="31">
        <f>SUM(Y14:Y21)</f>
        <v>0</v>
      </c>
      <c r="Z22" s="31">
        <f>SUM(Z14:Z21)</f>
        <v>0</v>
      </c>
      <c r="AA22" s="168"/>
      <c r="AB22" s="168"/>
      <c r="AC22" s="31">
        <v>8</v>
      </c>
      <c r="AD22" s="31">
        <f>SUM(AD14:AD21)</f>
        <v>0</v>
      </c>
      <c r="AE22" s="19">
        <f t="shared" si="8"/>
        <v>-67.831166459249289</v>
      </c>
      <c r="AF22" s="21">
        <f t="shared" si="9"/>
        <v>0.96382337788840033</v>
      </c>
      <c r="AG22" s="172"/>
    </row>
    <row r="23" spans="1:33" ht="15.75" customHeight="1">
      <c r="A23" s="194" t="s">
        <v>2095</v>
      </c>
      <c r="B23" s="37" t="s">
        <v>78</v>
      </c>
      <c r="C23" s="190" t="s">
        <v>95</v>
      </c>
      <c r="D23" s="190"/>
      <c r="E23" s="37">
        <v>57.73</v>
      </c>
      <c r="F23" s="4">
        <v>2838</v>
      </c>
      <c r="G23" s="4">
        <f t="shared" ref="G23:G28" si="19">E23*F23</f>
        <v>163837.74</v>
      </c>
      <c r="H23" s="22" t="s">
        <v>139</v>
      </c>
      <c r="I23" s="16">
        <v>14</v>
      </c>
      <c r="J23" s="18">
        <v>2000</v>
      </c>
      <c r="K23" s="17">
        <f t="shared" si="1"/>
        <v>142.85714285714286</v>
      </c>
      <c r="L23" s="16">
        <v>14</v>
      </c>
      <c r="M23" s="18">
        <f t="shared" ref="M23:M28" si="20">F23/V23*60</f>
        <v>1913.2584269662912</v>
      </c>
      <c r="N23" s="17">
        <f t="shared" si="3"/>
        <v>136.66131621187793</v>
      </c>
      <c r="O23" s="19">
        <f t="shared" si="4"/>
        <v>0</v>
      </c>
      <c r="P23" s="20">
        <f t="shared" si="5"/>
        <v>-6.1958266452649298</v>
      </c>
      <c r="Q23" s="21">
        <f t="shared" si="6"/>
        <v>0.95662921348314545</v>
      </c>
      <c r="R23" s="172">
        <f>Q29</f>
        <v>0.95965108543693234</v>
      </c>
      <c r="S23" s="28">
        <v>0.20833333333333334</v>
      </c>
      <c r="T23" s="28">
        <v>0.27013888888888893</v>
      </c>
      <c r="U23" s="4"/>
      <c r="V23" s="22">
        <f t="shared" ref="V23:V28" si="21">(T23-S23)*24*60</f>
        <v>89.000000000000043</v>
      </c>
      <c r="W23" s="28"/>
      <c r="X23" s="28"/>
      <c r="Y23" s="28"/>
      <c r="Z23" s="28"/>
      <c r="AA23" s="164"/>
      <c r="AB23" s="164"/>
      <c r="AC23" s="25">
        <v>6</v>
      </c>
      <c r="AD23" s="25"/>
      <c r="AE23" s="19">
        <f t="shared" si="8"/>
        <v>-86.741573033708846</v>
      </c>
      <c r="AF23" s="21">
        <f t="shared" si="9"/>
        <v>0.95662921348314556</v>
      </c>
      <c r="AG23" s="172">
        <f>AF29</f>
        <v>0.95965108543693223</v>
      </c>
    </row>
    <row r="24" spans="1:33" ht="15.75" customHeight="1">
      <c r="A24" s="195" t="s">
        <v>2095</v>
      </c>
      <c r="B24" s="37" t="s">
        <v>78</v>
      </c>
      <c r="C24" s="190" t="s">
        <v>96</v>
      </c>
      <c r="D24" s="190"/>
      <c r="E24" s="37">
        <v>53.68</v>
      </c>
      <c r="F24" s="4">
        <v>1795</v>
      </c>
      <c r="G24" s="4">
        <f t="shared" si="19"/>
        <v>96355.6</v>
      </c>
      <c r="H24" s="22" t="s">
        <v>139</v>
      </c>
      <c r="I24" s="16">
        <v>16</v>
      </c>
      <c r="J24" s="18">
        <v>2000</v>
      </c>
      <c r="K24" s="17">
        <f t="shared" si="1"/>
        <v>125</v>
      </c>
      <c r="L24" s="16">
        <v>16</v>
      </c>
      <c r="M24" s="18">
        <f t="shared" si="20"/>
        <v>1923.2142857142871</v>
      </c>
      <c r="N24" s="17">
        <f t="shared" si="3"/>
        <v>120.20089285714295</v>
      </c>
      <c r="O24" s="19">
        <f t="shared" si="4"/>
        <v>0</v>
      </c>
      <c r="P24" s="20">
        <f t="shared" si="5"/>
        <v>-4.7991071428570535</v>
      </c>
      <c r="Q24" s="21">
        <f t="shared" si="6"/>
        <v>0.96160714285714355</v>
      </c>
      <c r="R24" s="172"/>
      <c r="S24" s="28">
        <v>0.27569444444444446</v>
      </c>
      <c r="T24" s="28">
        <v>0.31458333333333333</v>
      </c>
      <c r="U24" s="4">
        <f t="shared" ref="U24:U28" si="22">IF(S24=TIME(17,0,0),"",(S24-T23)*24*60)</f>
        <v>7.9999999999999716</v>
      </c>
      <c r="V24" s="22">
        <f t="shared" si="21"/>
        <v>55.999999999999957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-76.785714285712857</v>
      </c>
      <c r="AF24" s="21">
        <f t="shared" si="9"/>
        <v>0.96160714285714355</v>
      </c>
      <c r="AG24" s="172"/>
    </row>
    <row r="25" spans="1:33" ht="15.75" customHeight="1">
      <c r="A25" s="195" t="s">
        <v>2095</v>
      </c>
      <c r="B25" s="37" t="s">
        <v>78</v>
      </c>
      <c r="C25" s="190" t="s">
        <v>97</v>
      </c>
      <c r="D25" s="190"/>
      <c r="E25" s="37">
        <v>50.49</v>
      </c>
      <c r="F25" s="4">
        <v>1000</v>
      </c>
      <c r="G25" s="4">
        <f t="shared" si="19"/>
        <v>50490</v>
      </c>
      <c r="H25" s="22">
        <v>2</v>
      </c>
      <c r="I25" s="16">
        <v>15</v>
      </c>
      <c r="J25" s="18">
        <v>2000</v>
      </c>
      <c r="K25" s="17">
        <f t="shared" si="1"/>
        <v>133.33333333333334</v>
      </c>
      <c r="L25" s="16">
        <v>15</v>
      </c>
      <c r="M25" s="18">
        <f t="shared" si="20"/>
        <v>1935.483870967739</v>
      </c>
      <c r="N25" s="17">
        <f t="shared" si="3"/>
        <v>129.03225806451593</v>
      </c>
      <c r="O25" s="19">
        <f t="shared" si="4"/>
        <v>0</v>
      </c>
      <c r="P25" s="20">
        <f t="shared" si="5"/>
        <v>-4.3010752688174136</v>
      </c>
      <c r="Q25" s="21">
        <f t="shared" si="6"/>
        <v>0.96774193548386944</v>
      </c>
      <c r="R25" s="172"/>
      <c r="S25" s="28">
        <v>0.70833333333333337</v>
      </c>
      <c r="T25" s="28">
        <v>0.72986111111111118</v>
      </c>
      <c r="U25" s="4" t="str">
        <f t="shared" si="22"/>
        <v/>
      </c>
      <c r="V25" s="22">
        <f t="shared" si="21"/>
        <v>31.00000000000005</v>
      </c>
      <c r="W25" s="23"/>
      <c r="X25" s="4"/>
      <c r="Y25" s="4"/>
      <c r="Z25" s="4"/>
      <c r="AA25" s="164"/>
      <c r="AB25" s="164"/>
      <c r="AC25" s="25"/>
      <c r="AD25" s="25"/>
      <c r="AE25" s="19">
        <f t="shared" si="8"/>
        <v>-64.516129032261006</v>
      </c>
      <c r="AF25" s="21">
        <f t="shared" si="9"/>
        <v>0.96774193548386944</v>
      </c>
      <c r="AG25" s="172"/>
    </row>
    <row r="26" spans="1:33" ht="15.75" customHeight="1">
      <c r="A26" s="195" t="s">
        <v>2095</v>
      </c>
      <c r="B26" s="37" t="s">
        <v>78</v>
      </c>
      <c r="C26" s="190" t="s">
        <v>94</v>
      </c>
      <c r="D26" s="190"/>
      <c r="E26" s="37">
        <v>57.3</v>
      </c>
      <c r="F26" s="4">
        <v>2292</v>
      </c>
      <c r="G26" s="4">
        <f t="shared" si="19"/>
        <v>131331.6</v>
      </c>
      <c r="H26" s="22" t="s">
        <v>139</v>
      </c>
      <c r="I26" s="16">
        <v>13</v>
      </c>
      <c r="J26" s="18">
        <v>2000</v>
      </c>
      <c r="K26" s="17">
        <f t="shared" si="1"/>
        <v>153.84615384615384</v>
      </c>
      <c r="L26" s="16">
        <v>13</v>
      </c>
      <c r="M26" s="18">
        <f t="shared" si="20"/>
        <v>1909.9999999999984</v>
      </c>
      <c r="N26" s="17">
        <f t="shared" si="3"/>
        <v>146.92307692307679</v>
      </c>
      <c r="O26" s="19">
        <f t="shared" si="4"/>
        <v>0</v>
      </c>
      <c r="P26" s="20">
        <f t="shared" si="5"/>
        <v>-6.9230769230770477</v>
      </c>
      <c r="Q26" s="21">
        <f t="shared" si="6"/>
        <v>0.95499999999999918</v>
      </c>
      <c r="R26" s="172"/>
      <c r="S26" s="28">
        <v>0.73333333333333339</v>
      </c>
      <c r="T26" s="28">
        <v>0.78333333333333344</v>
      </c>
      <c r="U26" s="4">
        <f t="shared" si="22"/>
        <v>4.9999999999999822</v>
      </c>
      <c r="V26" s="22">
        <f t="shared" si="21"/>
        <v>72.000000000000057</v>
      </c>
      <c r="W26" s="23"/>
      <c r="X26" s="4"/>
      <c r="Y26" s="4"/>
      <c r="Z26" s="4"/>
      <c r="AA26" s="164"/>
      <c r="AB26" s="164"/>
      <c r="AC26" s="25"/>
      <c r="AD26" s="25"/>
      <c r="AE26" s="19">
        <f t="shared" si="8"/>
        <v>-90.000000000001592</v>
      </c>
      <c r="AF26" s="21">
        <f t="shared" si="9"/>
        <v>0.95499999999999918</v>
      </c>
      <c r="AG26" s="172"/>
    </row>
    <row r="27" spans="1:33" ht="15.75" customHeight="1">
      <c r="A27" s="195" t="s">
        <v>2095</v>
      </c>
      <c r="B27" s="37" t="s">
        <v>78</v>
      </c>
      <c r="C27" s="190" t="s">
        <v>99</v>
      </c>
      <c r="D27" s="190"/>
      <c r="E27" s="37">
        <v>53.68</v>
      </c>
      <c r="F27" s="4">
        <v>2129</v>
      </c>
      <c r="G27" s="4">
        <f t="shared" si="19"/>
        <v>114284.72</v>
      </c>
      <c r="H27" s="22" t="s">
        <v>139</v>
      </c>
      <c r="I27" s="16">
        <v>16</v>
      </c>
      <c r="J27" s="18">
        <v>1500</v>
      </c>
      <c r="K27" s="17">
        <f t="shared" si="1"/>
        <v>93.75</v>
      </c>
      <c r="L27" s="16">
        <v>16</v>
      </c>
      <c r="M27" s="18">
        <f t="shared" si="20"/>
        <v>1435.2808988764045</v>
      </c>
      <c r="N27" s="17">
        <f t="shared" si="3"/>
        <v>89.705056179775283</v>
      </c>
      <c r="O27" s="19">
        <f t="shared" si="4"/>
        <v>0</v>
      </c>
      <c r="P27" s="20">
        <f t="shared" si="5"/>
        <v>-4.0449438202247165</v>
      </c>
      <c r="Q27" s="21">
        <f t="shared" si="6"/>
        <v>0.95685393258426965</v>
      </c>
      <c r="R27" s="172"/>
      <c r="S27" s="28">
        <v>0.78888888888888897</v>
      </c>
      <c r="T27" s="28">
        <v>0.85069444444444453</v>
      </c>
      <c r="U27" s="4">
        <f t="shared" si="22"/>
        <v>7.9999999999999716</v>
      </c>
      <c r="V27" s="22">
        <f t="shared" si="21"/>
        <v>89</v>
      </c>
      <c r="W27" s="23">
        <f>T27</f>
        <v>0.85069444444444453</v>
      </c>
      <c r="X27" s="23">
        <f>S28</f>
        <v>0.88958333333333339</v>
      </c>
      <c r="Y27" s="4"/>
      <c r="Z27" s="4"/>
      <c r="AA27" s="164"/>
      <c r="AB27" s="164"/>
      <c r="AC27" s="25"/>
      <c r="AD27" s="25"/>
      <c r="AE27" s="19">
        <f t="shared" si="8"/>
        <v>-64.719101123595465</v>
      </c>
      <c r="AF27" s="21">
        <f t="shared" si="9"/>
        <v>0.95685393258426965</v>
      </c>
      <c r="AG27" s="172"/>
    </row>
    <row r="28" spans="1:33" ht="15.75" customHeight="1">
      <c r="A28" s="195" t="s">
        <v>2095</v>
      </c>
      <c r="B28" s="37" t="s">
        <v>78</v>
      </c>
      <c r="C28" s="190" t="s">
        <v>97</v>
      </c>
      <c r="D28" s="190"/>
      <c r="E28" s="37">
        <v>50.49</v>
      </c>
      <c r="F28" s="4">
        <v>1535</v>
      </c>
      <c r="G28" s="4">
        <f t="shared" si="19"/>
        <v>77502.150000000009</v>
      </c>
      <c r="H28" s="22" t="s">
        <v>139</v>
      </c>
      <c r="I28" s="16">
        <v>15</v>
      </c>
      <c r="J28" s="18">
        <v>2000</v>
      </c>
      <c r="K28" s="17">
        <f t="shared" si="1"/>
        <v>133.33333333333334</v>
      </c>
      <c r="L28" s="16">
        <v>15</v>
      </c>
      <c r="M28" s="18">
        <f t="shared" si="20"/>
        <v>1918.7500000000005</v>
      </c>
      <c r="N28" s="17">
        <f t="shared" si="3"/>
        <v>127.9166666666667</v>
      </c>
      <c r="O28" s="19">
        <f t="shared" si="4"/>
        <v>0</v>
      </c>
      <c r="P28" s="20">
        <f t="shared" si="5"/>
        <v>-5.416666666666643</v>
      </c>
      <c r="Q28" s="21">
        <f t="shared" si="6"/>
        <v>0.9593750000000002</v>
      </c>
      <c r="R28" s="172"/>
      <c r="S28" s="28">
        <v>0.88958333333333339</v>
      </c>
      <c r="T28" s="28">
        <v>0.92291666666666672</v>
      </c>
      <c r="U28" s="4">
        <f t="shared" si="22"/>
        <v>55.999999999999957</v>
      </c>
      <c r="V28" s="22">
        <f t="shared" si="21"/>
        <v>47.999999999999986</v>
      </c>
      <c r="W28" s="23"/>
      <c r="X28" s="28"/>
      <c r="Y28" s="28"/>
      <c r="Z28" s="28"/>
      <c r="AA28" s="164"/>
      <c r="AB28" s="164"/>
      <c r="AC28" s="25"/>
      <c r="AD28" s="25"/>
      <c r="AE28" s="19">
        <f t="shared" si="8"/>
        <v>-81.249999999999545</v>
      </c>
      <c r="AF28" s="21">
        <f t="shared" si="9"/>
        <v>0.9593750000000002</v>
      </c>
      <c r="AG28" s="172"/>
    </row>
    <row r="29" spans="1:33" ht="15.75" customHeight="1">
      <c r="A29" s="195" t="s">
        <v>2095</v>
      </c>
      <c r="B29" s="37" t="s">
        <v>2092</v>
      </c>
      <c r="C29" s="177"/>
      <c r="D29" s="177"/>
      <c r="E29" s="38"/>
      <c r="F29" s="4"/>
      <c r="G29" s="4"/>
      <c r="H29" s="4"/>
      <c r="I29" s="30">
        <v>14.833333333333334</v>
      </c>
      <c r="J29" s="18">
        <v>1916.6666666666667</v>
      </c>
      <c r="K29" s="17">
        <f t="shared" si="1"/>
        <v>129.2134831460674</v>
      </c>
      <c r="L29" s="30">
        <v>14.833333333333334</v>
      </c>
      <c r="M29" s="18">
        <f>AVERAGE(M23:M28)</f>
        <v>1839.3312470874534</v>
      </c>
      <c r="N29" s="17">
        <f t="shared" si="3"/>
        <v>123.99985935421034</v>
      </c>
      <c r="O29" s="19">
        <f t="shared" si="4"/>
        <v>0</v>
      </c>
      <c r="P29" s="20">
        <f t="shared" si="5"/>
        <v>-5.21362379185706</v>
      </c>
      <c r="Q29" s="21">
        <f t="shared" si="6"/>
        <v>0.95965108543693234</v>
      </c>
      <c r="R29" s="172"/>
      <c r="S29" s="28"/>
      <c r="T29" s="28"/>
      <c r="U29" s="17"/>
      <c r="V29" s="22"/>
      <c r="W29" s="17"/>
      <c r="X29" s="17"/>
      <c r="Y29" s="31">
        <f>SUM(Y23:Y28)</f>
        <v>0</v>
      </c>
      <c r="Z29" s="31">
        <f>SUM(Z23:Z28)</f>
        <v>0</v>
      </c>
      <c r="AA29" s="168"/>
      <c r="AB29" s="168"/>
      <c r="AC29" s="31">
        <v>6</v>
      </c>
      <c r="AD29" s="31">
        <f>SUM(AD23:AD28)</f>
        <v>0</v>
      </c>
      <c r="AE29" s="19">
        <f t="shared" si="8"/>
        <v>-77.335419579213294</v>
      </c>
      <c r="AF29" s="21">
        <f t="shared" si="9"/>
        <v>0.95965108543693223</v>
      </c>
      <c r="AG29" s="172"/>
    </row>
    <row r="30" spans="1:33" ht="15.75" customHeight="1">
      <c r="A30" s="193" t="s">
        <v>2096</v>
      </c>
      <c r="B30" s="37" t="s">
        <v>100</v>
      </c>
      <c r="C30" s="190" t="s">
        <v>101</v>
      </c>
      <c r="D30" s="190"/>
      <c r="E30" s="37">
        <v>31.29</v>
      </c>
      <c r="F30" s="4">
        <v>4800</v>
      </c>
      <c r="G30" s="4">
        <f t="shared" ref="G30:G36" si="23">E30*F30</f>
        <v>150192</v>
      </c>
      <c r="H30" s="22">
        <v>2</v>
      </c>
      <c r="I30" s="16">
        <v>18</v>
      </c>
      <c r="J30" s="18">
        <v>2400</v>
      </c>
      <c r="K30" s="17">
        <f t="shared" si="1"/>
        <v>133.33333333333334</v>
      </c>
      <c r="L30" s="16">
        <v>18</v>
      </c>
      <c r="M30" s="18">
        <f t="shared" ref="M30:M36" si="24">F30/V30*60</f>
        <v>2285.7142857142853</v>
      </c>
      <c r="N30" s="17">
        <f t="shared" si="3"/>
        <v>126.98412698412696</v>
      </c>
      <c r="O30" s="19">
        <f t="shared" si="4"/>
        <v>0</v>
      </c>
      <c r="P30" s="20">
        <f t="shared" si="5"/>
        <v>-6.3492063492063835</v>
      </c>
      <c r="Q30" s="21">
        <f t="shared" si="6"/>
        <v>0.95238095238095211</v>
      </c>
      <c r="R30" s="172">
        <f>Q37</f>
        <v>0.95538659209473831</v>
      </c>
      <c r="S30" s="28">
        <v>0.125</v>
      </c>
      <c r="T30" s="28">
        <v>0.21250000000000002</v>
      </c>
      <c r="U30" s="4"/>
      <c r="V30" s="22">
        <f t="shared" ref="V30:V36" si="25">(T30-S30)*24*60</f>
        <v>126.00000000000003</v>
      </c>
      <c r="W30" s="23">
        <f>T30</f>
        <v>0.21250000000000002</v>
      </c>
      <c r="X30" s="23">
        <f>S31</f>
        <v>0.23194444444444445</v>
      </c>
      <c r="Y30" s="23"/>
      <c r="Z30" s="23"/>
      <c r="AA30" s="164"/>
      <c r="AB30" s="164"/>
      <c r="AC30" s="25">
        <v>7</v>
      </c>
      <c r="AD30" s="25"/>
      <c r="AE30" s="19">
        <f t="shared" si="8"/>
        <v>-114.28571428571468</v>
      </c>
      <c r="AF30" s="21">
        <f t="shared" si="9"/>
        <v>0.95238095238095222</v>
      </c>
      <c r="AG30" s="172">
        <f>AF37</f>
        <v>0.95538659209473831</v>
      </c>
    </row>
    <row r="31" spans="1:33" ht="15.75" customHeight="1">
      <c r="A31" s="193" t="s">
        <v>2096</v>
      </c>
      <c r="B31" s="37" t="s">
        <v>100</v>
      </c>
      <c r="C31" s="190" t="s">
        <v>105</v>
      </c>
      <c r="D31" s="190"/>
      <c r="E31" s="37">
        <v>25.98</v>
      </c>
      <c r="F31" s="4">
        <v>3197</v>
      </c>
      <c r="G31" s="4">
        <f t="shared" si="23"/>
        <v>83058.06</v>
      </c>
      <c r="H31" s="22" t="s">
        <v>139</v>
      </c>
      <c r="I31" s="16">
        <v>21</v>
      </c>
      <c r="J31" s="18">
        <v>2400</v>
      </c>
      <c r="K31" s="17">
        <f t="shared" si="1"/>
        <v>114.28571428571429</v>
      </c>
      <c r="L31" s="16">
        <v>21</v>
      </c>
      <c r="M31" s="18">
        <f t="shared" si="24"/>
        <v>2283.5714285714275</v>
      </c>
      <c r="N31" s="17">
        <f t="shared" si="3"/>
        <v>108.7414965986394</v>
      </c>
      <c r="O31" s="19">
        <f t="shared" si="4"/>
        <v>0</v>
      </c>
      <c r="P31" s="20">
        <f t="shared" si="5"/>
        <v>-5.5442176870748909</v>
      </c>
      <c r="Q31" s="21">
        <f t="shared" si="6"/>
        <v>0.95148809523809474</v>
      </c>
      <c r="R31" s="172"/>
      <c r="S31" s="28">
        <v>0.23194444444444445</v>
      </c>
      <c r="T31" s="28">
        <v>0.2902777777777778</v>
      </c>
      <c r="U31" s="4">
        <f t="shared" ref="U31:U36" si="26">(S31-T30)*24*60</f>
        <v>27.999999999999979</v>
      </c>
      <c r="V31" s="22">
        <f t="shared" si="25"/>
        <v>84.000000000000028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8"/>
        <v>-116.42857142857247</v>
      </c>
      <c r="AF31" s="21">
        <f t="shared" si="9"/>
        <v>0.95148809523809486</v>
      </c>
      <c r="AG31" s="172"/>
    </row>
    <row r="32" spans="1:33" ht="15.75" customHeight="1">
      <c r="A32" s="193" t="s">
        <v>2096</v>
      </c>
      <c r="B32" s="37" t="s">
        <v>100</v>
      </c>
      <c r="C32" s="190" t="s">
        <v>102</v>
      </c>
      <c r="D32" s="190"/>
      <c r="E32" s="37">
        <v>26.2</v>
      </c>
      <c r="F32" s="4">
        <v>3600</v>
      </c>
      <c r="G32" s="4">
        <f t="shared" si="23"/>
        <v>94320</v>
      </c>
      <c r="H32" s="22">
        <v>2</v>
      </c>
      <c r="I32" s="16">
        <v>20</v>
      </c>
      <c r="J32" s="18">
        <v>2400</v>
      </c>
      <c r="K32" s="17">
        <f t="shared" si="1"/>
        <v>120</v>
      </c>
      <c r="L32" s="16">
        <v>20</v>
      </c>
      <c r="M32" s="18">
        <f t="shared" si="24"/>
        <v>2297.872340425532</v>
      </c>
      <c r="N32" s="17">
        <f t="shared" si="3"/>
        <v>114.8936170212766</v>
      </c>
      <c r="O32" s="19">
        <f t="shared" si="4"/>
        <v>0</v>
      </c>
      <c r="P32" s="20">
        <f t="shared" si="5"/>
        <v>-5.1063829787234027</v>
      </c>
      <c r="Q32" s="21">
        <f t="shared" si="6"/>
        <v>0.95744680851063835</v>
      </c>
      <c r="R32" s="172"/>
      <c r="S32" s="28">
        <v>0.29583333333333334</v>
      </c>
      <c r="T32" s="28">
        <v>0.3611111111111111</v>
      </c>
      <c r="U32" s="4">
        <f t="shared" si="26"/>
        <v>7.9999999999999716</v>
      </c>
      <c r="V32" s="22">
        <f t="shared" si="25"/>
        <v>93.999999999999986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8"/>
        <v>-102.127659574468</v>
      </c>
      <c r="AF32" s="21">
        <f t="shared" si="9"/>
        <v>0.95744680851063835</v>
      </c>
      <c r="AG32" s="172"/>
    </row>
    <row r="33" spans="1:33" ht="15.75" customHeight="1">
      <c r="A33" s="193" t="s">
        <v>2096</v>
      </c>
      <c r="B33" s="37" t="s">
        <v>100</v>
      </c>
      <c r="C33" s="190" t="s">
        <v>103</v>
      </c>
      <c r="D33" s="190"/>
      <c r="E33" s="37">
        <v>25.99</v>
      </c>
      <c r="F33" s="4">
        <v>4616</v>
      </c>
      <c r="G33" s="4">
        <f t="shared" si="23"/>
        <v>119969.84</v>
      </c>
      <c r="H33" s="22" t="s">
        <v>139</v>
      </c>
      <c r="I33" s="16">
        <v>14</v>
      </c>
      <c r="J33" s="18">
        <v>2400</v>
      </c>
      <c r="K33" s="17">
        <f t="shared" si="1"/>
        <v>171.42857142857142</v>
      </c>
      <c r="L33" s="16">
        <v>14</v>
      </c>
      <c r="M33" s="18">
        <f t="shared" si="24"/>
        <v>2288.9256198347111</v>
      </c>
      <c r="N33" s="17">
        <f t="shared" si="3"/>
        <v>163.4946871310508</v>
      </c>
      <c r="O33" s="19">
        <f t="shared" si="4"/>
        <v>0</v>
      </c>
      <c r="P33" s="20">
        <f t="shared" si="5"/>
        <v>-7.9338842975206205</v>
      </c>
      <c r="Q33" s="21">
        <f t="shared" si="6"/>
        <v>0.9537190082644631</v>
      </c>
      <c r="R33" s="172"/>
      <c r="S33" s="28">
        <v>0.36666666666666664</v>
      </c>
      <c r="T33" s="28">
        <v>0.4506944444444444</v>
      </c>
      <c r="U33" s="4">
        <f t="shared" si="26"/>
        <v>7.9999999999999716</v>
      </c>
      <c r="V33" s="22">
        <f t="shared" si="25"/>
        <v>120.99999999999997</v>
      </c>
      <c r="W33" s="23"/>
      <c r="X33" s="23"/>
      <c r="Y33" s="23"/>
      <c r="Z33" s="23"/>
      <c r="AA33" s="164"/>
      <c r="AB33" s="164"/>
      <c r="AC33" s="25"/>
      <c r="AD33" s="25"/>
      <c r="AE33" s="19">
        <f t="shared" si="8"/>
        <v>-111.07438016528886</v>
      </c>
      <c r="AF33" s="21">
        <f t="shared" si="9"/>
        <v>0.95371900826446299</v>
      </c>
      <c r="AG33" s="172"/>
    </row>
    <row r="34" spans="1:33" ht="15.75" customHeight="1">
      <c r="A34" s="193" t="s">
        <v>2096</v>
      </c>
      <c r="B34" s="37" t="s">
        <v>100</v>
      </c>
      <c r="C34" s="190" t="s">
        <v>107</v>
      </c>
      <c r="D34" s="190"/>
      <c r="E34" s="37">
        <v>26.18</v>
      </c>
      <c r="F34" s="4">
        <v>2157</v>
      </c>
      <c r="G34" s="4">
        <f t="shared" si="23"/>
        <v>56470.26</v>
      </c>
      <c r="H34" s="22" t="s">
        <v>139</v>
      </c>
      <c r="I34" s="16">
        <v>19</v>
      </c>
      <c r="J34" s="18">
        <v>2400</v>
      </c>
      <c r="K34" s="17">
        <f t="shared" si="1"/>
        <v>126.31578947368421</v>
      </c>
      <c r="L34" s="16">
        <v>19</v>
      </c>
      <c r="M34" s="18">
        <f t="shared" si="24"/>
        <v>2311.0714285714303</v>
      </c>
      <c r="N34" s="17">
        <f t="shared" si="3"/>
        <v>121.63533834586475</v>
      </c>
      <c r="O34" s="19">
        <f t="shared" si="4"/>
        <v>0</v>
      </c>
      <c r="P34" s="20">
        <f t="shared" si="5"/>
        <v>-4.6804511278194525</v>
      </c>
      <c r="Q34" s="21">
        <f t="shared" si="6"/>
        <v>0.96294642857142931</v>
      </c>
      <c r="R34" s="172"/>
      <c r="S34" s="28">
        <v>0.45486111111111105</v>
      </c>
      <c r="T34" s="28">
        <v>0.49374999999999991</v>
      </c>
      <c r="U34" s="4">
        <f t="shared" si="26"/>
        <v>5.9999999999999787</v>
      </c>
      <c r="V34" s="22">
        <f t="shared" si="25"/>
        <v>55.999999999999957</v>
      </c>
      <c r="W34" s="23">
        <f>T34</f>
        <v>0.49374999999999991</v>
      </c>
      <c r="X34" s="23">
        <f>S35</f>
        <v>0.53541666666666654</v>
      </c>
      <c r="Y34" s="23"/>
      <c r="Z34" s="23"/>
      <c r="AA34" s="164"/>
      <c r="AB34" s="164"/>
      <c r="AC34" s="25"/>
      <c r="AD34" s="25"/>
      <c r="AE34" s="19">
        <f t="shared" si="8"/>
        <v>-88.92857142856974</v>
      </c>
      <c r="AF34" s="21">
        <f t="shared" si="9"/>
        <v>0.96294642857142931</v>
      </c>
      <c r="AG34" s="172"/>
    </row>
    <row r="35" spans="1:33" ht="15.75" customHeight="1">
      <c r="A35" s="193" t="s">
        <v>2096</v>
      </c>
      <c r="B35" s="37" t="s">
        <v>100</v>
      </c>
      <c r="C35" s="190" t="s">
        <v>101</v>
      </c>
      <c r="D35" s="190"/>
      <c r="E35" s="37">
        <v>31.29</v>
      </c>
      <c r="F35" s="4">
        <v>5319</v>
      </c>
      <c r="G35" s="4">
        <f t="shared" si="23"/>
        <v>166431.51</v>
      </c>
      <c r="H35" s="22" t="s">
        <v>139</v>
      </c>
      <c r="I35" s="16">
        <v>18</v>
      </c>
      <c r="J35" s="18">
        <v>2400</v>
      </c>
      <c r="K35" s="17">
        <f t="shared" si="1"/>
        <v>133.33333333333334</v>
      </c>
      <c r="L35" s="16">
        <v>18</v>
      </c>
      <c r="M35" s="18">
        <f t="shared" si="24"/>
        <v>2295.9712230215828</v>
      </c>
      <c r="N35" s="17">
        <f t="shared" si="3"/>
        <v>127.55395683453237</v>
      </c>
      <c r="O35" s="19">
        <f t="shared" si="4"/>
        <v>0</v>
      </c>
      <c r="P35" s="20">
        <f t="shared" si="5"/>
        <v>-5.7793764988009713</v>
      </c>
      <c r="Q35" s="21">
        <f t="shared" si="6"/>
        <v>0.9566546762589927</v>
      </c>
      <c r="R35" s="172"/>
      <c r="S35" s="28">
        <v>0.53541666666666654</v>
      </c>
      <c r="T35" s="28">
        <v>0.63194444444444431</v>
      </c>
      <c r="U35" s="4">
        <f t="shared" si="26"/>
        <v>59.999999999999943</v>
      </c>
      <c r="V35" s="22">
        <f t="shared" si="25"/>
        <v>139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8"/>
        <v>-104.02877697841723</v>
      </c>
      <c r="AF35" s="21">
        <f t="shared" si="9"/>
        <v>0.95665467625899281</v>
      </c>
      <c r="AG35" s="172"/>
    </row>
    <row r="36" spans="1:33" ht="15.75" customHeight="1">
      <c r="A36" s="193" t="s">
        <v>2096</v>
      </c>
      <c r="B36" s="37" t="s">
        <v>100</v>
      </c>
      <c r="C36" s="190" t="s">
        <v>102</v>
      </c>
      <c r="D36" s="190"/>
      <c r="E36" s="37">
        <v>26.2</v>
      </c>
      <c r="F36" s="4">
        <v>2173</v>
      </c>
      <c r="G36" s="4">
        <f t="shared" si="23"/>
        <v>56932.6</v>
      </c>
      <c r="H36" s="22" t="s">
        <v>139</v>
      </c>
      <c r="I36" s="16">
        <v>20</v>
      </c>
      <c r="J36" s="18">
        <v>2400</v>
      </c>
      <c r="K36" s="17">
        <f t="shared" si="1"/>
        <v>120</v>
      </c>
      <c r="L36" s="16">
        <v>20</v>
      </c>
      <c r="M36" s="18">
        <f t="shared" si="24"/>
        <v>2287.3684210526335</v>
      </c>
      <c r="N36" s="17">
        <f t="shared" si="3"/>
        <v>114.36842105263167</v>
      </c>
      <c r="O36" s="19">
        <f t="shared" si="4"/>
        <v>0</v>
      </c>
      <c r="P36" s="20">
        <f t="shared" si="5"/>
        <v>-5.6315789473683253</v>
      </c>
      <c r="Q36" s="21">
        <f t="shared" si="6"/>
        <v>0.95307017543859729</v>
      </c>
      <c r="R36" s="172"/>
      <c r="S36" s="28">
        <v>0.63611111111111096</v>
      </c>
      <c r="T36" s="28">
        <v>0.67569444444444426</v>
      </c>
      <c r="U36" s="4">
        <f t="shared" si="26"/>
        <v>5.9999999999999787</v>
      </c>
      <c r="V36" s="22">
        <f t="shared" si="25"/>
        <v>56.999999999999957</v>
      </c>
      <c r="W36" s="23"/>
      <c r="X36" s="23"/>
      <c r="Y36" s="23"/>
      <c r="Z36" s="23"/>
      <c r="AA36" s="164"/>
      <c r="AB36" s="164"/>
      <c r="AC36" s="25"/>
      <c r="AD36" s="25"/>
      <c r="AE36" s="19">
        <f t="shared" si="8"/>
        <v>-112.63157894736651</v>
      </c>
      <c r="AF36" s="21">
        <f t="shared" si="9"/>
        <v>0.95307017543859729</v>
      </c>
      <c r="AG36" s="172"/>
    </row>
    <row r="37" spans="1:33" ht="15.75" customHeight="1">
      <c r="A37" s="193" t="s">
        <v>2096</v>
      </c>
      <c r="B37" s="37" t="s">
        <v>2092</v>
      </c>
      <c r="C37" s="177"/>
      <c r="D37" s="177"/>
      <c r="E37" s="38"/>
      <c r="F37" s="4"/>
      <c r="G37" s="4"/>
      <c r="H37" s="4"/>
      <c r="I37" s="30">
        <v>18.571428571428573</v>
      </c>
      <c r="J37" s="18">
        <v>2400</v>
      </c>
      <c r="K37" s="17">
        <f t="shared" si="1"/>
        <v>129.23076923076923</v>
      </c>
      <c r="L37" s="30">
        <v>18.571428571428573</v>
      </c>
      <c r="M37" s="18">
        <f>AVERAGE(M30:M36)</f>
        <v>2292.9278210273719</v>
      </c>
      <c r="N37" s="17">
        <f t="shared" si="3"/>
        <v>123.46534420916618</v>
      </c>
      <c r="O37" s="19">
        <f t="shared" si="4"/>
        <v>0</v>
      </c>
      <c r="P37" s="20">
        <f t="shared" si="5"/>
        <v>-5.7654250216030505</v>
      </c>
      <c r="Q37" s="21">
        <f t="shared" si="6"/>
        <v>0.95538659209473831</v>
      </c>
      <c r="R37" s="172"/>
      <c r="S37" s="28"/>
      <c r="T37" s="28"/>
      <c r="U37" s="4"/>
      <c r="V37" s="22"/>
      <c r="W37" s="4"/>
      <c r="X37" s="4"/>
      <c r="Y37" s="31">
        <f>SUM(Y30:Y36)</f>
        <v>0</v>
      </c>
      <c r="Z37" s="31">
        <f>SUM(Z30:Z36)</f>
        <v>0</v>
      </c>
      <c r="AA37" s="168"/>
      <c r="AB37" s="168"/>
      <c r="AC37" s="31">
        <v>7</v>
      </c>
      <c r="AD37" s="31">
        <f>SUM(AD30:AD36)</f>
        <v>0</v>
      </c>
      <c r="AE37" s="19">
        <f t="shared" si="8"/>
        <v>-107.07217897262808</v>
      </c>
      <c r="AF37" s="21">
        <f t="shared" si="9"/>
        <v>0.95538659209473831</v>
      </c>
      <c r="AG37" s="172"/>
    </row>
    <row r="38" spans="1:33" ht="15.75" customHeight="1">
      <c r="A38" s="191" t="s">
        <v>2097</v>
      </c>
      <c r="B38" s="37" t="s">
        <v>100</v>
      </c>
      <c r="C38" s="165" t="s">
        <v>106</v>
      </c>
      <c r="D38" s="165"/>
      <c r="E38" s="37">
        <v>26.2</v>
      </c>
      <c r="F38" s="4">
        <v>3500</v>
      </c>
      <c r="G38" s="4">
        <f t="shared" ref="G38:G44" si="27">E38*F38</f>
        <v>91700</v>
      </c>
      <c r="H38" s="22">
        <v>2</v>
      </c>
      <c r="I38" s="16">
        <v>18</v>
      </c>
      <c r="J38" s="18">
        <v>2400</v>
      </c>
      <c r="K38" s="17">
        <f t="shared" si="1"/>
        <v>133.33333333333334</v>
      </c>
      <c r="L38" s="16">
        <v>18</v>
      </c>
      <c r="M38" s="18">
        <f t="shared" ref="M38:M44" si="28">F38/V38*60</f>
        <v>2307.6923076923076</v>
      </c>
      <c r="N38" s="17">
        <f t="shared" si="3"/>
        <v>128.2051282051282</v>
      </c>
      <c r="O38" s="19">
        <f t="shared" si="4"/>
        <v>0</v>
      </c>
      <c r="P38" s="20">
        <f t="shared" si="5"/>
        <v>-5.1282051282051384</v>
      </c>
      <c r="Q38" s="21">
        <f t="shared" si="6"/>
        <v>0.96153846153846145</v>
      </c>
      <c r="R38" s="172">
        <f>Q45</f>
        <v>0.95632322411555581</v>
      </c>
      <c r="S38" s="28">
        <v>0.125</v>
      </c>
      <c r="T38" s="28">
        <v>0.18819444444444444</v>
      </c>
      <c r="U38" s="4"/>
      <c r="V38" s="22">
        <f t="shared" ref="V38:V44" si="29">(T38-S38)*24*60</f>
        <v>91</v>
      </c>
      <c r="W38" s="28">
        <f>T38</f>
        <v>0.18819444444444444</v>
      </c>
      <c r="X38" s="28">
        <f>S39</f>
        <v>0.20902777777777778</v>
      </c>
      <c r="Y38" s="28"/>
      <c r="Z38" s="28"/>
      <c r="AA38" s="164"/>
      <c r="AB38" s="164"/>
      <c r="AC38" s="25">
        <v>7</v>
      </c>
      <c r="AD38" s="25"/>
      <c r="AE38" s="19">
        <f t="shared" si="8"/>
        <v>-92.307692307692378</v>
      </c>
      <c r="AF38" s="21">
        <f t="shared" si="9"/>
        <v>0.96153846153846156</v>
      </c>
      <c r="AG38" s="172">
        <f>AF45</f>
        <v>0.95632322411555581</v>
      </c>
    </row>
    <row r="39" spans="1:33" ht="15.75" customHeight="1">
      <c r="A39" s="191" t="s">
        <v>2097</v>
      </c>
      <c r="B39" s="37" t="s">
        <v>100</v>
      </c>
      <c r="C39" s="165" t="s">
        <v>104</v>
      </c>
      <c r="D39" s="165"/>
      <c r="E39" s="37">
        <v>20.52</v>
      </c>
      <c r="F39" s="4">
        <v>4430</v>
      </c>
      <c r="G39" s="4">
        <f t="shared" si="27"/>
        <v>90903.599999999991</v>
      </c>
      <c r="H39" s="22" t="s">
        <v>139</v>
      </c>
      <c r="I39" s="16">
        <v>18</v>
      </c>
      <c r="J39" s="18">
        <v>2400</v>
      </c>
      <c r="K39" s="17">
        <f t="shared" si="1"/>
        <v>133.33333333333334</v>
      </c>
      <c r="L39" s="16">
        <v>18</v>
      </c>
      <c r="M39" s="18">
        <f t="shared" si="28"/>
        <v>2291.379310344827</v>
      </c>
      <c r="N39" s="17">
        <f t="shared" si="3"/>
        <v>127.29885057471262</v>
      </c>
      <c r="O39" s="19">
        <f t="shared" si="4"/>
        <v>0</v>
      </c>
      <c r="P39" s="20">
        <f t="shared" si="5"/>
        <v>-6.0344827586207259</v>
      </c>
      <c r="Q39" s="21">
        <f t="shared" si="6"/>
        <v>0.95474137931034453</v>
      </c>
      <c r="R39" s="172"/>
      <c r="S39" s="28">
        <v>0.20902777777777778</v>
      </c>
      <c r="T39" s="28">
        <v>0.28958333333333336</v>
      </c>
      <c r="U39" s="4">
        <f t="shared" ref="U39:U44" si="30">(S39-T38)*24*60</f>
        <v>30.000000000000014</v>
      </c>
      <c r="V39" s="22">
        <f t="shared" si="29"/>
        <v>116.00000000000003</v>
      </c>
      <c r="W39" s="4"/>
      <c r="X39" s="4"/>
      <c r="Y39" s="4"/>
      <c r="Z39" s="4"/>
      <c r="AA39" s="164"/>
      <c r="AB39" s="164"/>
      <c r="AC39" s="25"/>
      <c r="AD39" s="25"/>
      <c r="AE39" s="19">
        <f t="shared" si="8"/>
        <v>-108.62068965517301</v>
      </c>
      <c r="AF39" s="21">
        <f t="shared" si="9"/>
        <v>0.95474137931034453</v>
      </c>
      <c r="AG39" s="172"/>
    </row>
    <row r="40" spans="1:33">
      <c r="A40" s="192" t="s">
        <v>2097</v>
      </c>
      <c r="B40" s="37" t="s">
        <v>100</v>
      </c>
      <c r="C40" s="165" t="s">
        <v>108</v>
      </c>
      <c r="D40" s="165"/>
      <c r="E40" s="37">
        <v>26.39</v>
      </c>
      <c r="F40" s="4">
        <v>4000</v>
      </c>
      <c r="G40" s="4">
        <f t="shared" si="27"/>
        <v>105560</v>
      </c>
      <c r="H40" s="22">
        <v>2</v>
      </c>
      <c r="I40" s="16">
        <v>19</v>
      </c>
      <c r="J40" s="18">
        <v>2400</v>
      </c>
      <c r="K40" s="17">
        <f t="shared" si="1"/>
        <v>126.31578947368421</v>
      </c>
      <c r="L40" s="16">
        <v>19</v>
      </c>
      <c r="M40" s="18">
        <f t="shared" si="28"/>
        <v>2285.7142857142853</v>
      </c>
      <c r="N40" s="17">
        <f t="shared" si="3"/>
        <v>120.30075187969923</v>
      </c>
      <c r="O40" s="19">
        <f t="shared" si="4"/>
        <v>0</v>
      </c>
      <c r="P40" s="20">
        <f t="shared" si="5"/>
        <v>-6.015037593984971</v>
      </c>
      <c r="Q40" s="21">
        <f t="shared" si="6"/>
        <v>0.95238095238095233</v>
      </c>
      <c r="R40" s="172"/>
      <c r="S40" s="28">
        <v>0.29305555555555557</v>
      </c>
      <c r="T40" s="28">
        <v>0.36597222222222225</v>
      </c>
      <c r="U40" s="4">
        <f t="shared" si="30"/>
        <v>4.9999999999999822</v>
      </c>
      <c r="V40" s="22">
        <f t="shared" si="29"/>
        <v>105.00000000000003</v>
      </c>
      <c r="W40" s="4"/>
      <c r="X40" s="4"/>
      <c r="Y40" s="4"/>
      <c r="Z40" s="4"/>
      <c r="AA40" s="164"/>
      <c r="AB40" s="164"/>
      <c r="AC40" s="25"/>
      <c r="AD40" s="25"/>
      <c r="AE40" s="19">
        <f t="shared" si="8"/>
        <v>-114.28571428571468</v>
      </c>
      <c r="AF40" s="21">
        <f t="shared" si="9"/>
        <v>0.95238095238095222</v>
      </c>
      <c r="AG40" s="172"/>
    </row>
    <row r="41" spans="1:33">
      <c r="A41" s="192" t="s">
        <v>2097</v>
      </c>
      <c r="B41" s="37" t="s">
        <v>100</v>
      </c>
      <c r="C41" s="165" t="s">
        <v>137</v>
      </c>
      <c r="D41" s="165"/>
      <c r="E41" s="37">
        <v>20.21</v>
      </c>
      <c r="F41" s="4">
        <v>3544</v>
      </c>
      <c r="G41" s="4">
        <f t="shared" si="27"/>
        <v>71624.240000000005</v>
      </c>
      <c r="H41" s="22" t="s">
        <v>139</v>
      </c>
      <c r="I41" s="16">
        <v>16</v>
      </c>
      <c r="J41" s="18">
        <v>2400</v>
      </c>
      <c r="K41" s="17">
        <f t="shared" si="1"/>
        <v>150</v>
      </c>
      <c r="L41" s="16">
        <v>16</v>
      </c>
      <c r="M41" s="18">
        <f t="shared" si="28"/>
        <v>2286.4516129032263</v>
      </c>
      <c r="N41" s="17">
        <f t="shared" si="3"/>
        <v>142.90322580645164</v>
      </c>
      <c r="O41" s="19">
        <f t="shared" si="4"/>
        <v>0</v>
      </c>
      <c r="P41" s="20">
        <f t="shared" si="5"/>
        <v>-7.0967741935483559</v>
      </c>
      <c r="Q41" s="21">
        <f t="shared" si="6"/>
        <v>0.95268817204301093</v>
      </c>
      <c r="R41" s="172"/>
      <c r="S41" s="28">
        <v>0.37013888888888891</v>
      </c>
      <c r="T41" s="28">
        <v>0.43472222222222223</v>
      </c>
      <c r="U41" s="4">
        <f t="shared" si="30"/>
        <v>5.9999999999999787</v>
      </c>
      <c r="V41" s="22">
        <f t="shared" si="29"/>
        <v>92.999999999999986</v>
      </c>
      <c r="W41" s="23"/>
      <c r="X41" s="23"/>
      <c r="Y41" s="23"/>
      <c r="Z41" s="23"/>
      <c r="AA41" s="164"/>
      <c r="AB41" s="164"/>
      <c r="AC41" s="25"/>
      <c r="AD41" s="25"/>
      <c r="AE41" s="19">
        <f t="shared" si="8"/>
        <v>-113.54838709677369</v>
      </c>
      <c r="AF41" s="21">
        <f t="shared" si="9"/>
        <v>0.95268817204301093</v>
      </c>
      <c r="AG41" s="172"/>
    </row>
    <row r="42" spans="1:33">
      <c r="A42" s="192" t="s">
        <v>2097</v>
      </c>
      <c r="B42" s="37" t="s">
        <v>100</v>
      </c>
      <c r="C42" s="165" t="s">
        <v>134</v>
      </c>
      <c r="D42" s="165"/>
      <c r="E42" s="37">
        <v>20.52</v>
      </c>
      <c r="F42" s="4">
        <v>3322</v>
      </c>
      <c r="G42" s="4">
        <f t="shared" si="27"/>
        <v>68167.44</v>
      </c>
      <c r="H42" s="22" t="s">
        <v>139</v>
      </c>
      <c r="I42" s="16">
        <v>18</v>
      </c>
      <c r="J42" s="18">
        <v>2400</v>
      </c>
      <c r="K42" s="17">
        <f t="shared" si="1"/>
        <v>133.33333333333334</v>
      </c>
      <c r="L42" s="16">
        <v>18</v>
      </c>
      <c r="M42" s="18">
        <f t="shared" si="28"/>
        <v>2291.0344827586205</v>
      </c>
      <c r="N42" s="17">
        <f t="shared" si="3"/>
        <v>127.27969348659002</v>
      </c>
      <c r="O42" s="19">
        <f t="shared" si="4"/>
        <v>0</v>
      </c>
      <c r="P42" s="20">
        <f t="shared" si="5"/>
        <v>-6.053639846743323</v>
      </c>
      <c r="Q42" s="21">
        <f t="shared" si="6"/>
        <v>0.9545977011494251</v>
      </c>
      <c r="R42" s="172"/>
      <c r="S42" s="28">
        <v>0.43958333333333333</v>
      </c>
      <c r="T42" s="28">
        <v>0.5</v>
      </c>
      <c r="U42" s="4">
        <f t="shared" si="30"/>
        <v>6.9999999999999751</v>
      </c>
      <c r="V42" s="22">
        <f t="shared" si="29"/>
        <v>87.000000000000014</v>
      </c>
      <c r="W42" s="23">
        <f>T42</f>
        <v>0.5</v>
      </c>
      <c r="X42" s="23">
        <f>S43</f>
        <v>0.53819444444444442</v>
      </c>
      <c r="Y42" s="23"/>
      <c r="Z42" s="23"/>
      <c r="AA42" s="164"/>
      <c r="AB42" s="164"/>
      <c r="AC42" s="25"/>
      <c r="AD42" s="25"/>
      <c r="AE42" s="19">
        <f t="shared" si="8"/>
        <v>-108.96551724137953</v>
      </c>
      <c r="AF42" s="21">
        <f t="shared" si="9"/>
        <v>0.95459770114942522</v>
      </c>
      <c r="AG42" s="172"/>
    </row>
    <row r="43" spans="1:33">
      <c r="A43" s="192" t="s">
        <v>2097</v>
      </c>
      <c r="B43" s="37" t="s">
        <v>100</v>
      </c>
      <c r="C43" s="165" t="s">
        <v>106</v>
      </c>
      <c r="D43" s="165"/>
      <c r="E43" s="37">
        <v>26.2</v>
      </c>
      <c r="F43" s="4">
        <v>4322</v>
      </c>
      <c r="G43" s="4">
        <f t="shared" si="27"/>
        <v>113236.4</v>
      </c>
      <c r="H43" s="22" t="s">
        <v>139</v>
      </c>
      <c r="I43" s="16">
        <v>18</v>
      </c>
      <c r="J43" s="18">
        <v>2400</v>
      </c>
      <c r="K43" s="17">
        <f t="shared" si="1"/>
        <v>133.33333333333334</v>
      </c>
      <c r="L43" s="16">
        <v>18</v>
      </c>
      <c r="M43" s="18">
        <f t="shared" si="28"/>
        <v>2294.8672566371665</v>
      </c>
      <c r="N43" s="17">
        <f t="shared" si="3"/>
        <v>127.49262536873147</v>
      </c>
      <c r="O43" s="19">
        <f t="shared" si="4"/>
        <v>0</v>
      </c>
      <c r="P43" s="20">
        <f t="shared" si="5"/>
        <v>-5.8407079646018758</v>
      </c>
      <c r="Q43" s="21">
        <f t="shared" si="6"/>
        <v>0.95619469026548598</v>
      </c>
      <c r="R43" s="172"/>
      <c r="S43" s="28">
        <v>0.53819444444444442</v>
      </c>
      <c r="T43" s="28">
        <v>0.6166666666666667</v>
      </c>
      <c r="U43" s="4">
        <f t="shared" si="30"/>
        <v>54.999999999999964</v>
      </c>
      <c r="V43" s="22">
        <f t="shared" si="29"/>
        <v>113.00000000000009</v>
      </c>
      <c r="W43" s="23"/>
      <c r="X43" s="23"/>
      <c r="Y43" s="23"/>
      <c r="Z43" s="23"/>
      <c r="AA43" s="164"/>
      <c r="AB43" s="164"/>
      <c r="AC43" s="25"/>
      <c r="AD43" s="25"/>
      <c r="AE43" s="19">
        <f t="shared" si="8"/>
        <v>-105.13274336283348</v>
      </c>
      <c r="AF43" s="21">
        <f t="shared" si="9"/>
        <v>0.95619469026548609</v>
      </c>
      <c r="AG43" s="172"/>
    </row>
    <row r="44" spans="1:33">
      <c r="A44" s="192" t="s">
        <v>2097</v>
      </c>
      <c r="B44" s="37" t="s">
        <v>100</v>
      </c>
      <c r="C44" s="165" t="s">
        <v>108</v>
      </c>
      <c r="D44" s="165"/>
      <c r="E44" s="37">
        <v>26.39</v>
      </c>
      <c r="F44" s="4">
        <v>2540</v>
      </c>
      <c r="G44" s="4">
        <f t="shared" si="27"/>
        <v>67030.600000000006</v>
      </c>
      <c r="H44" s="22" t="s">
        <v>139</v>
      </c>
      <c r="I44" s="16">
        <v>19</v>
      </c>
      <c r="J44" s="18">
        <v>2400</v>
      </c>
      <c r="K44" s="17">
        <f t="shared" si="1"/>
        <v>126.31578947368421</v>
      </c>
      <c r="L44" s="16">
        <v>19</v>
      </c>
      <c r="M44" s="18">
        <f t="shared" si="28"/>
        <v>2309.0909090909063</v>
      </c>
      <c r="N44" s="17">
        <f t="shared" si="3"/>
        <v>121.53110047846876</v>
      </c>
      <c r="O44" s="19">
        <f t="shared" si="4"/>
        <v>0</v>
      </c>
      <c r="P44" s="20">
        <f t="shared" si="5"/>
        <v>-4.784688995215447</v>
      </c>
      <c r="Q44" s="21">
        <f t="shared" si="6"/>
        <v>0.96212121212121104</v>
      </c>
      <c r="R44" s="172"/>
      <c r="S44" s="28">
        <v>0.62222222222222223</v>
      </c>
      <c r="T44" s="28">
        <v>0.66805555555555562</v>
      </c>
      <c r="U44" s="4">
        <f t="shared" si="30"/>
        <v>7.9999999999999716</v>
      </c>
      <c r="V44" s="22">
        <f t="shared" si="29"/>
        <v>66.000000000000085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-90.90909090909372</v>
      </c>
      <c r="AF44" s="21">
        <f t="shared" si="9"/>
        <v>0.96212121212121093</v>
      </c>
      <c r="AG44" s="172"/>
    </row>
    <row r="45" spans="1:33">
      <c r="A45" s="192" t="s">
        <v>2097</v>
      </c>
      <c r="B45" s="17" t="s">
        <v>2092</v>
      </c>
      <c r="C45" s="177"/>
      <c r="D45" s="177"/>
      <c r="E45" s="38"/>
      <c r="F45" s="17"/>
      <c r="G45" s="17"/>
      <c r="H45" s="4"/>
      <c r="I45" s="30">
        <v>18</v>
      </c>
      <c r="J45" s="18">
        <v>2400</v>
      </c>
      <c r="K45" s="17">
        <f t="shared" si="1"/>
        <v>133.33333333333334</v>
      </c>
      <c r="L45" s="30">
        <v>18</v>
      </c>
      <c r="M45" s="18">
        <f>AVERAGE(M38:M44)</f>
        <v>2295.1757378773341</v>
      </c>
      <c r="N45" s="17">
        <f t="shared" si="3"/>
        <v>127.50976321540745</v>
      </c>
      <c r="O45" s="19">
        <f t="shared" si="4"/>
        <v>0</v>
      </c>
      <c r="P45" s="20">
        <f t="shared" si="5"/>
        <v>-5.8235701179258967</v>
      </c>
      <c r="Q45" s="21">
        <f t="shared" si="6"/>
        <v>0.95632322411555581</v>
      </c>
      <c r="R45" s="172"/>
      <c r="S45" s="28"/>
      <c r="T45" s="28"/>
      <c r="U45" s="17"/>
      <c r="V45" s="22"/>
      <c r="W45" s="17"/>
      <c r="X45" s="17"/>
      <c r="Y45" s="31">
        <f>SUM(Y38:Y44)</f>
        <v>0</v>
      </c>
      <c r="Z45" s="31">
        <f>SUM(Z38:Z44)</f>
        <v>0</v>
      </c>
      <c r="AA45" s="168"/>
      <c r="AB45" s="168"/>
      <c r="AC45" s="31">
        <v>7</v>
      </c>
      <c r="AD45" s="31">
        <f>SUM(AD38:AD44)</f>
        <v>0</v>
      </c>
      <c r="AE45" s="19">
        <f t="shared" si="8"/>
        <v>-104.82426212266591</v>
      </c>
      <c r="AF45" s="21">
        <f t="shared" si="9"/>
        <v>0.95632322411555581</v>
      </c>
      <c r="AG45" s="172"/>
    </row>
    <row r="46" spans="1:33" ht="15.75" customHeight="1">
      <c r="A46" s="184" t="s">
        <v>2098</v>
      </c>
      <c r="B46" s="37" t="s">
        <v>111</v>
      </c>
      <c r="C46" s="173" t="s">
        <v>403</v>
      </c>
      <c r="D46" s="174"/>
      <c r="E46" s="37">
        <v>34.36</v>
      </c>
      <c r="F46" s="4">
        <v>3067</v>
      </c>
      <c r="G46" s="4">
        <f t="shared" ref="G46:G55" si="31">E46*F46</f>
        <v>105382.12</v>
      </c>
      <c r="H46" s="22" t="s">
        <v>139</v>
      </c>
      <c r="I46" s="16">
        <v>10</v>
      </c>
      <c r="J46" s="18">
        <v>3000</v>
      </c>
      <c r="K46" s="17">
        <f t="shared" si="1"/>
        <v>300</v>
      </c>
      <c r="L46" s="16">
        <v>10</v>
      </c>
      <c r="M46" s="18">
        <f t="shared" ref="M46:M55" si="32">F46/V46*60</f>
        <v>2875.3125000000014</v>
      </c>
      <c r="N46" s="18">
        <f t="shared" si="3"/>
        <v>287.53125000000011</v>
      </c>
      <c r="O46" s="19">
        <f t="shared" si="4"/>
        <v>0</v>
      </c>
      <c r="P46" s="20">
        <f t="shared" si="5"/>
        <v>-12.468749999999886</v>
      </c>
      <c r="Q46" s="21">
        <f t="shared" si="6"/>
        <v>0.95843750000000039</v>
      </c>
      <c r="R46" s="187">
        <f>Q56</f>
        <v>0.95788007182624779</v>
      </c>
      <c r="S46" s="28">
        <v>0.20833333333333334</v>
      </c>
      <c r="T46" s="28">
        <v>0.25277777777777777</v>
      </c>
      <c r="U46" s="28"/>
      <c r="V46" s="22">
        <f t="shared" ref="V46:V55" si="33">(T46-S46)*24*60</f>
        <v>63.999999999999972</v>
      </c>
      <c r="W46" s="23"/>
      <c r="X46" s="23"/>
      <c r="Y46" s="26"/>
      <c r="Z46" s="26"/>
      <c r="AA46" s="175"/>
      <c r="AB46" s="176"/>
      <c r="AC46" s="25">
        <v>10</v>
      </c>
      <c r="AD46" s="25"/>
      <c r="AE46" s="19">
        <f t="shared" si="8"/>
        <v>-124.68749999999864</v>
      </c>
      <c r="AF46" s="21">
        <f t="shared" si="9"/>
        <v>0.9584375000000005</v>
      </c>
      <c r="AG46" s="187">
        <f>AF56</f>
        <v>0.95788007182624779</v>
      </c>
    </row>
    <row r="47" spans="1:33" ht="15.75" customHeight="1">
      <c r="A47" s="185" t="s">
        <v>2098</v>
      </c>
      <c r="B47" s="37" t="s">
        <v>111</v>
      </c>
      <c r="C47" s="173" t="s">
        <v>114</v>
      </c>
      <c r="D47" s="174"/>
      <c r="E47" s="37">
        <v>35.119999999999997</v>
      </c>
      <c r="F47" s="4">
        <v>3900</v>
      </c>
      <c r="G47" s="4">
        <f t="shared" si="31"/>
        <v>136968</v>
      </c>
      <c r="H47" s="22">
        <v>2</v>
      </c>
      <c r="I47" s="16">
        <v>10</v>
      </c>
      <c r="J47" s="18">
        <v>3000</v>
      </c>
      <c r="K47" s="17">
        <f t="shared" si="1"/>
        <v>300</v>
      </c>
      <c r="L47" s="16">
        <v>10</v>
      </c>
      <c r="M47" s="18">
        <f t="shared" si="32"/>
        <v>2853.6585365853648</v>
      </c>
      <c r="N47" s="18">
        <f t="shared" si="3"/>
        <v>285.36585365853648</v>
      </c>
      <c r="O47" s="19">
        <f t="shared" si="4"/>
        <v>0</v>
      </c>
      <c r="P47" s="20">
        <f t="shared" si="5"/>
        <v>-14.63414634146352</v>
      </c>
      <c r="Q47" s="21">
        <f t="shared" si="6"/>
        <v>0.95121951219512157</v>
      </c>
      <c r="R47" s="188"/>
      <c r="S47" s="28">
        <v>0.25624999999999998</v>
      </c>
      <c r="T47" s="28">
        <v>0.31319444444444444</v>
      </c>
      <c r="U47" s="4">
        <f t="shared" ref="U47:U55" si="34">(S47-T46)*24*60</f>
        <v>4.9999999999999822</v>
      </c>
      <c r="V47" s="22">
        <f t="shared" si="33"/>
        <v>82.000000000000028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8"/>
        <v>-146.3414634146352</v>
      </c>
      <c r="AF47" s="21">
        <f t="shared" si="9"/>
        <v>0.95121951219512157</v>
      </c>
      <c r="AG47" s="188"/>
    </row>
    <row r="48" spans="1:33" ht="15.75" customHeight="1">
      <c r="A48" s="185" t="s">
        <v>2098</v>
      </c>
      <c r="B48" s="37" t="s">
        <v>111</v>
      </c>
      <c r="C48" s="173" t="s">
        <v>115</v>
      </c>
      <c r="D48" s="174"/>
      <c r="E48" s="37">
        <v>26.78</v>
      </c>
      <c r="F48" s="4">
        <v>3224</v>
      </c>
      <c r="G48" s="4">
        <f t="shared" si="31"/>
        <v>86338.72</v>
      </c>
      <c r="H48" s="22" t="s">
        <v>139</v>
      </c>
      <c r="I48" s="16">
        <v>10</v>
      </c>
      <c r="J48" s="18">
        <v>3000</v>
      </c>
      <c r="K48" s="17">
        <f t="shared" si="1"/>
        <v>300</v>
      </c>
      <c r="L48" s="16">
        <v>10</v>
      </c>
      <c r="M48" s="18">
        <f t="shared" si="32"/>
        <v>2887.1641791044776</v>
      </c>
      <c r="N48" s="18">
        <f t="shared" si="3"/>
        <v>288.71641791044777</v>
      </c>
      <c r="O48" s="19">
        <f t="shared" si="4"/>
        <v>0</v>
      </c>
      <c r="P48" s="20">
        <f t="shared" si="5"/>
        <v>-11.283582089552226</v>
      </c>
      <c r="Q48" s="21">
        <f t="shared" si="6"/>
        <v>0.96238805970149255</v>
      </c>
      <c r="R48" s="188"/>
      <c r="S48" s="28">
        <v>0.31805555555555554</v>
      </c>
      <c r="T48" s="28">
        <v>0.36458333333333331</v>
      </c>
      <c r="U48" s="4">
        <f t="shared" si="34"/>
        <v>6.9999999999999751</v>
      </c>
      <c r="V48" s="22">
        <f t="shared" si="33"/>
        <v>67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-112.83582089552237</v>
      </c>
      <c r="AF48" s="21">
        <f t="shared" si="9"/>
        <v>0.96238805970149255</v>
      </c>
      <c r="AG48" s="188"/>
    </row>
    <row r="49" spans="1:33" ht="15.75" customHeight="1">
      <c r="A49" s="185" t="s">
        <v>2098</v>
      </c>
      <c r="B49" s="37" t="s">
        <v>111</v>
      </c>
      <c r="C49" s="173" t="s">
        <v>112</v>
      </c>
      <c r="D49" s="174"/>
      <c r="E49" s="37">
        <v>21.13</v>
      </c>
      <c r="F49" s="4">
        <v>3200</v>
      </c>
      <c r="G49" s="4">
        <f t="shared" si="31"/>
        <v>67616</v>
      </c>
      <c r="H49" s="22">
        <v>2</v>
      </c>
      <c r="I49" s="16">
        <v>10</v>
      </c>
      <c r="J49" s="18">
        <v>3000</v>
      </c>
      <c r="K49" s="17">
        <f t="shared" si="1"/>
        <v>300</v>
      </c>
      <c r="L49" s="16">
        <v>10</v>
      </c>
      <c r="M49" s="18">
        <f t="shared" si="32"/>
        <v>2865.6716417910447</v>
      </c>
      <c r="N49" s="18">
        <f t="shared" si="3"/>
        <v>286.56716417910445</v>
      </c>
      <c r="O49" s="19">
        <f t="shared" si="4"/>
        <v>0</v>
      </c>
      <c r="P49" s="20">
        <f t="shared" si="5"/>
        <v>-13.432835820895548</v>
      </c>
      <c r="Q49" s="21">
        <f t="shared" si="6"/>
        <v>0.9552238805970148</v>
      </c>
      <c r="R49" s="188"/>
      <c r="S49" s="28">
        <v>0.36874999999999997</v>
      </c>
      <c r="T49" s="28">
        <v>0.41527777777777775</v>
      </c>
      <c r="U49" s="4">
        <f t="shared" si="34"/>
        <v>5.9999999999999787</v>
      </c>
      <c r="V49" s="22">
        <f t="shared" si="33"/>
        <v>67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-134.32835820895525</v>
      </c>
      <c r="AF49" s="21">
        <f t="shared" si="9"/>
        <v>0.95522388059701491</v>
      </c>
      <c r="AG49" s="188"/>
    </row>
    <row r="50" spans="1:33" ht="15.75" customHeight="1">
      <c r="A50" s="185" t="s">
        <v>2098</v>
      </c>
      <c r="B50" s="37" t="s">
        <v>111</v>
      </c>
      <c r="C50" s="173" t="s">
        <v>113</v>
      </c>
      <c r="D50" s="174"/>
      <c r="E50" s="37">
        <v>27.17</v>
      </c>
      <c r="F50" s="4">
        <v>4300</v>
      </c>
      <c r="G50" s="4">
        <f t="shared" si="31"/>
        <v>116831.00000000001</v>
      </c>
      <c r="H50" s="22">
        <v>2</v>
      </c>
      <c r="I50" s="16">
        <v>10</v>
      </c>
      <c r="J50" s="18">
        <v>3000</v>
      </c>
      <c r="K50" s="17">
        <f t="shared" si="1"/>
        <v>300</v>
      </c>
      <c r="L50" s="16">
        <v>10</v>
      </c>
      <c r="M50" s="18">
        <f t="shared" si="32"/>
        <v>2866.6666666666665</v>
      </c>
      <c r="N50" s="18">
        <f t="shared" si="3"/>
        <v>286.66666666666663</v>
      </c>
      <c r="O50" s="19">
        <f t="shared" si="4"/>
        <v>0</v>
      </c>
      <c r="P50" s="20">
        <f t="shared" si="5"/>
        <v>-13.333333333333371</v>
      </c>
      <c r="Q50" s="21">
        <f t="shared" si="6"/>
        <v>0.95555555555555538</v>
      </c>
      <c r="R50" s="188"/>
      <c r="S50" s="28">
        <v>0.4194444444444444</v>
      </c>
      <c r="T50" s="28">
        <v>0.4819444444444444</v>
      </c>
      <c r="U50" s="4">
        <f t="shared" si="34"/>
        <v>5.9999999999999787</v>
      </c>
      <c r="V50" s="22">
        <f t="shared" si="33"/>
        <v>90</v>
      </c>
      <c r="W50" s="23"/>
      <c r="X50" s="23"/>
      <c r="Y50" s="26"/>
      <c r="Z50" s="26"/>
      <c r="AA50" s="175"/>
      <c r="AB50" s="176"/>
      <c r="AC50" s="25"/>
      <c r="AD50" s="25"/>
      <c r="AE50" s="19">
        <f t="shared" si="8"/>
        <v>-133.33333333333348</v>
      </c>
      <c r="AF50" s="21">
        <f t="shared" si="9"/>
        <v>0.95555555555555549</v>
      </c>
      <c r="AG50" s="188"/>
    </row>
    <row r="51" spans="1:33" ht="15.75" customHeight="1">
      <c r="A51" s="185" t="s">
        <v>2098</v>
      </c>
      <c r="B51" s="37" t="s">
        <v>111</v>
      </c>
      <c r="C51" s="173" t="s">
        <v>116</v>
      </c>
      <c r="D51" s="174"/>
      <c r="E51" s="37">
        <v>35.869999999999997</v>
      </c>
      <c r="F51" s="4">
        <v>2100</v>
      </c>
      <c r="G51" s="4">
        <f t="shared" si="31"/>
        <v>75327</v>
      </c>
      <c r="H51" s="22">
        <v>2</v>
      </c>
      <c r="I51" s="16">
        <v>9</v>
      </c>
      <c r="J51" s="18">
        <v>3000</v>
      </c>
      <c r="K51" s="17">
        <f t="shared" si="1"/>
        <v>333.33333333333331</v>
      </c>
      <c r="L51" s="16">
        <v>9</v>
      </c>
      <c r="M51" s="18">
        <f t="shared" si="32"/>
        <v>2863.6363636363635</v>
      </c>
      <c r="N51" s="18">
        <f t="shared" si="3"/>
        <v>318.18181818181819</v>
      </c>
      <c r="O51" s="19">
        <f t="shared" si="4"/>
        <v>0</v>
      </c>
      <c r="P51" s="20">
        <f t="shared" si="5"/>
        <v>-15.151515151515127</v>
      </c>
      <c r="Q51" s="21">
        <f t="shared" si="6"/>
        <v>0.95454545454545459</v>
      </c>
      <c r="R51" s="188"/>
      <c r="S51" s="28">
        <v>0.48611111111111105</v>
      </c>
      <c r="T51" s="28">
        <v>0.51666666666666661</v>
      </c>
      <c r="U51" s="4">
        <f t="shared" si="34"/>
        <v>5.9999999999999787</v>
      </c>
      <c r="V51" s="22">
        <f t="shared" si="33"/>
        <v>44</v>
      </c>
      <c r="W51" s="23">
        <f>T51</f>
        <v>0.51666666666666661</v>
      </c>
      <c r="X51" s="23">
        <f>S52</f>
        <v>0.5576388888888888</v>
      </c>
      <c r="Y51" s="26"/>
      <c r="Z51" s="26"/>
      <c r="AA51" s="175"/>
      <c r="AB51" s="176"/>
      <c r="AC51" s="25"/>
      <c r="AD51" s="25"/>
      <c r="AE51" s="19">
        <f t="shared" si="8"/>
        <v>-136.36363636363649</v>
      </c>
      <c r="AF51" s="21">
        <f t="shared" si="9"/>
        <v>0.95454545454545447</v>
      </c>
      <c r="AG51" s="188"/>
    </row>
    <row r="52" spans="1:33" ht="15.75" customHeight="1">
      <c r="A52" s="185" t="s">
        <v>2098</v>
      </c>
      <c r="B52" s="37" t="s">
        <v>111</v>
      </c>
      <c r="C52" s="173" t="s">
        <v>116</v>
      </c>
      <c r="D52" s="174"/>
      <c r="E52" s="37">
        <v>35.869999999999997</v>
      </c>
      <c r="F52" s="4">
        <v>2370</v>
      </c>
      <c r="G52" s="4">
        <f t="shared" si="31"/>
        <v>85011.9</v>
      </c>
      <c r="H52" s="22" t="s">
        <v>139</v>
      </c>
      <c r="I52" s="16">
        <v>9</v>
      </c>
      <c r="J52" s="18">
        <v>3000</v>
      </c>
      <c r="K52" s="17">
        <f t="shared" si="1"/>
        <v>333.33333333333331</v>
      </c>
      <c r="L52" s="16">
        <v>9</v>
      </c>
      <c r="M52" s="18">
        <f t="shared" si="32"/>
        <v>2902.0408163265315</v>
      </c>
      <c r="N52" s="18">
        <f t="shared" si="3"/>
        <v>322.44897959183686</v>
      </c>
      <c r="O52" s="19">
        <f t="shared" si="4"/>
        <v>0</v>
      </c>
      <c r="P52" s="20">
        <f t="shared" si="5"/>
        <v>-10.884353741496454</v>
      </c>
      <c r="Q52" s="21">
        <f t="shared" si="6"/>
        <v>0.96734693877551059</v>
      </c>
      <c r="R52" s="188"/>
      <c r="S52" s="28">
        <v>0.5576388888888888</v>
      </c>
      <c r="T52" s="28">
        <v>0.59166666666666656</v>
      </c>
      <c r="U52" s="4">
        <f t="shared" si="34"/>
        <v>58.99999999999995</v>
      </c>
      <c r="V52" s="22">
        <f t="shared" si="33"/>
        <v>48.999999999999986</v>
      </c>
      <c r="W52" s="23"/>
      <c r="X52" s="23"/>
      <c r="Y52" s="26"/>
      <c r="Z52" s="26"/>
      <c r="AA52" s="175"/>
      <c r="AB52" s="176"/>
      <c r="AC52" s="25"/>
      <c r="AD52" s="25"/>
      <c r="AE52" s="19">
        <f t="shared" si="8"/>
        <v>-97.959183673468488</v>
      </c>
      <c r="AF52" s="21">
        <f t="shared" si="9"/>
        <v>0.96734693877551048</v>
      </c>
      <c r="AG52" s="188"/>
    </row>
    <row r="53" spans="1:33" ht="15.75" customHeight="1">
      <c r="A53" s="185" t="s">
        <v>2098</v>
      </c>
      <c r="B53" s="37" t="s">
        <v>111</v>
      </c>
      <c r="C53" s="173" t="s">
        <v>112</v>
      </c>
      <c r="D53" s="174"/>
      <c r="E53" s="37">
        <v>21.13</v>
      </c>
      <c r="F53" s="4">
        <v>2274</v>
      </c>
      <c r="G53" s="4">
        <f t="shared" si="31"/>
        <v>48049.619999999995</v>
      </c>
      <c r="H53" s="22" t="s">
        <v>139</v>
      </c>
      <c r="I53" s="16">
        <v>10</v>
      </c>
      <c r="J53" s="18">
        <v>3000</v>
      </c>
      <c r="K53" s="17">
        <f t="shared" si="1"/>
        <v>300</v>
      </c>
      <c r="L53" s="16">
        <v>10</v>
      </c>
      <c r="M53" s="18">
        <f t="shared" si="32"/>
        <v>2902.978723404256</v>
      </c>
      <c r="N53" s="18">
        <f t="shared" si="3"/>
        <v>290.29787234042561</v>
      </c>
      <c r="O53" s="19">
        <f t="shared" si="4"/>
        <v>0</v>
      </c>
      <c r="P53" s="20">
        <f t="shared" si="5"/>
        <v>-9.7021276595743871</v>
      </c>
      <c r="Q53" s="21">
        <f t="shared" si="6"/>
        <v>0.96765957446808537</v>
      </c>
      <c r="R53" s="188"/>
      <c r="S53" s="28">
        <v>0.5972222222222221</v>
      </c>
      <c r="T53" s="28">
        <v>0.62986111111111098</v>
      </c>
      <c r="U53" s="4">
        <f t="shared" si="34"/>
        <v>7.9999999999999716</v>
      </c>
      <c r="V53" s="22">
        <f t="shared" si="33"/>
        <v>46.999999999999993</v>
      </c>
      <c r="W53" s="23"/>
      <c r="X53" s="23"/>
      <c r="Y53" s="26"/>
      <c r="Z53" s="26"/>
      <c r="AA53" s="175"/>
      <c r="AB53" s="176"/>
      <c r="AC53" s="25"/>
      <c r="AD53" s="25"/>
      <c r="AE53" s="19">
        <f t="shared" si="8"/>
        <v>-97.021276595743984</v>
      </c>
      <c r="AF53" s="21">
        <f t="shared" si="9"/>
        <v>0.96765957446808537</v>
      </c>
      <c r="AG53" s="188"/>
    </row>
    <row r="54" spans="1:33" ht="15.75" customHeight="1">
      <c r="A54" s="185" t="s">
        <v>2098</v>
      </c>
      <c r="B54" s="37" t="s">
        <v>111</v>
      </c>
      <c r="C54" s="173" t="s">
        <v>113</v>
      </c>
      <c r="D54" s="174"/>
      <c r="E54" s="37">
        <v>27.17</v>
      </c>
      <c r="F54" s="4">
        <v>3143</v>
      </c>
      <c r="G54" s="4">
        <f t="shared" si="31"/>
        <v>85395.310000000012</v>
      </c>
      <c r="H54" s="22" t="s">
        <v>139</v>
      </c>
      <c r="I54" s="16">
        <v>10</v>
      </c>
      <c r="J54" s="18">
        <v>3000</v>
      </c>
      <c r="K54" s="17">
        <f t="shared" si="1"/>
        <v>300</v>
      </c>
      <c r="L54" s="16">
        <v>10</v>
      </c>
      <c r="M54" s="18">
        <f t="shared" si="32"/>
        <v>2857.2727272727238</v>
      </c>
      <c r="N54" s="18">
        <f t="shared" si="3"/>
        <v>285.72727272727241</v>
      </c>
      <c r="O54" s="19">
        <f t="shared" si="4"/>
        <v>0</v>
      </c>
      <c r="P54" s="20">
        <f t="shared" si="5"/>
        <v>-14.272727272727593</v>
      </c>
      <c r="Q54" s="21">
        <f t="shared" si="6"/>
        <v>0.9524242424242414</v>
      </c>
      <c r="R54" s="188"/>
      <c r="S54" s="28">
        <v>0.63541666666666652</v>
      </c>
      <c r="T54" s="28">
        <v>0.68124999999999991</v>
      </c>
      <c r="U54" s="4">
        <f t="shared" si="34"/>
        <v>7.9999999999999716</v>
      </c>
      <c r="V54" s="22">
        <f t="shared" si="33"/>
        <v>66.000000000000085</v>
      </c>
      <c r="W54" s="23"/>
      <c r="X54" s="23"/>
      <c r="Y54" s="26"/>
      <c r="Z54" s="26"/>
      <c r="AA54" s="175"/>
      <c r="AB54" s="176"/>
      <c r="AC54" s="25"/>
      <c r="AD54" s="25"/>
      <c r="AE54" s="19">
        <f t="shared" si="8"/>
        <v>-142.72727272727616</v>
      </c>
      <c r="AF54" s="21">
        <f t="shared" si="9"/>
        <v>0.95242424242424129</v>
      </c>
      <c r="AG54" s="188"/>
    </row>
    <row r="55" spans="1:33" ht="15.75" customHeight="1">
      <c r="A55" s="185" t="s">
        <v>2098</v>
      </c>
      <c r="B55" s="37" t="s">
        <v>111</v>
      </c>
      <c r="C55" s="173" t="s">
        <v>114</v>
      </c>
      <c r="D55" s="174"/>
      <c r="E55" s="37">
        <v>35.119999999999997</v>
      </c>
      <c r="F55" s="4">
        <v>2862</v>
      </c>
      <c r="G55" s="4">
        <f t="shared" si="31"/>
        <v>100513.43999999999</v>
      </c>
      <c r="H55" s="22" t="s">
        <v>139</v>
      </c>
      <c r="I55" s="16">
        <v>10</v>
      </c>
      <c r="J55" s="18">
        <v>3000</v>
      </c>
      <c r="K55" s="17">
        <f t="shared" si="1"/>
        <v>300</v>
      </c>
      <c r="L55" s="16">
        <v>10</v>
      </c>
      <c r="M55" s="18">
        <f t="shared" si="32"/>
        <v>2862.0000000000027</v>
      </c>
      <c r="N55" s="18">
        <f t="shared" si="3"/>
        <v>286.20000000000027</v>
      </c>
      <c r="O55" s="19">
        <f t="shared" si="4"/>
        <v>0</v>
      </c>
      <c r="P55" s="20">
        <f t="shared" si="5"/>
        <v>-13.799999999999727</v>
      </c>
      <c r="Q55" s="21">
        <f t="shared" si="6"/>
        <v>0.95400000000000096</v>
      </c>
      <c r="R55" s="188"/>
      <c r="S55" s="28">
        <v>0.68611111111111101</v>
      </c>
      <c r="T55" s="28">
        <v>0.72777777777777763</v>
      </c>
      <c r="U55" s="4">
        <f t="shared" si="34"/>
        <v>6.9999999999999751</v>
      </c>
      <c r="V55" s="22">
        <f t="shared" si="33"/>
        <v>59.999999999999943</v>
      </c>
      <c r="W55" s="23"/>
      <c r="X55" s="23"/>
      <c r="Y55" s="26"/>
      <c r="Z55" s="26"/>
      <c r="AA55" s="175"/>
      <c r="AB55" s="176"/>
      <c r="AC55" s="25"/>
      <c r="AD55" s="25"/>
      <c r="AE55" s="19">
        <f t="shared" si="8"/>
        <v>-137.99999999999727</v>
      </c>
      <c r="AF55" s="21">
        <f t="shared" si="9"/>
        <v>0.95400000000000096</v>
      </c>
      <c r="AG55" s="188"/>
    </row>
    <row r="56" spans="1:33" ht="15.75" customHeight="1">
      <c r="A56" s="186" t="s">
        <v>2098</v>
      </c>
      <c r="B56" s="37" t="s">
        <v>2092</v>
      </c>
      <c r="C56" s="166"/>
      <c r="D56" s="167"/>
      <c r="E56" s="41"/>
      <c r="F56" s="4"/>
      <c r="G56" s="4"/>
      <c r="H56" s="4"/>
      <c r="I56" s="30">
        <v>9.8000000000000007</v>
      </c>
      <c r="J56" s="18">
        <v>3000</v>
      </c>
      <c r="K56" s="17">
        <f t="shared" si="1"/>
        <v>306.12244897959181</v>
      </c>
      <c r="L56" s="30">
        <v>9.8000000000000007</v>
      </c>
      <c r="M56" s="18">
        <f>AVERAGE(M46:M55)</f>
        <v>2873.6402154787434</v>
      </c>
      <c r="N56" s="17">
        <f t="shared" si="3"/>
        <v>293.22859341619829</v>
      </c>
      <c r="O56" s="19">
        <f t="shared" si="4"/>
        <v>0</v>
      </c>
      <c r="P56" s="20">
        <f t="shared" si="5"/>
        <v>-12.893855563393515</v>
      </c>
      <c r="Q56" s="21">
        <f t="shared" si="6"/>
        <v>0.95788007182624779</v>
      </c>
      <c r="R56" s="189"/>
      <c r="S56" s="28"/>
      <c r="T56" s="28"/>
      <c r="U56" s="4"/>
      <c r="V56" s="22"/>
      <c r="W56" s="23"/>
      <c r="X56" s="23"/>
      <c r="Y56" s="31">
        <f>SUM(Y46:Y55)</f>
        <v>0</v>
      </c>
      <c r="Z56" s="31">
        <f>SUM(Z46:Z55)</f>
        <v>0</v>
      </c>
      <c r="AA56" s="180"/>
      <c r="AB56" s="181"/>
      <c r="AC56" s="31">
        <v>10</v>
      </c>
      <c r="AD56" s="31">
        <f>SUM(AD46:AD55)</f>
        <v>0</v>
      </c>
      <c r="AE56" s="19">
        <f t="shared" si="8"/>
        <v>-126.35978452125664</v>
      </c>
      <c r="AF56" s="21">
        <f t="shared" si="9"/>
        <v>0.95788007182624779</v>
      </c>
      <c r="AG56" s="189"/>
    </row>
    <row r="57" spans="1:33" ht="15.75" customHeight="1">
      <c r="A57" s="182" t="s">
        <v>2099</v>
      </c>
      <c r="B57" s="37" t="s">
        <v>84</v>
      </c>
      <c r="C57" s="165" t="s">
        <v>118</v>
      </c>
      <c r="D57" s="165"/>
      <c r="E57" s="37">
        <v>46</v>
      </c>
      <c r="F57" s="42">
        <v>1762</v>
      </c>
      <c r="G57" s="4">
        <f t="shared" ref="G57:G66" si="35">E57*F57</f>
        <v>81052</v>
      </c>
      <c r="H57" s="22" t="s">
        <v>139</v>
      </c>
      <c r="I57" s="16">
        <v>17</v>
      </c>
      <c r="J57" s="18">
        <v>2000</v>
      </c>
      <c r="K57" s="17">
        <f t="shared" si="1"/>
        <v>117.64705882352941</v>
      </c>
      <c r="L57" s="16">
        <v>17</v>
      </c>
      <c r="M57" s="18">
        <f t="shared" ref="M57:M66" si="36">F57/V57*60</f>
        <v>1922.181818181818</v>
      </c>
      <c r="N57" s="18">
        <f t="shared" si="3"/>
        <v>113.06951871657753</v>
      </c>
      <c r="O57" s="19">
        <f t="shared" si="4"/>
        <v>0</v>
      </c>
      <c r="P57" s="20">
        <f t="shared" si="5"/>
        <v>-4.5775401069518722</v>
      </c>
      <c r="Q57" s="21">
        <f t="shared" si="6"/>
        <v>0.96109090909090911</v>
      </c>
      <c r="R57" s="172">
        <f>Q67</f>
        <v>0.93678731885508049</v>
      </c>
      <c r="S57" s="28">
        <v>0.20833333333333334</v>
      </c>
      <c r="T57" s="28">
        <v>0.24652777777777779</v>
      </c>
      <c r="U57" s="28"/>
      <c r="V57" s="22">
        <f t="shared" ref="V57:V66" si="37">(T57-S57)*24*60</f>
        <v>55.000000000000007</v>
      </c>
      <c r="W57" s="28"/>
      <c r="X57" s="28"/>
      <c r="Y57" s="28"/>
      <c r="Z57" s="28"/>
      <c r="AA57" s="164"/>
      <c r="AB57" s="164"/>
      <c r="AC57" s="25">
        <v>10</v>
      </c>
      <c r="AD57" s="25"/>
      <c r="AE57" s="19">
        <f t="shared" si="8"/>
        <v>-77.818181818181984</v>
      </c>
      <c r="AF57" s="21">
        <f t="shared" si="9"/>
        <v>0.961090909090909</v>
      </c>
      <c r="AG57" s="172">
        <f>AF67</f>
        <v>0.9367873188550806</v>
      </c>
    </row>
    <row r="58" spans="1:33" ht="15.75" customHeight="1">
      <c r="A58" s="182" t="s">
        <v>2099</v>
      </c>
      <c r="B58" s="37" t="s">
        <v>84</v>
      </c>
      <c r="C58" s="165" t="s">
        <v>119</v>
      </c>
      <c r="D58" s="165"/>
      <c r="E58" s="37">
        <v>46</v>
      </c>
      <c r="F58" s="42">
        <v>1914</v>
      </c>
      <c r="G58" s="4">
        <f t="shared" si="35"/>
        <v>88044</v>
      </c>
      <c r="H58" s="22" t="s">
        <v>139</v>
      </c>
      <c r="I58" s="16">
        <v>17</v>
      </c>
      <c r="J58" s="18">
        <v>2000</v>
      </c>
      <c r="K58" s="17">
        <f t="shared" si="1"/>
        <v>117.64705882352941</v>
      </c>
      <c r="L58" s="16">
        <v>17</v>
      </c>
      <c r="M58" s="18">
        <f t="shared" si="36"/>
        <v>1913.9999999999991</v>
      </c>
      <c r="N58" s="18">
        <f t="shared" si="3"/>
        <v>112.5882352941176</v>
      </c>
      <c r="O58" s="19">
        <f t="shared" si="4"/>
        <v>0</v>
      </c>
      <c r="P58" s="20">
        <f t="shared" si="5"/>
        <v>-5.0588235294118107</v>
      </c>
      <c r="Q58" s="21">
        <f t="shared" si="6"/>
        <v>0.95699999999999963</v>
      </c>
      <c r="R58" s="172"/>
      <c r="S58" s="28">
        <v>0.25138888888888888</v>
      </c>
      <c r="T58" s="28">
        <v>0.29305555555555557</v>
      </c>
      <c r="U58" s="4">
        <f t="shared" ref="U58:U66" si="38">IF(S58=TIME(17,0,0),"",(S58-T57)*24*60)</f>
        <v>6.9999999999999751</v>
      </c>
      <c r="V58" s="22">
        <f t="shared" si="37"/>
        <v>60.000000000000028</v>
      </c>
      <c r="W58" s="23"/>
      <c r="X58" s="23"/>
      <c r="Y58" s="23"/>
      <c r="Z58" s="23"/>
      <c r="AA58" s="164"/>
      <c r="AB58" s="164"/>
      <c r="AC58" s="25"/>
      <c r="AD58" s="25"/>
      <c r="AE58" s="19">
        <f t="shared" si="8"/>
        <v>-86.000000000000909</v>
      </c>
      <c r="AF58" s="21">
        <f t="shared" si="9"/>
        <v>0.95699999999999952</v>
      </c>
      <c r="AG58" s="172"/>
    </row>
    <row r="59" spans="1:33" ht="15.75" customHeight="1">
      <c r="A59" s="182" t="s">
        <v>2099</v>
      </c>
      <c r="B59" s="37" t="s">
        <v>78</v>
      </c>
      <c r="C59" s="173" t="s">
        <v>120</v>
      </c>
      <c r="D59" s="174"/>
      <c r="E59" s="37">
        <v>56.43</v>
      </c>
      <c r="F59" s="42">
        <v>2248</v>
      </c>
      <c r="G59" s="4">
        <f t="shared" si="35"/>
        <v>126854.64</v>
      </c>
      <c r="H59" s="22" t="s">
        <v>139</v>
      </c>
      <c r="I59" s="16">
        <v>22</v>
      </c>
      <c r="J59" s="18">
        <v>2000</v>
      </c>
      <c r="K59" s="17">
        <f t="shared" si="1"/>
        <v>90.909090909090907</v>
      </c>
      <c r="L59" s="16">
        <v>22</v>
      </c>
      <c r="M59" s="18">
        <f t="shared" si="36"/>
        <v>1729.2307692307702</v>
      </c>
      <c r="N59" s="18">
        <f t="shared" si="3"/>
        <v>78.601398601398643</v>
      </c>
      <c r="O59" s="19">
        <f t="shared" si="4"/>
        <v>0</v>
      </c>
      <c r="P59" s="20">
        <f t="shared" si="5"/>
        <v>-12.307692307692264</v>
      </c>
      <c r="Q59" s="21">
        <f t="shared" si="6"/>
        <v>0.86461538461538512</v>
      </c>
      <c r="R59" s="172"/>
      <c r="S59" s="28">
        <v>0.29722222222222222</v>
      </c>
      <c r="T59" s="28">
        <v>0.35138888888888886</v>
      </c>
      <c r="U59" s="4">
        <f t="shared" si="38"/>
        <v>5.9999999999999787</v>
      </c>
      <c r="V59" s="22">
        <f t="shared" si="37"/>
        <v>77.999999999999957</v>
      </c>
      <c r="W59" s="23"/>
      <c r="X59" s="23"/>
      <c r="Y59" s="26"/>
      <c r="Z59" s="26"/>
      <c r="AA59" s="164"/>
      <c r="AB59" s="164"/>
      <c r="AC59" s="25"/>
      <c r="AD59" s="25"/>
      <c r="AE59" s="19">
        <f t="shared" si="8"/>
        <v>-270.76923076922981</v>
      </c>
      <c r="AF59" s="21">
        <f t="shared" si="9"/>
        <v>0.86461538461538512</v>
      </c>
      <c r="AG59" s="172"/>
    </row>
    <row r="60" spans="1:33" ht="15.75" customHeight="1">
      <c r="A60" s="182" t="s">
        <v>2099</v>
      </c>
      <c r="B60" s="37" t="s">
        <v>78</v>
      </c>
      <c r="C60" s="43" t="s">
        <v>121</v>
      </c>
      <c r="D60" s="44"/>
      <c r="E60" s="37">
        <v>51.75</v>
      </c>
      <c r="F60" s="42">
        <v>1862</v>
      </c>
      <c r="G60" s="4">
        <f t="shared" si="35"/>
        <v>96358.5</v>
      </c>
      <c r="H60" s="22" t="s">
        <v>139</v>
      </c>
      <c r="I60" s="16">
        <v>25</v>
      </c>
      <c r="J60" s="18">
        <v>2000</v>
      </c>
      <c r="K60" s="17">
        <f t="shared" si="1"/>
        <v>80</v>
      </c>
      <c r="L60" s="16">
        <v>25</v>
      </c>
      <c r="M60" s="18">
        <f t="shared" si="36"/>
        <v>1692.7272727272727</v>
      </c>
      <c r="N60" s="18">
        <f t="shared" si="3"/>
        <v>67.709090909090904</v>
      </c>
      <c r="O60" s="19">
        <f t="shared" si="4"/>
        <v>0</v>
      </c>
      <c r="P60" s="20">
        <f t="shared" si="5"/>
        <v>-12.290909090909096</v>
      </c>
      <c r="Q60" s="21">
        <f t="shared" si="6"/>
        <v>0.84636363636363632</v>
      </c>
      <c r="R60" s="172"/>
      <c r="S60" s="28">
        <v>0.35486111111111107</v>
      </c>
      <c r="T60" s="28">
        <v>0.40069444444444441</v>
      </c>
      <c r="U60" s="4">
        <f t="shared" si="38"/>
        <v>4.9999999999999822</v>
      </c>
      <c r="V60" s="22">
        <f t="shared" si="37"/>
        <v>66</v>
      </c>
      <c r="W60" s="23"/>
      <c r="X60" s="23"/>
      <c r="Y60" s="26"/>
      <c r="Z60" s="26"/>
      <c r="AA60" s="164"/>
      <c r="AB60" s="164"/>
      <c r="AC60" s="25"/>
      <c r="AD60" s="25"/>
      <c r="AE60" s="19">
        <f t="shared" si="8"/>
        <v>-307.27272727272725</v>
      </c>
      <c r="AF60" s="21">
        <f t="shared" si="9"/>
        <v>0.84636363636363643</v>
      </c>
      <c r="AG60" s="172"/>
    </row>
    <row r="61" spans="1:33" ht="15.75" customHeight="1">
      <c r="A61" s="182" t="s">
        <v>2099</v>
      </c>
      <c r="B61" s="37" t="s">
        <v>78</v>
      </c>
      <c r="C61" s="43" t="s">
        <v>122</v>
      </c>
      <c r="D61" s="44"/>
      <c r="E61" s="37">
        <v>54.09</v>
      </c>
      <c r="F61" s="42">
        <v>1456</v>
      </c>
      <c r="G61" s="4">
        <f t="shared" si="35"/>
        <v>78755.040000000008</v>
      </c>
      <c r="H61" s="22" t="s">
        <v>139</v>
      </c>
      <c r="I61" s="16">
        <v>19</v>
      </c>
      <c r="J61" s="18">
        <v>2000</v>
      </c>
      <c r="K61" s="17">
        <f t="shared" si="1"/>
        <v>105.26315789473684</v>
      </c>
      <c r="L61" s="16">
        <v>19</v>
      </c>
      <c r="M61" s="18">
        <f t="shared" si="36"/>
        <v>1858.7234042553193</v>
      </c>
      <c r="N61" s="18">
        <f t="shared" si="3"/>
        <v>97.82754759238523</v>
      </c>
      <c r="O61" s="19">
        <f t="shared" si="4"/>
        <v>0</v>
      </c>
      <c r="P61" s="20">
        <f t="shared" si="5"/>
        <v>-7.4356103023516056</v>
      </c>
      <c r="Q61" s="21">
        <f t="shared" si="6"/>
        <v>0.92936170212765978</v>
      </c>
      <c r="R61" s="172"/>
      <c r="S61" s="28">
        <v>0.40486111111111106</v>
      </c>
      <c r="T61" s="28">
        <v>0.43749999999999994</v>
      </c>
      <c r="U61" s="4">
        <f t="shared" si="38"/>
        <v>5.9999999999999787</v>
      </c>
      <c r="V61" s="22">
        <f t="shared" si="37"/>
        <v>46.999999999999993</v>
      </c>
      <c r="W61" s="23"/>
      <c r="X61" s="23"/>
      <c r="Y61" s="26"/>
      <c r="Z61" s="26"/>
      <c r="AA61" s="164"/>
      <c r="AB61" s="164"/>
      <c r="AC61" s="25"/>
      <c r="AD61" s="25"/>
      <c r="AE61" s="19">
        <f t="shared" si="8"/>
        <v>-141.27659574468066</v>
      </c>
      <c r="AF61" s="21">
        <f t="shared" si="9"/>
        <v>0.92936170212765967</v>
      </c>
      <c r="AG61" s="172"/>
    </row>
    <row r="62" spans="1:33" ht="15.75" customHeight="1">
      <c r="A62" s="182" t="s">
        <v>2099</v>
      </c>
      <c r="B62" s="37" t="s">
        <v>78</v>
      </c>
      <c r="C62" s="173" t="s">
        <v>123</v>
      </c>
      <c r="D62" s="174"/>
      <c r="E62" s="37">
        <v>55.56</v>
      </c>
      <c r="F62" s="42">
        <v>1000</v>
      </c>
      <c r="G62" s="4">
        <f t="shared" si="35"/>
        <v>55560</v>
      </c>
      <c r="H62" s="22">
        <v>2</v>
      </c>
      <c r="I62" s="16">
        <v>17</v>
      </c>
      <c r="J62" s="18">
        <v>2000</v>
      </c>
      <c r="K62" s="17">
        <f t="shared" si="1"/>
        <v>117.64705882352941</v>
      </c>
      <c r="L62" s="16">
        <v>17</v>
      </c>
      <c r="M62" s="18">
        <f t="shared" si="36"/>
        <v>1935.483870967739</v>
      </c>
      <c r="N62" s="18">
        <f t="shared" si="3"/>
        <v>113.85199240986699</v>
      </c>
      <c r="O62" s="19">
        <f t="shared" si="4"/>
        <v>0</v>
      </c>
      <c r="P62" s="20">
        <f t="shared" si="5"/>
        <v>-3.7950664136624113</v>
      </c>
      <c r="Q62" s="21">
        <f t="shared" si="6"/>
        <v>0.96774193548386955</v>
      </c>
      <c r="R62" s="172"/>
      <c r="S62" s="28">
        <v>0.70833333333333337</v>
      </c>
      <c r="T62" s="28">
        <v>0.72986111111111118</v>
      </c>
      <c r="U62" s="4" t="str">
        <f t="shared" si="38"/>
        <v/>
      </c>
      <c r="V62" s="22">
        <f t="shared" si="37"/>
        <v>31.00000000000005</v>
      </c>
      <c r="W62" s="23"/>
      <c r="X62" s="23"/>
      <c r="Y62" s="26"/>
      <c r="Z62" s="26"/>
      <c r="AA62" s="175"/>
      <c r="AB62" s="176"/>
      <c r="AC62" s="25"/>
      <c r="AD62" s="25"/>
      <c r="AE62" s="19">
        <f t="shared" si="8"/>
        <v>-64.516129032261006</v>
      </c>
      <c r="AF62" s="21">
        <f t="shared" si="9"/>
        <v>0.96774193548386944</v>
      </c>
      <c r="AG62" s="172"/>
    </row>
    <row r="63" spans="1:33" ht="15.75" customHeight="1">
      <c r="A63" s="182" t="s">
        <v>2099</v>
      </c>
      <c r="B63" s="37" t="s">
        <v>78</v>
      </c>
      <c r="C63" s="173" t="s">
        <v>124</v>
      </c>
      <c r="D63" s="174"/>
      <c r="E63" s="37">
        <v>55.32</v>
      </c>
      <c r="F63" s="42">
        <v>1563</v>
      </c>
      <c r="G63" s="4">
        <f t="shared" si="35"/>
        <v>86465.16</v>
      </c>
      <c r="H63" s="22" t="s">
        <v>139</v>
      </c>
      <c r="I63" s="16">
        <v>15</v>
      </c>
      <c r="J63" s="18">
        <v>2000</v>
      </c>
      <c r="K63" s="17">
        <f t="shared" si="1"/>
        <v>133.33333333333334</v>
      </c>
      <c r="L63" s="16">
        <v>15</v>
      </c>
      <c r="M63" s="18">
        <f t="shared" si="36"/>
        <v>1913.8775510204086</v>
      </c>
      <c r="N63" s="18">
        <f t="shared" si="3"/>
        <v>127.59183673469391</v>
      </c>
      <c r="O63" s="19">
        <f t="shared" si="4"/>
        <v>0</v>
      </c>
      <c r="P63" s="20">
        <f t="shared" si="5"/>
        <v>-5.7414965986394293</v>
      </c>
      <c r="Q63" s="21">
        <f t="shared" si="6"/>
        <v>0.95693877551020423</v>
      </c>
      <c r="R63" s="172"/>
      <c r="S63" s="28">
        <v>0.73541666666666672</v>
      </c>
      <c r="T63" s="28">
        <v>0.76944444444444449</v>
      </c>
      <c r="U63" s="4">
        <f t="shared" si="38"/>
        <v>7.9999999999999716</v>
      </c>
      <c r="V63" s="22">
        <f t="shared" si="37"/>
        <v>48.999999999999986</v>
      </c>
      <c r="W63" s="23"/>
      <c r="X63" s="23"/>
      <c r="Y63" s="26"/>
      <c r="Z63" s="26"/>
      <c r="AA63" s="175"/>
      <c r="AB63" s="176"/>
      <c r="AC63" s="25"/>
      <c r="AD63" s="25"/>
      <c r="AE63" s="19">
        <f t="shared" si="8"/>
        <v>-86.122448979591354</v>
      </c>
      <c r="AF63" s="21">
        <f t="shared" si="9"/>
        <v>0.95693877551020434</v>
      </c>
      <c r="AG63" s="172"/>
    </row>
    <row r="64" spans="1:33" ht="15.75" customHeight="1">
      <c r="A64" s="182" t="s">
        <v>2099</v>
      </c>
      <c r="B64" s="37" t="s">
        <v>78</v>
      </c>
      <c r="C64" s="173" t="s">
        <v>125</v>
      </c>
      <c r="D64" s="174"/>
      <c r="E64" s="37">
        <v>54.29</v>
      </c>
      <c r="F64" s="42">
        <v>1613</v>
      </c>
      <c r="G64" s="4">
        <f t="shared" si="35"/>
        <v>87569.77</v>
      </c>
      <c r="H64" s="22" t="s">
        <v>139</v>
      </c>
      <c r="I64" s="16">
        <v>20</v>
      </c>
      <c r="J64" s="18">
        <v>2000</v>
      </c>
      <c r="K64" s="17">
        <f t="shared" si="1"/>
        <v>100</v>
      </c>
      <c r="L64" s="16">
        <v>20</v>
      </c>
      <c r="M64" s="18">
        <f t="shared" si="36"/>
        <v>1935.6000000000008</v>
      </c>
      <c r="N64" s="18">
        <f t="shared" si="3"/>
        <v>96.780000000000044</v>
      </c>
      <c r="O64" s="19">
        <f t="shared" si="4"/>
        <v>0</v>
      </c>
      <c r="P64" s="20">
        <f t="shared" si="5"/>
        <v>-3.2199999999999562</v>
      </c>
      <c r="Q64" s="21">
        <f t="shared" si="6"/>
        <v>0.96780000000000044</v>
      </c>
      <c r="R64" s="172"/>
      <c r="S64" s="28">
        <v>0.77430555555555558</v>
      </c>
      <c r="T64" s="28">
        <v>0.80902777777777779</v>
      </c>
      <c r="U64" s="4">
        <f t="shared" si="38"/>
        <v>6.9999999999999751</v>
      </c>
      <c r="V64" s="22">
        <f t="shared" si="37"/>
        <v>49.999999999999986</v>
      </c>
      <c r="W64" s="23"/>
      <c r="X64" s="23"/>
      <c r="Y64" s="26"/>
      <c r="Z64" s="26"/>
      <c r="AA64" s="175"/>
      <c r="AB64" s="176"/>
      <c r="AC64" s="25"/>
      <c r="AD64" s="25"/>
      <c r="AE64" s="19">
        <f t="shared" si="8"/>
        <v>-64.399999999999181</v>
      </c>
      <c r="AF64" s="21">
        <f t="shared" si="9"/>
        <v>0.96780000000000044</v>
      </c>
      <c r="AG64" s="172"/>
    </row>
    <row r="65" spans="1:33">
      <c r="A65" s="182" t="s">
        <v>2099</v>
      </c>
      <c r="B65" s="37" t="s">
        <v>78</v>
      </c>
      <c r="C65" s="173" t="s">
        <v>126</v>
      </c>
      <c r="D65" s="174"/>
      <c r="E65" s="37">
        <v>57.73</v>
      </c>
      <c r="F65" s="42">
        <v>1429</v>
      </c>
      <c r="G65" s="4">
        <f t="shared" si="35"/>
        <v>82496.17</v>
      </c>
      <c r="H65" s="22" t="s">
        <v>139</v>
      </c>
      <c r="I65" s="16">
        <v>16</v>
      </c>
      <c r="J65" s="18">
        <v>1500</v>
      </c>
      <c r="K65" s="17">
        <f t="shared" si="1"/>
        <v>93.75</v>
      </c>
      <c r="L65" s="16">
        <v>16</v>
      </c>
      <c r="M65" s="18">
        <f t="shared" si="36"/>
        <v>1453.2203389830522</v>
      </c>
      <c r="N65" s="18">
        <f t="shared" si="3"/>
        <v>90.826271186440763</v>
      </c>
      <c r="O65" s="19">
        <f t="shared" si="4"/>
        <v>0</v>
      </c>
      <c r="P65" s="20">
        <f t="shared" si="5"/>
        <v>-2.9237288135592365</v>
      </c>
      <c r="Q65" s="21">
        <f t="shared" si="6"/>
        <v>0.96881355932203483</v>
      </c>
      <c r="R65" s="172"/>
      <c r="S65" s="28">
        <v>0.8125</v>
      </c>
      <c r="T65" s="28">
        <v>0.85347222222222219</v>
      </c>
      <c r="U65" s="4">
        <f t="shared" si="38"/>
        <v>4.9999999999999822</v>
      </c>
      <c r="V65" s="22">
        <f t="shared" si="37"/>
        <v>58.99999999999995</v>
      </c>
      <c r="W65" s="23">
        <f>T65</f>
        <v>0.85347222222222219</v>
      </c>
      <c r="X65" s="23">
        <f>S66</f>
        <v>0.89236111111111105</v>
      </c>
      <c r="Y65" s="26"/>
      <c r="Z65" s="26"/>
      <c r="AA65" s="175"/>
      <c r="AB65" s="176"/>
      <c r="AC65" s="25"/>
      <c r="AD65" s="25"/>
      <c r="AE65" s="19">
        <f t="shared" si="8"/>
        <v>-46.779661016947784</v>
      </c>
      <c r="AF65" s="21">
        <f t="shared" si="9"/>
        <v>0.96881355932203483</v>
      </c>
      <c r="AG65" s="172"/>
    </row>
    <row r="66" spans="1:33">
      <c r="A66" s="182" t="s">
        <v>2099</v>
      </c>
      <c r="B66" s="37" t="s">
        <v>78</v>
      </c>
      <c r="C66" s="173" t="s">
        <v>123</v>
      </c>
      <c r="D66" s="174"/>
      <c r="E66" s="37">
        <v>55.56</v>
      </c>
      <c r="F66" s="42">
        <v>1243</v>
      </c>
      <c r="G66" s="4">
        <f t="shared" si="35"/>
        <v>69061.08</v>
      </c>
      <c r="H66" s="22" t="s">
        <v>139</v>
      </c>
      <c r="I66" s="16">
        <v>17</v>
      </c>
      <c r="J66" s="18">
        <v>2000</v>
      </c>
      <c r="K66" s="17">
        <f t="shared" si="1"/>
        <v>117.64705882352941</v>
      </c>
      <c r="L66" s="16">
        <v>17</v>
      </c>
      <c r="M66" s="18">
        <f t="shared" si="36"/>
        <v>1912.3076923076912</v>
      </c>
      <c r="N66" s="18">
        <f t="shared" si="3"/>
        <v>112.48868778280537</v>
      </c>
      <c r="O66" s="19">
        <f t="shared" si="4"/>
        <v>0</v>
      </c>
      <c r="P66" s="20">
        <f t="shared" si="5"/>
        <v>-5.1583710407240346</v>
      </c>
      <c r="Q66" s="21">
        <f t="shared" si="6"/>
        <v>0.95615384615384569</v>
      </c>
      <c r="R66" s="172"/>
      <c r="S66" s="28">
        <v>0.89236111111111105</v>
      </c>
      <c r="T66" s="28">
        <v>0.9194444444444444</v>
      </c>
      <c r="U66" s="4">
        <f t="shared" si="38"/>
        <v>55.999999999999957</v>
      </c>
      <c r="V66" s="22">
        <f t="shared" si="37"/>
        <v>39.000000000000021</v>
      </c>
      <c r="W66" s="23"/>
      <c r="X66" s="23"/>
      <c r="Y66" s="26"/>
      <c r="Z66" s="26"/>
      <c r="AA66" s="175"/>
      <c r="AB66" s="176"/>
      <c r="AC66" s="25"/>
      <c r="AD66" s="25"/>
      <c r="AE66" s="19">
        <f t="shared" si="8"/>
        <v>-87.692307692308759</v>
      </c>
      <c r="AF66" s="21">
        <f t="shared" si="9"/>
        <v>0.95615384615384558</v>
      </c>
      <c r="AG66" s="172"/>
    </row>
    <row r="67" spans="1:33">
      <c r="A67" s="183" t="s">
        <v>2099</v>
      </c>
      <c r="B67" s="37" t="s">
        <v>2092</v>
      </c>
      <c r="C67" s="177"/>
      <c r="D67" s="177"/>
      <c r="E67" s="38"/>
      <c r="F67" s="17"/>
      <c r="G67" s="17"/>
      <c r="H67" s="4"/>
      <c r="I67" s="30">
        <v>18.5</v>
      </c>
      <c r="J67" s="18">
        <v>1950</v>
      </c>
      <c r="K67" s="17">
        <f t="shared" si="1"/>
        <v>105.4054054054054</v>
      </c>
      <c r="L67" s="30">
        <v>18.5</v>
      </c>
      <c r="M67" s="18">
        <f>AVERAGE(M57:M66)</f>
        <v>1826.7352717674071</v>
      </c>
      <c r="N67" s="17">
        <f t="shared" si="3"/>
        <v>98.742447122562538</v>
      </c>
      <c r="O67" s="19">
        <f t="shared" si="4"/>
        <v>0</v>
      </c>
      <c r="P67" s="20">
        <f t="shared" si="5"/>
        <v>-6.6629582828428653</v>
      </c>
      <c r="Q67" s="21">
        <f t="shared" si="6"/>
        <v>0.93678731885508049</v>
      </c>
      <c r="R67" s="172"/>
      <c r="S67" s="28"/>
      <c r="T67" s="28"/>
      <c r="U67" s="4"/>
      <c r="V67" s="22"/>
      <c r="W67" s="17"/>
      <c r="X67" s="17"/>
      <c r="Y67" s="31">
        <f>SUM(Y57:Y66)</f>
        <v>0</v>
      </c>
      <c r="Z67" s="31">
        <f>SUM(Z57:Z66)</f>
        <v>0</v>
      </c>
      <c r="AA67" s="168"/>
      <c r="AB67" s="168"/>
      <c r="AC67" s="31">
        <v>10</v>
      </c>
      <c r="AD67" s="31">
        <f>SUM(AD57:AD66)</f>
        <v>0</v>
      </c>
      <c r="AE67" s="19">
        <f>M67-J67</f>
        <v>-123.26472823259292</v>
      </c>
      <c r="AF67" s="21">
        <f t="shared" si="9"/>
        <v>0.9367873188550806</v>
      </c>
      <c r="AG67" s="172"/>
    </row>
    <row r="68" spans="1:33" ht="15.75" customHeight="1">
      <c r="A68" s="178" t="s">
        <v>2100</v>
      </c>
      <c r="B68" s="4" t="s">
        <v>84</v>
      </c>
      <c r="C68" s="165" t="s">
        <v>127</v>
      </c>
      <c r="D68" s="165"/>
      <c r="E68" s="37">
        <v>26.97</v>
      </c>
      <c r="F68" s="42">
        <v>2818</v>
      </c>
      <c r="G68" s="4">
        <f t="shared" ref="G68:G73" si="39">E68*F68</f>
        <v>76001.459999999992</v>
      </c>
      <c r="H68" s="22" t="s">
        <v>139</v>
      </c>
      <c r="I68" s="16">
        <v>8</v>
      </c>
      <c r="J68" s="18">
        <v>1500</v>
      </c>
      <c r="K68" s="17">
        <f t="shared" si="1"/>
        <v>187.5</v>
      </c>
      <c r="L68" s="16">
        <v>8</v>
      </c>
      <c r="M68" s="18">
        <f t="shared" ref="M68:M73" si="40">F68/V68*60</f>
        <v>1432.8813559322032</v>
      </c>
      <c r="N68" s="17">
        <f t="shared" si="3"/>
        <v>179.1101694915254</v>
      </c>
      <c r="O68" s="19">
        <f t="shared" si="4"/>
        <v>0</v>
      </c>
      <c r="P68" s="20">
        <f t="shared" si="5"/>
        <v>-8.3898305084746028</v>
      </c>
      <c r="Q68" s="21">
        <f t="shared" si="6"/>
        <v>0.95525423728813541</v>
      </c>
      <c r="R68" s="172">
        <f>Q74</f>
        <v>0.96490912608740609</v>
      </c>
      <c r="S68" s="28">
        <v>0.20833333333333334</v>
      </c>
      <c r="T68" s="28">
        <v>0.2902777777777778</v>
      </c>
      <c r="U68" s="4"/>
      <c r="V68" s="22">
        <f t="shared" ref="V68:V73" si="41">(T68-S68)*24*60</f>
        <v>118.00000000000001</v>
      </c>
      <c r="W68" s="28"/>
      <c r="X68" s="28"/>
      <c r="Y68" s="28"/>
      <c r="Z68" s="28"/>
      <c r="AA68" s="164"/>
      <c r="AB68" s="164"/>
      <c r="AC68" s="25">
        <v>6</v>
      </c>
      <c r="AD68" s="25"/>
      <c r="AE68" s="19">
        <f t="shared" ref="AE68:AE81" si="42">M68-J68</f>
        <v>-67.118644067796822</v>
      </c>
      <c r="AF68" s="21">
        <f t="shared" si="9"/>
        <v>0.95525423728813541</v>
      </c>
      <c r="AG68" s="172">
        <f>AF74</f>
        <v>0.96490912608740609</v>
      </c>
    </row>
    <row r="69" spans="1:33" ht="15.75" customHeight="1">
      <c r="A69" s="178" t="s">
        <v>2100</v>
      </c>
      <c r="B69" s="4" t="s">
        <v>84</v>
      </c>
      <c r="C69" s="165" t="s">
        <v>128</v>
      </c>
      <c r="D69" s="165"/>
      <c r="E69" s="37">
        <v>27.4</v>
      </c>
      <c r="F69" s="42">
        <v>1214</v>
      </c>
      <c r="G69" s="4">
        <f t="shared" si="39"/>
        <v>33263.599999999999</v>
      </c>
      <c r="H69" s="22" t="s">
        <v>139</v>
      </c>
      <c r="I69" s="16">
        <v>10</v>
      </c>
      <c r="J69" s="18">
        <v>1500</v>
      </c>
      <c r="K69" s="17">
        <f t="shared" ref="K69:K81" si="43">J69/I69</f>
        <v>150</v>
      </c>
      <c r="L69" s="16">
        <v>10</v>
      </c>
      <c r="M69" s="18">
        <f t="shared" si="40"/>
        <v>1428.2352941176478</v>
      </c>
      <c r="N69" s="17">
        <f t="shared" ref="N69:N81" si="44">M69/L69</f>
        <v>142.82352941176478</v>
      </c>
      <c r="O69" s="19">
        <f t="shared" ref="O69:O81" si="45">L69-I69</f>
        <v>0</v>
      </c>
      <c r="P69" s="20">
        <f t="shared" ref="P69:P81" si="46">N69-K69</f>
        <v>-7.1764705882352189</v>
      </c>
      <c r="Q69" s="21">
        <f t="shared" ref="Q69:Q81" si="47">N69/K69</f>
        <v>0.95215686274509859</v>
      </c>
      <c r="R69" s="172"/>
      <c r="S69" s="28">
        <v>0.29375000000000001</v>
      </c>
      <c r="T69" s="28">
        <v>0.32916666666666666</v>
      </c>
      <c r="U69" s="4">
        <f t="shared" ref="U69:U73" si="48">(S69-T68)*24*60</f>
        <v>4.9999999999999822</v>
      </c>
      <c r="V69" s="22">
        <f t="shared" si="41"/>
        <v>50.999999999999979</v>
      </c>
      <c r="W69" s="4"/>
      <c r="X69" s="4"/>
      <c r="Y69" s="4"/>
      <c r="Z69" s="4"/>
      <c r="AA69" s="164"/>
      <c r="AB69" s="164"/>
      <c r="AC69" s="25"/>
      <c r="AD69" s="25"/>
      <c r="AE69" s="19">
        <f t="shared" si="42"/>
        <v>-71.764705882352246</v>
      </c>
      <c r="AF69" s="21">
        <f t="shared" ref="AF69:AF81" si="49">M69/J69</f>
        <v>0.95215686274509848</v>
      </c>
      <c r="AG69" s="172"/>
    </row>
    <row r="70" spans="1:33" ht="15.75" customHeight="1">
      <c r="A70" s="178" t="s">
        <v>2100</v>
      </c>
      <c r="B70" s="4" t="s">
        <v>111</v>
      </c>
      <c r="C70" s="165" t="s">
        <v>129</v>
      </c>
      <c r="D70" s="165"/>
      <c r="E70" s="37">
        <v>31</v>
      </c>
      <c r="F70" s="42">
        <v>745</v>
      </c>
      <c r="G70" s="4">
        <f t="shared" si="39"/>
        <v>23095</v>
      </c>
      <c r="H70" s="22" t="s">
        <v>139</v>
      </c>
      <c r="I70" s="16">
        <v>13</v>
      </c>
      <c r="J70" s="18">
        <v>2000</v>
      </c>
      <c r="K70" s="17">
        <f t="shared" si="43"/>
        <v>153.84615384615384</v>
      </c>
      <c r="L70" s="16">
        <v>13</v>
      </c>
      <c r="M70" s="18">
        <f t="shared" si="40"/>
        <v>1943.4782608695652</v>
      </c>
      <c r="N70" s="17">
        <f t="shared" si="44"/>
        <v>149.49832775919734</v>
      </c>
      <c r="O70" s="19">
        <f t="shared" si="45"/>
        <v>0</v>
      </c>
      <c r="P70" s="20">
        <f t="shared" si="46"/>
        <v>-4.347826086956502</v>
      </c>
      <c r="Q70" s="21">
        <f t="shared" si="47"/>
        <v>0.97173913043478277</v>
      </c>
      <c r="R70" s="172"/>
      <c r="S70" s="28">
        <v>0.33402777777777776</v>
      </c>
      <c r="T70" s="28">
        <v>0.35</v>
      </c>
      <c r="U70" s="4">
        <f t="shared" si="48"/>
        <v>6.9999999999999751</v>
      </c>
      <c r="V70" s="22">
        <f t="shared" si="41"/>
        <v>23</v>
      </c>
      <c r="W70" s="4"/>
      <c r="X70" s="4"/>
      <c r="Y70" s="4"/>
      <c r="Z70" s="4"/>
      <c r="AA70" s="164"/>
      <c r="AB70" s="164"/>
      <c r="AC70" s="25"/>
      <c r="AD70" s="25"/>
      <c r="AE70" s="19">
        <f t="shared" si="42"/>
        <v>-56.521739130434753</v>
      </c>
      <c r="AF70" s="21">
        <f t="shared" si="49"/>
        <v>0.97173913043478266</v>
      </c>
      <c r="AG70" s="172"/>
    </row>
    <row r="71" spans="1:33" ht="15.75" customHeight="1">
      <c r="A71" s="178" t="s">
        <v>2100</v>
      </c>
      <c r="B71" s="4" t="s">
        <v>111</v>
      </c>
      <c r="C71" s="165" t="s">
        <v>130</v>
      </c>
      <c r="D71" s="165"/>
      <c r="E71" s="37">
        <v>37.85</v>
      </c>
      <c r="F71" s="42">
        <v>2430</v>
      </c>
      <c r="G71" s="4">
        <f t="shared" si="39"/>
        <v>91975.5</v>
      </c>
      <c r="H71" s="22" t="s">
        <v>139</v>
      </c>
      <c r="I71" s="16">
        <v>12</v>
      </c>
      <c r="J71" s="18">
        <v>2000</v>
      </c>
      <c r="K71" s="17">
        <f t="shared" si="43"/>
        <v>166.66666666666666</v>
      </c>
      <c r="L71" s="16">
        <v>12</v>
      </c>
      <c r="M71" s="18">
        <f t="shared" si="40"/>
        <v>1918.4210526315796</v>
      </c>
      <c r="N71" s="17">
        <f t="shared" si="44"/>
        <v>159.86842105263165</v>
      </c>
      <c r="O71" s="19">
        <f t="shared" si="45"/>
        <v>0</v>
      </c>
      <c r="P71" s="20">
        <f t="shared" si="46"/>
        <v>-6.7982456140350109</v>
      </c>
      <c r="Q71" s="21">
        <f t="shared" si="47"/>
        <v>0.95921052631578996</v>
      </c>
      <c r="R71" s="172"/>
      <c r="S71" s="28">
        <v>0.35416666666666663</v>
      </c>
      <c r="T71" s="28">
        <v>0.40694444444444439</v>
      </c>
      <c r="U71" s="4">
        <f t="shared" si="48"/>
        <v>5.9999999999999787</v>
      </c>
      <c r="V71" s="22">
        <f t="shared" si="41"/>
        <v>75.999999999999972</v>
      </c>
      <c r="W71" s="4"/>
      <c r="X71" s="4"/>
      <c r="Y71" s="4"/>
      <c r="Z71" s="4"/>
      <c r="AA71" s="164"/>
      <c r="AB71" s="164"/>
      <c r="AC71" s="25"/>
      <c r="AD71" s="25"/>
      <c r="AE71" s="19">
        <f t="shared" si="42"/>
        <v>-81.578947368420359</v>
      </c>
      <c r="AF71" s="21">
        <f t="shared" si="49"/>
        <v>0.95921052631578985</v>
      </c>
      <c r="AG71" s="172"/>
    </row>
    <row r="72" spans="1:33">
      <c r="A72" s="179" t="s">
        <v>2100</v>
      </c>
      <c r="B72" s="4" t="s">
        <v>111</v>
      </c>
      <c r="C72" s="165" t="s">
        <v>131</v>
      </c>
      <c r="D72" s="165"/>
      <c r="E72" s="37">
        <v>34.36</v>
      </c>
      <c r="F72" s="42">
        <v>1881</v>
      </c>
      <c r="G72" s="4">
        <f t="shared" si="39"/>
        <v>64631.159999999996</v>
      </c>
      <c r="H72" s="22" t="s">
        <v>139</v>
      </c>
      <c r="I72" s="16">
        <v>10</v>
      </c>
      <c r="J72" s="18">
        <v>3000</v>
      </c>
      <c r="K72" s="17">
        <f t="shared" si="43"/>
        <v>300</v>
      </c>
      <c r="L72" s="16">
        <v>10</v>
      </c>
      <c r="M72" s="18">
        <f t="shared" si="40"/>
        <v>2893.8461538461524</v>
      </c>
      <c r="N72" s="17">
        <f t="shared" si="44"/>
        <v>289.38461538461524</v>
      </c>
      <c r="O72" s="19">
        <f t="shared" si="45"/>
        <v>0</v>
      </c>
      <c r="P72" s="20">
        <f t="shared" si="46"/>
        <v>-10.615384615384755</v>
      </c>
      <c r="Q72" s="21">
        <f t="shared" si="47"/>
        <v>0.9646153846153841</v>
      </c>
      <c r="R72" s="172"/>
      <c r="S72" s="28">
        <v>0.41249999999999992</v>
      </c>
      <c r="T72" s="28">
        <v>0.43958333333333327</v>
      </c>
      <c r="U72" s="4">
        <f t="shared" si="48"/>
        <v>7.9999999999999716</v>
      </c>
      <c r="V72" s="22">
        <f t="shared" si="41"/>
        <v>39.000000000000021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42"/>
        <v>-106.15384615384755</v>
      </c>
      <c r="AF72" s="21">
        <f t="shared" si="49"/>
        <v>0.9646153846153841</v>
      </c>
      <c r="AG72" s="172"/>
    </row>
    <row r="73" spans="1:33" ht="15" customHeight="1">
      <c r="A73" s="179" t="s">
        <v>2100</v>
      </c>
      <c r="B73" s="4" t="s">
        <v>111</v>
      </c>
      <c r="C73" s="173" t="s">
        <v>117</v>
      </c>
      <c r="D73" s="174"/>
      <c r="E73" s="37">
        <v>44.03</v>
      </c>
      <c r="F73" s="42">
        <v>1122</v>
      </c>
      <c r="G73" s="4">
        <f t="shared" si="39"/>
        <v>49401.66</v>
      </c>
      <c r="H73" s="22" t="s">
        <v>139</v>
      </c>
      <c r="I73" s="16">
        <v>10</v>
      </c>
      <c r="J73" s="18">
        <v>3000</v>
      </c>
      <c r="K73" s="17">
        <f t="shared" si="43"/>
        <v>300</v>
      </c>
      <c r="L73" s="16">
        <v>10</v>
      </c>
      <c r="M73" s="18">
        <f t="shared" si="40"/>
        <v>2926.9565217391305</v>
      </c>
      <c r="N73" s="17">
        <f t="shared" si="44"/>
        <v>292.69565217391306</v>
      </c>
      <c r="O73" s="19">
        <f t="shared" si="45"/>
        <v>0</v>
      </c>
      <c r="P73" s="20">
        <f t="shared" si="46"/>
        <v>-7.3043478260869392</v>
      </c>
      <c r="Q73" s="21">
        <f t="shared" si="47"/>
        <v>0.97565217391304349</v>
      </c>
      <c r="R73" s="172"/>
      <c r="S73" s="28">
        <v>0.44374999999999992</v>
      </c>
      <c r="T73" s="28">
        <v>0.45972222222222214</v>
      </c>
      <c r="U73" s="4">
        <f t="shared" si="48"/>
        <v>5.9999999999999787</v>
      </c>
      <c r="V73" s="22">
        <f t="shared" si="41"/>
        <v>23</v>
      </c>
      <c r="W73" s="4"/>
      <c r="X73" s="4"/>
      <c r="Y73" s="32"/>
      <c r="Z73" s="32"/>
      <c r="AA73" s="175"/>
      <c r="AB73" s="176"/>
      <c r="AC73" s="25"/>
      <c r="AD73" s="25"/>
      <c r="AE73" s="19">
        <f t="shared" si="42"/>
        <v>-73.043478260869506</v>
      </c>
      <c r="AF73" s="21">
        <f t="shared" si="49"/>
        <v>0.97565217391304349</v>
      </c>
      <c r="AG73" s="172"/>
    </row>
    <row r="74" spans="1:33">
      <c r="A74" s="179" t="s">
        <v>2100</v>
      </c>
      <c r="B74" s="37" t="s">
        <v>2092</v>
      </c>
      <c r="C74" s="177"/>
      <c r="D74" s="177"/>
      <c r="E74" s="38"/>
      <c r="F74" s="17"/>
      <c r="G74" s="17"/>
      <c r="H74" s="4"/>
      <c r="I74" s="30">
        <v>10.5</v>
      </c>
      <c r="J74" s="18">
        <v>2166.6666666666665</v>
      </c>
      <c r="K74" s="17">
        <f t="shared" si="43"/>
        <v>206.34920634920633</v>
      </c>
      <c r="L74" s="30">
        <v>10.5</v>
      </c>
      <c r="M74" s="18">
        <f>AVERAGE(M68:M73)</f>
        <v>2090.6364398560463</v>
      </c>
      <c r="N74" s="17">
        <f t="shared" si="44"/>
        <v>199.10823236724249</v>
      </c>
      <c r="O74" s="19">
        <f t="shared" si="45"/>
        <v>0</v>
      </c>
      <c r="P74" s="20">
        <f t="shared" si="46"/>
        <v>-7.2409739819638332</v>
      </c>
      <c r="Q74" s="21">
        <f t="shared" si="47"/>
        <v>0.96490912608740609</v>
      </c>
      <c r="R74" s="172"/>
      <c r="S74" s="28"/>
      <c r="T74" s="28"/>
      <c r="U74" s="17"/>
      <c r="V74" s="22"/>
      <c r="W74" s="17"/>
      <c r="X74" s="17"/>
      <c r="Y74" s="31">
        <f>SUM(Y68:Y73)</f>
        <v>0</v>
      </c>
      <c r="Z74" s="31">
        <f>SUM(Z68:Z73)</f>
        <v>0</v>
      </c>
      <c r="AA74" s="168"/>
      <c r="AB74" s="168"/>
      <c r="AC74" s="31">
        <v>6</v>
      </c>
      <c r="AD74" s="31">
        <f>SUM(AD68:AD73)</f>
        <v>0</v>
      </c>
      <c r="AE74" s="19">
        <f t="shared" si="42"/>
        <v>-76.030226810620206</v>
      </c>
      <c r="AF74" s="21">
        <f t="shared" si="49"/>
        <v>0.96490912608740609</v>
      </c>
      <c r="AG74" s="172"/>
    </row>
    <row r="75" spans="1:33" ht="15.75" customHeight="1">
      <c r="A75" s="169" t="s">
        <v>2101</v>
      </c>
      <c r="B75" s="4" t="s">
        <v>100</v>
      </c>
      <c r="C75" s="165" t="s">
        <v>133</v>
      </c>
      <c r="D75" s="165"/>
      <c r="E75" s="37">
        <v>20.2</v>
      </c>
      <c r="F75" s="4">
        <v>2296</v>
      </c>
      <c r="G75" s="4">
        <f t="shared" ref="G75:G80" si="50">E75*F75</f>
        <v>46379.199999999997</v>
      </c>
      <c r="H75" s="22" t="s">
        <v>139</v>
      </c>
      <c r="I75" s="16">
        <v>19</v>
      </c>
      <c r="J75" s="18">
        <v>2400</v>
      </c>
      <c r="K75" s="17">
        <f t="shared" si="43"/>
        <v>126.31578947368421</v>
      </c>
      <c r="L75" s="16">
        <v>19</v>
      </c>
      <c r="M75" s="18">
        <f t="shared" ref="M75:M80" si="51">F75/V75*60</f>
        <v>2296.0000000000005</v>
      </c>
      <c r="N75" s="17">
        <f t="shared" si="44"/>
        <v>120.84210526315792</v>
      </c>
      <c r="O75" s="19">
        <f t="shared" si="45"/>
        <v>0</v>
      </c>
      <c r="P75" s="20">
        <f t="shared" si="46"/>
        <v>-5.4736842105262866</v>
      </c>
      <c r="Q75" s="21">
        <f t="shared" si="47"/>
        <v>0.95666666666666689</v>
      </c>
      <c r="R75" s="172">
        <f>Q81</f>
        <v>0.95832259703638611</v>
      </c>
      <c r="S75" s="28">
        <v>0.125</v>
      </c>
      <c r="T75" s="28">
        <v>0.16666666666666666</v>
      </c>
      <c r="U75" s="28"/>
      <c r="V75" s="22">
        <f t="shared" ref="V75:V80" si="52">(T75-S75)*24*60</f>
        <v>59.999999999999986</v>
      </c>
      <c r="W75" s="23">
        <f>T75</f>
        <v>0.16666666666666666</v>
      </c>
      <c r="X75" s="23">
        <f>S76</f>
        <v>0.18402777777777773</v>
      </c>
      <c r="Y75" s="23"/>
      <c r="Z75" s="23"/>
      <c r="AA75" s="164"/>
      <c r="AB75" s="164"/>
      <c r="AC75" s="25">
        <v>6</v>
      </c>
      <c r="AD75" s="25"/>
      <c r="AE75" s="19">
        <f t="shared" si="42"/>
        <v>-103.99999999999955</v>
      </c>
      <c r="AF75" s="21">
        <f t="shared" si="49"/>
        <v>0.95666666666666689</v>
      </c>
      <c r="AG75" s="172">
        <f>AF81</f>
        <v>0.95832259703638611</v>
      </c>
    </row>
    <row r="76" spans="1:33" ht="15.75" customHeight="1">
      <c r="A76" s="170" t="s">
        <v>2101</v>
      </c>
      <c r="B76" s="4" t="s">
        <v>100</v>
      </c>
      <c r="C76" s="165" t="s">
        <v>109</v>
      </c>
      <c r="D76" s="165"/>
      <c r="E76" s="37">
        <v>24.45</v>
      </c>
      <c r="F76" s="4">
        <v>3325</v>
      </c>
      <c r="G76" s="4">
        <f t="shared" si="50"/>
        <v>81296.25</v>
      </c>
      <c r="H76" s="22" t="s">
        <v>139</v>
      </c>
      <c r="I76" s="16">
        <v>20</v>
      </c>
      <c r="J76" s="18">
        <v>2400</v>
      </c>
      <c r="K76" s="17">
        <f t="shared" si="43"/>
        <v>120</v>
      </c>
      <c r="L76" s="16">
        <v>20</v>
      </c>
      <c r="M76" s="18">
        <f t="shared" si="51"/>
        <v>2293.1034482758619</v>
      </c>
      <c r="N76" s="17">
        <f t="shared" si="44"/>
        <v>114.6551724137931</v>
      </c>
      <c r="O76" s="19">
        <f t="shared" si="45"/>
        <v>0</v>
      </c>
      <c r="P76" s="20">
        <f t="shared" si="46"/>
        <v>-5.3448275862069039</v>
      </c>
      <c r="Q76" s="21">
        <f t="shared" si="47"/>
        <v>0.95545977011494243</v>
      </c>
      <c r="R76" s="172"/>
      <c r="S76" s="28">
        <v>0.18402777777777773</v>
      </c>
      <c r="T76" s="28">
        <v>0.24444444444444441</v>
      </c>
      <c r="U76" s="4">
        <f t="shared" ref="U76:U80" si="53">(S76-T75)*24*60</f>
        <v>24.99999999999995</v>
      </c>
      <c r="V76" s="22">
        <f t="shared" si="52"/>
        <v>87.000000000000014</v>
      </c>
      <c r="W76" s="23"/>
      <c r="X76" s="23"/>
      <c r="Y76" s="23"/>
      <c r="Z76" s="23"/>
      <c r="AA76" s="164"/>
      <c r="AB76" s="164"/>
      <c r="AC76" s="25"/>
      <c r="AD76" s="25"/>
      <c r="AE76" s="19">
        <f t="shared" si="42"/>
        <v>-106.89655172413813</v>
      </c>
      <c r="AF76" s="21">
        <f t="shared" si="49"/>
        <v>0.95545977011494243</v>
      </c>
      <c r="AG76" s="172"/>
    </row>
    <row r="77" spans="1:33" ht="15.75" customHeight="1">
      <c r="A77" s="170" t="s">
        <v>2101</v>
      </c>
      <c r="B77" s="4" t="s">
        <v>100</v>
      </c>
      <c r="C77" s="165" t="s">
        <v>136</v>
      </c>
      <c r="D77" s="165"/>
      <c r="E77" s="37">
        <v>24.43</v>
      </c>
      <c r="F77" s="4">
        <v>7396</v>
      </c>
      <c r="G77" s="4">
        <f t="shared" si="50"/>
        <v>180684.28</v>
      </c>
      <c r="H77" s="22" t="s">
        <v>139</v>
      </c>
      <c r="I77" s="16">
        <v>14</v>
      </c>
      <c r="J77" s="18">
        <v>2400</v>
      </c>
      <c r="K77" s="17">
        <f t="shared" si="43"/>
        <v>171.42857142857142</v>
      </c>
      <c r="L77" s="16">
        <v>14</v>
      </c>
      <c r="M77" s="18">
        <f t="shared" si="51"/>
        <v>2287.4226804123705</v>
      </c>
      <c r="N77" s="17">
        <f t="shared" si="44"/>
        <v>163.38733431516931</v>
      </c>
      <c r="O77" s="19">
        <f t="shared" si="45"/>
        <v>0</v>
      </c>
      <c r="P77" s="20">
        <f t="shared" si="46"/>
        <v>-8.0412371134021043</v>
      </c>
      <c r="Q77" s="21">
        <f t="shared" si="47"/>
        <v>0.95309278350515436</v>
      </c>
      <c r="R77" s="172"/>
      <c r="S77" s="28">
        <v>0.24791666666666662</v>
      </c>
      <c r="T77" s="28">
        <v>0.38263888888888886</v>
      </c>
      <c r="U77" s="4">
        <f t="shared" si="53"/>
        <v>4.9999999999999822</v>
      </c>
      <c r="V77" s="22">
        <f t="shared" si="52"/>
        <v>194.00000000000003</v>
      </c>
      <c r="W77" s="23"/>
      <c r="X77" s="23"/>
      <c r="Y77" s="23"/>
      <c r="Z77" s="23"/>
      <c r="AA77" s="164"/>
      <c r="AB77" s="164"/>
      <c r="AC77" s="25"/>
      <c r="AD77" s="25"/>
      <c r="AE77" s="19">
        <f t="shared" si="42"/>
        <v>-112.57731958762952</v>
      </c>
      <c r="AF77" s="21">
        <f t="shared" si="49"/>
        <v>0.95309278350515436</v>
      </c>
      <c r="AG77" s="172"/>
    </row>
    <row r="78" spans="1:33" ht="15.75" customHeight="1">
      <c r="A78" s="170" t="s">
        <v>2101</v>
      </c>
      <c r="B78" s="4" t="s">
        <v>100</v>
      </c>
      <c r="C78" s="165" t="s">
        <v>138</v>
      </c>
      <c r="D78" s="165"/>
      <c r="E78" s="37">
        <v>22.69</v>
      </c>
      <c r="F78" s="4">
        <v>1048</v>
      </c>
      <c r="G78" s="4">
        <f t="shared" si="50"/>
        <v>23779.120000000003</v>
      </c>
      <c r="H78" s="22" t="s">
        <v>139</v>
      </c>
      <c r="I78" s="16">
        <v>15</v>
      </c>
      <c r="J78" s="18">
        <v>2400</v>
      </c>
      <c r="K78" s="17">
        <f t="shared" si="43"/>
        <v>160</v>
      </c>
      <c r="L78" s="16">
        <v>15</v>
      </c>
      <c r="M78" s="18">
        <f t="shared" si="51"/>
        <v>2328.8888888888905</v>
      </c>
      <c r="N78" s="17">
        <f t="shared" si="44"/>
        <v>155.25925925925938</v>
      </c>
      <c r="O78" s="19">
        <f t="shared" si="45"/>
        <v>0</v>
      </c>
      <c r="P78" s="20">
        <f t="shared" si="46"/>
        <v>-4.7407407407406197</v>
      </c>
      <c r="Q78" s="21">
        <f t="shared" si="47"/>
        <v>0.9703703703703711</v>
      </c>
      <c r="R78" s="172"/>
      <c r="S78" s="28">
        <v>0.38749999999999996</v>
      </c>
      <c r="T78" s="28">
        <v>0.40624999999999994</v>
      </c>
      <c r="U78" s="4">
        <f t="shared" si="53"/>
        <v>6.9999999999999751</v>
      </c>
      <c r="V78" s="22">
        <f t="shared" si="52"/>
        <v>26.999999999999986</v>
      </c>
      <c r="W78" s="23"/>
      <c r="X78" s="23"/>
      <c r="Y78" s="23"/>
      <c r="Z78" s="23"/>
      <c r="AA78" s="164"/>
      <c r="AB78" s="164"/>
      <c r="AC78" s="25"/>
      <c r="AD78" s="25"/>
      <c r="AE78" s="19">
        <f t="shared" si="42"/>
        <v>-71.111111111109494</v>
      </c>
      <c r="AF78" s="21">
        <f t="shared" si="49"/>
        <v>0.97037037037037099</v>
      </c>
      <c r="AG78" s="172"/>
    </row>
    <row r="79" spans="1:33" ht="15.75" customHeight="1">
      <c r="A79" s="170" t="s">
        <v>2101</v>
      </c>
      <c r="B79" s="4" t="s">
        <v>100</v>
      </c>
      <c r="C79" s="165" t="s">
        <v>135</v>
      </c>
      <c r="D79" s="165"/>
      <c r="E79" s="37">
        <v>19.02</v>
      </c>
      <c r="F79" s="4">
        <v>4600</v>
      </c>
      <c r="G79" s="4">
        <f t="shared" si="50"/>
        <v>87492</v>
      </c>
      <c r="H79" s="22">
        <v>2</v>
      </c>
      <c r="I79" s="16">
        <v>15</v>
      </c>
      <c r="J79" s="18">
        <v>2400</v>
      </c>
      <c r="K79" s="17">
        <f t="shared" si="43"/>
        <v>160</v>
      </c>
      <c r="L79" s="16">
        <v>15</v>
      </c>
      <c r="M79" s="18">
        <f t="shared" si="51"/>
        <v>2300.0000000000005</v>
      </c>
      <c r="N79" s="17">
        <f t="shared" si="44"/>
        <v>153.33333333333337</v>
      </c>
      <c r="O79" s="19">
        <f t="shared" si="45"/>
        <v>0</v>
      </c>
      <c r="P79" s="20">
        <f t="shared" si="46"/>
        <v>-6.6666666666666288</v>
      </c>
      <c r="Q79" s="21">
        <f t="shared" si="47"/>
        <v>0.95833333333333359</v>
      </c>
      <c r="R79" s="172"/>
      <c r="S79" s="28">
        <v>0.4104166666666666</v>
      </c>
      <c r="T79" s="28">
        <v>0.49374999999999991</v>
      </c>
      <c r="U79" s="4">
        <f t="shared" si="53"/>
        <v>5.9999999999999787</v>
      </c>
      <c r="V79" s="22">
        <f t="shared" si="52"/>
        <v>119.99999999999997</v>
      </c>
      <c r="W79" s="23">
        <f>T79</f>
        <v>0.49374999999999991</v>
      </c>
      <c r="X79" s="23">
        <f>S80</f>
        <v>0.53541666666666654</v>
      </c>
      <c r="Y79" s="23"/>
      <c r="Z79" s="23"/>
      <c r="AA79" s="164"/>
      <c r="AB79" s="164"/>
      <c r="AC79" s="25"/>
      <c r="AD79" s="25"/>
      <c r="AE79" s="19">
        <f t="shared" si="42"/>
        <v>-99.999999999999545</v>
      </c>
      <c r="AF79" s="21">
        <f t="shared" si="49"/>
        <v>0.95833333333333348</v>
      </c>
      <c r="AG79" s="172"/>
    </row>
    <row r="80" spans="1:33" ht="15.75" customHeight="1">
      <c r="A80" s="170" t="s">
        <v>2101</v>
      </c>
      <c r="B80" s="4" t="s">
        <v>100</v>
      </c>
      <c r="C80" s="165" t="s">
        <v>135</v>
      </c>
      <c r="D80" s="165"/>
      <c r="E80" s="37">
        <v>19.02</v>
      </c>
      <c r="F80" s="4">
        <v>6042</v>
      </c>
      <c r="G80" s="4">
        <f t="shared" si="50"/>
        <v>114918.84</v>
      </c>
      <c r="H80" s="22" t="s">
        <v>139</v>
      </c>
      <c r="I80" s="16">
        <v>15</v>
      </c>
      <c r="J80" s="18">
        <v>2400</v>
      </c>
      <c r="K80" s="17">
        <f t="shared" si="43"/>
        <v>160</v>
      </c>
      <c r="L80" s="16">
        <v>15</v>
      </c>
      <c r="M80" s="18">
        <f t="shared" si="51"/>
        <v>2294.4303797468365</v>
      </c>
      <c r="N80" s="17">
        <f t="shared" si="44"/>
        <v>152.96202531645577</v>
      </c>
      <c r="O80" s="19">
        <f t="shared" si="45"/>
        <v>0</v>
      </c>
      <c r="P80" s="20">
        <f t="shared" si="46"/>
        <v>-7.0379746835442347</v>
      </c>
      <c r="Q80" s="21">
        <f t="shared" si="47"/>
        <v>0.95601265822784853</v>
      </c>
      <c r="R80" s="172"/>
      <c r="S80" s="28">
        <v>0.53541666666666654</v>
      </c>
      <c r="T80" s="28">
        <v>0.64513888888888871</v>
      </c>
      <c r="U80" s="4">
        <f t="shared" si="53"/>
        <v>59.999999999999943</v>
      </c>
      <c r="V80" s="22">
        <f t="shared" si="52"/>
        <v>157.99999999999991</v>
      </c>
      <c r="W80" s="23"/>
      <c r="X80" s="23"/>
      <c r="Y80" s="23"/>
      <c r="Z80" s="23"/>
      <c r="AA80" s="164"/>
      <c r="AB80" s="164"/>
      <c r="AC80" s="25"/>
      <c r="AD80" s="25"/>
      <c r="AE80" s="19">
        <f t="shared" si="42"/>
        <v>-105.56962025316352</v>
      </c>
      <c r="AF80" s="21">
        <f t="shared" si="49"/>
        <v>0.95601265822784853</v>
      </c>
      <c r="AG80" s="172"/>
    </row>
    <row r="81" spans="1:33" ht="16.5" customHeight="1">
      <c r="A81" s="171" t="s">
        <v>2101</v>
      </c>
      <c r="B81" s="37" t="s">
        <v>2092</v>
      </c>
      <c r="C81" s="166"/>
      <c r="D81" s="167"/>
      <c r="E81" s="38"/>
      <c r="F81" s="17"/>
      <c r="G81" s="17"/>
      <c r="H81" s="4"/>
      <c r="I81" s="30">
        <v>16.333333333333332</v>
      </c>
      <c r="J81" s="18">
        <v>2400</v>
      </c>
      <c r="K81" s="17">
        <f t="shared" si="43"/>
        <v>146.9387755102041</v>
      </c>
      <c r="L81" s="30">
        <v>16.333333333333332</v>
      </c>
      <c r="M81" s="18">
        <f>AVERAGE(M75:M80)</f>
        <v>2299.9742328873267</v>
      </c>
      <c r="N81" s="17">
        <f t="shared" si="44"/>
        <v>140.81474895228533</v>
      </c>
      <c r="O81" s="19">
        <f t="shared" si="45"/>
        <v>0</v>
      </c>
      <c r="P81" s="20">
        <f t="shared" si="46"/>
        <v>-6.1240265579187678</v>
      </c>
      <c r="Q81" s="21">
        <f t="shared" si="47"/>
        <v>0.95832259703638611</v>
      </c>
      <c r="R81" s="172"/>
      <c r="S81" s="28"/>
      <c r="T81" s="28"/>
      <c r="U81" s="17"/>
      <c r="V81" s="22"/>
      <c r="W81" s="17"/>
      <c r="X81" s="17"/>
      <c r="Y81" s="31">
        <f>SUM(Y75:Y80)</f>
        <v>0</v>
      </c>
      <c r="Z81" s="31">
        <f>SUM(Z75:Z80)</f>
        <v>0</v>
      </c>
      <c r="AA81" s="168"/>
      <c r="AB81" s="168"/>
      <c r="AC81" s="31">
        <v>6</v>
      </c>
      <c r="AD81" s="31">
        <f>SUM(AD75:AD80)</f>
        <v>0</v>
      </c>
      <c r="AE81" s="19">
        <f t="shared" si="42"/>
        <v>-100.02576711267329</v>
      </c>
      <c r="AF81" s="21">
        <f t="shared" si="49"/>
        <v>0.95832259703638611</v>
      </c>
      <c r="AG81" s="172"/>
    </row>
    <row r="82" spans="1:33">
      <c r="D82" s="33"/>
      <c r="E82" s="33"/>
    </row>
  </sheetData>
  <mergeCells count="21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14:A22"/>
    <mergeCell ref="C14:D14"/>
    <mergeCell ref="R14:R22"/>
    <mergeCell ref="AA14:AB14"/>
    <mergeCell ref="AG14:AG22"/>
    <mergeCell ref="C18:D18"/>
    <mergeCell ref="AA18:AB18"/>
    <mergeCell ref="C19:D19"/>
    <mergeCell ref="AA19:AB19"/>
    <mergeCell ref="AA20:AB20"/>
    <mergeCell ref="AA21:AB21"/>
    <mergeCell ref="C15:D15"/>
    <mergeCell ref="AA15:AB15"/>
    <mergeCell ref="C16:D16"/>
    <mergeCell ref="AA16:AB16"/>
    <mergeCell ref="C17:D17"/>
    <mergeCell ref="AA17:AB17"/>
    <mergeCell ref="C22:D22"/>
    <mergeCell ref="AA22:AB22"/>
    <mergeCell ref="A23:A29"/>
    <mergeCell ref="C23:D23"/>
    <mergeCell ref="R23:R29"/>
    <mergeCell ref="AA23:AB23"/>
    <mergeCell ref="AA28:AB28"/>
    <mergeCell ref="C29:D29"/>
    <mergeCell ref="AA29:AB29"/>
    <mergeCell ref="AG30:AG37"/>
    <mergeCell ref="C31:D31"/>
    <mergeCell ref="AA31:AB31"/>
    <mergeCell ref="C32:D32"/>
    <mergeCell ref="AA32:AB32"/>
    <mergeCell ref="C33:D33"/>
    <mergeCell ref="AG23:AG29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AA33:AB33"/>
    <mergeCell ref="C34:D34"/>
    <mergeCell ref="AA34:AB34"/>
    <mergeCell ref="C35:D35"/>
    <mergeCell ref="AA35:AB35"/>
    <mergeCell ref="C36:D36"/>
    <mergeCell ref="AA36:AB36"/>
    <mergeCell ref="A30:A37"/>
    <mergeCell ref="C30:D30"/>
    <mergeCell ref="R30:R37"/>
    <mergeCell ref="AA30:AB30"/>
    <mergeCell ref="C37:D37"/>
    <mergeCell ref="AA37:AB37"/>
    <mergeCell ref="A38:A45"/>
    <mergeCell ref="C38:D38"/>
    <mergeCell ref="R38:R45"/>
    <mergeCell ref="AA38:AB38"/>
    <mergeCell ref="AA43:AB43"/>
    <mergeCell ref="C44:D44"/>
    <mergeCell ref="AA44:AB44"/>
    <mergeCell ref="C45:D45"/>
    <mergeCell ref="AA45:AB45"/>
    <mergeCell ref="C49:D49"/>
    <mergeCell ref="AA49:AB49"/>
    <mergeCell ref="C50:D50"/>
    <mergeCell ref="AA50:AB50"/>
    <mergeCell ref="C51:D51"/>
    <mergeCell ref="AA51:AB51"/>
    <mergeCell ref="C55:D55"/>
    <mergeCell ref="AA55:AB55"/>
    <mergeCell ref="C56:D56"/>
    <mergeCell ref="AA56:AB56"/>
    <mergeCell ref="AA66:AB66"/>
    <mergeCell ref="C67:D67"/>
    <mergeCell ref="AA67:AB67"/>
    <mergeCell ref="AG38:AG45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G46:AG56"/>
    <mergeCell ref="C47:D47"/>
    <mergeCell ref="AA47:AB47"/>
    <mergeCell ref="C48:D48"/>
    <mergeCell ref="AA48:AB48"/>
    <mergeCell ref="C52:D52"/>
    <mergeCell ref="AA52:AB52"/>
    <mergeCell ref="C53:D53"/>
    <mergeCell ref="AA53:AB53"/>
    <mergeCell ref="C54:D54"/>
    <mergeCell ref="AA54:AB54"/>
    <mergeCell ref="A46:A56"/>
    <mergeCell ref="C46:D46"/>
    <mergeCell ref="R46:R56"/>
    <mergeCell ref="AA46:AB46"/>
    <mergeCell ref="AG57:AG67"/>
    <mergeCell ref="C58:D58"/>
    <mergeCell ref="AA58:AB58"/>
    <mergeCell ref="C59:D59"/>
    <mergeCell ref="AA59:AB59"/>
    <mergeCell ref="AA60:AB60"/>
    <mergeCell ref="AA61:AB61"/>
    <mergeCell ref="C62:D62"/>
    <mergeCell ref="AA62:AB62"/>
    <mergeCell ref="C63:D63"/>
    <mergeCell ref="A57:A67"/>
    <mergeCell ref="C57:D57"/>
    <mergeCell ref="R57:R67"/>
    <mergeCell ref="AA57:AB57"/>
    <mergeCell ref="AA63:AB63"/>
    <mergeCell ref="C64:D64"/>
    <mergeCell ref="AA64:AB64"/>
    <mergeCell ref="C65:D65"/>
    <mergeCell ref="AA65:AB65"/>
    <mergeCell ref="C66:D66"/>
    <mergeCell ref="A68:A74"/>
    <mergeCell ref="C68:D68"/>
    <mergeCell ref="R68:R74"/>
    <mergeCell ref="AA68:AB68"/>
    <mergeCell ref="AG68:AG74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73:D73"/>
    <mergeCell ref="AA73:AB73"/>
    <mergeCell ref="C74:D74"/>
    <mergeCell ref="AA74:AB74"/>
    <mergeCell ref="AA78:AB78"/>
    <mergeCell ref="C79:D79"/>
    <mergeCell ref="AA79:AB79"/>
    <mergeCell ref="A75:A81"/>
    <mergeCell ref="C75:D75"/>
    <mergeCell ref="R75:R81"/>
    <mergeCell ref="AA75:AB75"/>
    <mergeCell ref="AG75:AG81"/>
    <mergeCell ref="C76:D76"/>
    <mergeCell ref="AA76:AB76"/>
    <mergeCell ref="C77:D77"/>
    <mergeCell ref="AA77:AB77"/>
    <mergeCell ref="C78:D78"/>
    <mergeCell ref="C80:D80"/>
    <mergeCell ref="AA80:AB80"/>
    <mergeCell ref="C81:D81"/>
    <mergeCell ref="AA81:AB81"/>
  </mergeCells>
  <phoneticPr fontId="3" type="noConversion"/>
  <conditionalFormatting sqref="O5:O81">
    <cfRule type="cellIs" dxfId="228" priority="1" operator="greaterThan">
      <formula>0</formula>
    </cfRule>
  </conditionalFormatting>
  <conditionalFormatting sqref="P5:P81">
    <cfRule type="cellIs" dxfId="227" priority="4" operator="lessThan">
      <formula>0</formula>
    </cfRule>
  </conditionalFormatting>
  <conditionalFormatting sqref="Q5:Q81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R5:R11 AG5:AG11">
    <cfRule type="cellIs" dxfId="224" priority="91" operator="lessThan">
      <formula>0.8</formula>
    </cfRule>
  </conditionalFormatting>
  <conditionalFormatting sqref="AE5:AE81">
    <cfRule type="cellIs" dxfId="223" priority="27" operator="lessThan">
      <formula>0</formula>
    </cfRule>
  </conditionalFormatting>
  <conditionalFormatting sqref="AF5:AF81">
    <cfRule type="cellIs" dxfId="222" priority="25" operator="greaterThan">
      <formula>1</formula>
    </cfRule>
    <cfRule type="cellIs" dxfId="221" priority="26" operator="lessThan">
      <formula>0.8</formula>
    </cfRule>
  </conditionalFormatting>
  <conditionalFormatting sqref="AG14:AG71 R14:R81">
    <cfRule type="cellIs" dxfId="220" priority="5" operator="lessThan">
      <formula>0.8</formula>
    </cfRule>
  </conditionalFormatting>
  <dataValidations count="1">
    <dataValidation type="list" allowBlank="1" showInputMessage="1" showErrorMessage="1" sqref="AB10 AA5:AB9 AB72:AB73 AA10:AA73 AB12:AB68 AA74:AB81" xr:uid="{00000000-0002-0000-0B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Q32"/>
  <sheetViews>
    <sheetView zoomScale="85" zoomScaleNormal="85" workbookViewId="0">
      <selection activeCell="O13" sqref="O13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1894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1895</v>
      </c>
      <c r="C3" s="153" t="str">
        <f>TEXT('0222 4度C'!A2,"yyyy.mm.ddaaaa")</f>
        <v>2026.02.22星期日</v>
      </c>
      <c r="D3" s="154"/>
      <c r="E3" s="47" t="s">
        <v>1896</v>
      </c>
      <c r="F3" s="155">
        <f>'0222 4度C'!D1</f>
        <v>185172</v>
      </c>
      <c r="G3" s="156"/>
      <c r="H3" s="47" t="s">
        <v>1897</v>
      </c>
      <c r="I3" s="157">
        <f>'0222 4度C'!F1</f>
        <v>6313819.5600000005</v>
      </c>
      <c r="J3" s="158"/>
      <c r="K3" s="48"/>
      <c r="L3" s="49"/>
      <c r="M3" s="49"/>
      <c r="N3" s="49"/>
    </row>
    <row r="4" spans="2:17" ht="28.5" customHeight="1">
      <c r="B4" s="159" t="s">
        <v>301</v>
      </c>
      <c r="C4" s="145" t="s">
        <v>1898</v>
      </c>
      <c r="D4" s="146"/>
      <c r="E4" s="162" t="s">
        <v>1899</v>
      </c>
      <c r="F4" s="163"/>
      <c r="G4" s="162" t="s">
        <v>1900</v>
      </c>
      <c r="H4" s="163"/>
      <c r="I4" s="162" t="s">
        <v>1901</v>
      </c>
      <c r="J4" s="163"/>
      <c r="K4" s="143" t="s">
        <v>1902</v>
      </c>
      <c r="L4" s="144"/>
      <c r="M4" s="144" t="s">
        <v>1903</v>
      </c>
      <c r="N4" s="144"/>
    </row>
    <row r="5" spans="2:17" ht="28.5" customHeight="1">
      <c r="B5" s="160"/>
      <c r="C5" s="145" t="s">
        <v>1904</v>
      </c>
      <c r="D5" s="146"/>
      <c r="E5" s="145" t="s">
        <v>1905</v>
      </c>
      <c r="F5" s="146"/>
      <c r="G5" s="147" t="s">
        <v>1906</v>
      </c>
      <c r="H5" s="148"/>
      <c r="I5" s="149" t="s">
        <v>154</v>
      </c>
      <c r="J5" s="150"/>
      <c r="K5" s="50" t="s">
        <v>1907</v>
      </c>
      <c r="L5" s="51" t="s">
        <v>1908</v>
      </c>
      <c r="M5" s="50" t="s">
        <v>1907</v>
      </c>
      <c r="N5" s="51" t="s">
        <v>1909</v>
      </c>
    </row>
    <row r="6" spans="2:17" ht="28.5" customHeight="1">
      <c r="B6" s="160"/>
      <c r="C6" s="145" t="s">
        <v>158</v>
      </c>
      <c r="D6" s="146"/>
      <c r="E6" s="137">
        <f>AVERAGE(D13:M13)</f>
        <v>146.1957919970211</v>
      </c>
      <c r="F6" s="138">
        <f>AVERAGE(D31:O31,D13:J13)</f>
        <v>150.35072027084351</v>
      </c>
      <c r="G6" s="139">
        <f>AVERAGE(D13:J13)</f>
        <v>150.35072027084351</v>
      </c>
      <c r="H6" s="140"/>
      <c r="I6" s="139">
        <f>AVERAGE(K13:M13)</f>
        <v>136.50095935810222</v>
      </c>
      <c r="J6" s="140"/>
      <c r="K6" s="141">
        <f>'0222 4度C'!Y2</f>
        <v>0</v>
      </c>
      <c r="L6" s="126">
        <f>'0222 4度C'!Z2</f>
        <v>0</v>
      </c>
      <c r="M6" s="142">
        <f>'0222 4度C'!AC2</f>
        <v>69</v>
      </c>
      <c r="N6" s="126">
        <f>'0222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140.11003533195438</v>
      </c>
      <c r="F7" s="130">
        <f>AVERAGE(D32:O32,D14:J14)</f>
        <v>144.20962275896426</v>
      </c>
      <c r="G7" s="131">
        <f>AVERAGE(D14:J14)</f>
        <v>144.20962275896426</v>
      </c>
      <c r="H7" s="132"/>
      <c r="I7" s="131">
        <f>AVERAGE(K14:M14)</f>
        <v>130.54433133559795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0.9574082627064483</v>
      </c>
      <c r="F8" s="134">
        <f>AVERAGE(D15:J15,D33:O33)</f>
        <v>0.95788645641253045</v>
      </c>
      <c r="G8" s="135">
        <f>AVERAGE(D15:J15)</f>
        <v>0.95788645641253045</v>
      </c>
      <c r="H8" s="136"/>
      <c r="I8" s="135">
        <f>AVERAGE(K15:M15)</f>
        <v>0.95629247739225642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1910</v>
      </c>
      <c r="N9" s="49"/>
      <c r="O9" s="49"/>
      <c r="P9" s="49"/>
      <c r="Q9" s="49"/>
    </row>
    <row r="10" spans="2:17" ht="30" customHeight="1">
      <c r="B10" s="109" t="s">
        <v>1911</v>
      </c>
      <c r="C10" s="110"/>
      <c r="D10" s="111" t="s">
        <v>1912</v>
      </c>
      <c r="E10" s="112"/>
      <c r="F10" s="112"/>
      <c r="G10" s="112"/>
      <c r="H10" s="112"/>
      <c r="I10" s="112"/>
      <c r="J10" s="113"/>
      <c r="K10" s="114" t="s">
        <v>1913</v>
      </c>
      <c r="L10" s="115"/>
      <c r="M10" s="116"/>
      <c r="P10" s="55"/>
      <c r="Q10" s="55"/>
    </row>
    <row r="11" spans="2:17" ht="17.25" customHeight="1">
      <c r="B11" s="117" t="s">
        <v>1914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13</v>
      </c>
      <c r="C13" s="62" t="s">
        <v>1915</v>
      </c>
      <c r="D13" s="63">
        <f>SUMIFS('0222 4度C'!$K:$K,'0222 4度C'!$A:$A,"新豐6線",'0222 4度C'!$B:$B,"平均")</f>
        <v>113.63636363636363</v>
      </c>
      <c r="E13" s="64">
        <f>SUMIFS('0222 4度C'!$K:$K,'0222 4度C'!$A:$A,"新豐2線",'0222 4度C'!$B:$B,"平均")</f>
        <v>83.333333333333329</v>
      </c>
      <c r="F13" s="65">
        <f>SUMIFS('0222 4度C'!$K:$K,'0222 4度C'!$A:$A,"新豐5線",'0222 4度C'!$B:$B,"平均")</f>
        <v>109.48905109489051</v>
      </c>
      <c r="G13" s="65">
        <f>SUMIFS('0222 4度C'!$K:$K,'0222 4度C'!$A:$A,"新豐7線",'0222 4度C'!$B:$B,"平均")</f>
        <v>129.2134831460674</v>
      </c>
      <c r="H13" s="65">
        <f>SUMIFS('0222 4度C'!$K:$K,'0222 4度C'!$A:$A,"新豐3線",'0222 4度C'!$B:$B,"平均")</f>
        <v>305.55555555555554</v>
      </c>
      <c r="I13" s="65">
        <f>SUMIFS('0222 4度C'!$K:$K,'0222 4度C'!$A:$A,"新豐1線",'0222 4度C'!$B:$B,"平均")</f>
        <v>104.8780487804878</v>
      </c>
      <c r="J13" s="66">
        <f>SUMIFS('0222 4度C'!$K:$K,'0222 4度C'!$A:$A,"新豐10線",'0222 4度C'!$B:$B,"平均")</f>
        <v>206.34920634920633</v>
      </c>
      <c r="K13" s="67">
        <f>SUMIFS('0222 4度C'!$K:$K,'0222 4度C'!$A:$A,"新豐8線",'0222 4度C'!$B:$B,"平均")</f>
        <v>129.23076923076923</v>
      </c>
      <c r="L13" s="68">
        <f>SUMIFS('0222 4度C'!$K:$K,'0222 4度C'!$A:$A,"新豐9線",'0222 4度C'!$B:$B,"平均")</f>
        <v>133.33333333333334</v>
      </c>
      <c r="M13" s="66">
        <f>SUMIFS('0222 4度C'!$K:$K,'0222 4度C'!$A:$A,"新豐4線",'0222 4度C'!$B:$B,"平均")</f>
        <v>146.9387755102041</v>
      </c>
    </row>
    <row r="14" spans="2:17" ht="39.6" customHeight="1">
      <c r="B14" s="122"/>
      <c r="C14" s="69" t="s">
        <v>1916</v>
      </c>
      <c r="D14" s="70">
        <f>SUMIFS('0222 4度C'!$N:$N,'0222 4度C'!$A:$A,"新豐6線",'0222 4度C'!$B:$B,"平均")</f>
        <v>109.65057537434315</v>
      </c>
      <c r="E14" s="71">
        <f>SUMIFS('0222 4度C'!$N:$N,'0222 4度C'!$A:$A,"新豐2線",'0222 4度C'!$B:$B,"平均")</f>
        <v>79.597515446586456</v>
      </c>
      <c r="F14" s="71">
        <f>SUMIFS('0222 4度C'!$N:$N,'0222 4度C'!$A:$A,"新豐5線",'0222 4度C'!$B:$B,"平均")</f>
        <v>105.05180258792959</v>
      </c>
      <c r="G14" s="71">
        <f>SUMIFS('0222 4度C'!$N:$N,'0222 4度C'!$A:$A,"新豐7線",'0222 4度C'!$B:$B,"平均")</f>
        <v>124.35590017277096</v>
      </c>
      <c r="H14" s="71">
        <f>SUMIFS('0222 4度C'!$N:$N,'0222 4度C'!$A:$A,"新豐3線",'0222 4度C'!$B:$B,"平均")</f>
        <v>292.99539145752573</v>
      </c>
      <c r="I14" s="71">
        <f>SUMIFS('0222 4度C'!$N:$N,'0222 4度C'!$A:$A,"新豐1線",'0222 4度C'!$B:$B,"平均")</f>
        <v>98.336498297894863</v>
      </c>
      <c r="J14" s="72">
        <f>SUMIFS('0222 4度C'!$N:$N,'0222 4度C'!$A:$A,"新豐10線",'0222 4度C'!$B:$B,"平均")</f>
        <v>199.479675975699</v>
      </c>
      <c r="K14" s="73">
        <f>SUMIFS('0222 4度C'!$N:$N,'0222 4度C'!$A:$A,"新豐8線",'0222 4度C'!$B:$B,"平均")</f>
        <v>123.60301029876962</v>
      </c>
      <c r="L14" s="74">
        <f>SUMIFS('0222 4度C'!$N:$N,'0222 4度C'!$A:$A,"新豐9線",'0222 4度C'!$B:$B,"平均")</f>
        <v>127.19897580962078</v>
      </c>
      <c r="M14" s="72">
        <f>SUMIFS('0222 4度C'!$N:$N,'0222 4度C'!$A:$A,"新豐4線",'0222 4度C'!$B:$B,"平均")</f>
        <v>140.83100789840341</v>
      </c>
    </row>
    <row r="15" spans="2:17" ht="40.15" customHeight="1">
      <c r="B15" s="123"/>
      <c r="C15" s="75" t="s">
        <v>1917</v>
      </c>
      <c r="D15" s="76">
        <f t="shared" ref="D15:M15" si="0">D14/D13</f>
        <v>0.96492506329421979</v>
      </c>
      <c r="E15" s="77">
        <f t="shared" si="0"/>
        <v>0.95517018535903753</v>
      </c>
      <c r="F15" s="77">
        <f t="shared" si="0"/>
        <v>0.95947313030309023</v>
      </c>
      <c r="G15" s="77">
        <f t="shared" si="0"/>
        <v>0.96240653177187974</v>
      </c>
      <c r="H15" s="77">
        <f t="shared" si="0"/>
        <v>0.9588940084064479</v>
      </c>
      <c r="I15" s="77">
        <f t="shared" si="0"/>
        <v>0.93762707679388124</v>
      </c>
      <c r="J15" s="78">
        <f t="shared" si="0"/>
        <v>0.96670919895915675</v>
      </c>
      <c r="K15" s="76">
        <f t="shared" si="0"/>
        <v>0.95645186540714588</v>
      </c>
      <c r="L15" s="77">
        <f t="shared" si="0"/>
        <v>0.95399231857215572</v>
      </c>
      <c r="M15" s="78">
        <f t="shared" si="0"/>
        <v>0.95843324819746756</v>
      </c>
    </row>
    <row r="16" spans="2:17" ht="17.25" customHeight="1">
      <c r="B16" s="124" t="s">
        <v>1918</v>
      </c>
      <c r="C16" s="79" t="s">
        <v>1919</v>
      </c>
      <c r="D16" s="80">
        <f>VLOOKUP("新豐6線",'0222 4度C'!$A:$T,19,0)</f>
        <v>0.70833333333333337</v>
      </c>
      <c r="E16" s="81">
        <f>VLOOKUP("新豐2線",'0222 4度C'!$A:$T,19,0)</f>
        <v>0.20833333333333334</v>
      </c>
      <c r="F16" s="81">
        <f>VLOOKUP("新豐5線",'0222 4度C'!$A:$T,19,0)</f>
        <v>0.20833333333333334</v>
      </c>
      <c r="G16" s="81">
        <f>VLOOKUP("新豐7線",'0222 4度C'!$A:$T,19,0)</f>
        <v>0.20833333333333334</v>
      </c>
      <c r="H16" s="81">
        <f>VLOOKUP("新豐3線",'0222 4度C'!$A:$T,19,0)</f>
        <v>0.20833333333333334</v>
      </c>
      <c r="I16" s="81">
        <f>VLOOKUP("新豐1線",'0222 4度C'!$A:$T,19,0)</f>
        <v>0.20833333333333334</v>
      </c>
      <c r="J16" s="82">
        <f>VLOOKUP("新豐10線",'0222 4度C'!$A:$T,19,0)</f>
        <v>0.20833333333333334</v>
      </c>
      <c r="K16" s="83">
        <f>VLOOKUP("新豐8線",'0222 4度C'!$A:$T,19,0)</f>
        <v>0.125</v>
      </c>
      <c r="L16" s="84">
        <f>VLOOKUP("新豐9線",'0222 4度C'!$A:$T,19,0)</f>
        <v>0.125</v>
      </c>
      <c r="M16" s="85">
        <f>VLOOKUP("新豐4線",'0222 4度C'!$A:$T,19,0)</f>
        <v>0.125</v>
      </c>
    </row>
    <row r="17" spans="2:13" ht="17.25" customHeight="1">
      <c r="B17" s="125"/>
      <c r="C17" s="79" t="s">
        <v>231</v>
      </c>
      <c r="D17" s="83">
        <f>LOOKUP(2,1/(('0222 4度C'!$A:$A="新豐6線")*('0222 4度C'!$T:$T&lt;&gt;"")),'0222 4度C'!$T:$T)</f>
        <v>0.86736111111111114</v>
      </c>
      <c r="E17" s="81">
        <f>LOOKUP(2,1/(('0222 4度C'!$A:$A="新豐2線")*('0222 4度C'!$T:$T&lt;&gt;"")),'0222 4度C'!$T:$T)</f>
        <v>0.52083333333333337</v>
      </c>
      <c r="F17" s="81">
        <f>LOOKUP(2,1/(('0222 4度C'!$A:$A="新豐5線")*('0222 4度C'!$T:$T&lt;&gt;"")),'0222 4度C'!$T:$T)</f>
        <v>0.97013888888888899</v>
      </c>
      <c r="G17" s="81">
        <f>LOOKUP(2,1/(('0222 4度C'!$A:$A="新豐7線")*('0222 4度C'!$T:$T&lt;&gt;"")),'0222 4度C'!$T:$T)</f>
        <v>0.93888888888888888</v>
      </c>
      <c r="H17" s="81">
        <f>LOOKUP(2,1/(('0222 4度C'!$A:$A="新豐3線")*('0222 4度C'!$T:$T&lt;&gt;"")),'0222 4度C'!$T:$T)</f>
        <v>0.76111111111111096</v>
      </c>
      <c r="I17" s="81">
        <f>LOOKUP(2,1/(('0222 4度C'!$A:$A="新豐1線")*('0222 4度C'!$T:$T&lt;&gt;"")),'0222 4度C'!$T:$T)</f>
        <v>0.94374999999999987</v>
      </c>
      <c r="J17" s="82">
        <f>LOOKUP(2,1/(('0222 4度C'!$A:$A="新豐10線")*('0222 4度C'!$T:$T&lt;&gt;"")),'0222 4度C'!$T:$T)</f>
        <v>0.45138888888888884</v>
      </c>
      <c r="K17" s="80">
        <f>LOOKUP(2,1/(('0222 4度C'!$A:$A="新豐8線")*('0222 4度C'!$T:$T&lt;&gt;"")),'0222 4度C'!$T:$T)</f>
        <v>0.72430555555555554</v>
      </c>
      <c r="L17" s="81">
        <f>LOOKUP(2,1/(('0222 4度C'!$A:$A="新豐9線")*('0222 4度C'!$T:$T&lt;&gt;"")),'0222 4度C'!$T:$T)</f>
        <v>0.71805555555555545</v>
      </c>
      <c r="M17" s="82">
        <f>LOOKUP(2,1/(('0222 4度C'!$A:$A="新豐4線")*('0222 4度C'!$T:$T&lt;&gt;"")),'0222 4度C'!$T:$T)</f>
        <v>0.68888888888888877</v>
      </c>
    </row>
    <row r="18" spans="2:13" ht="17.25" customHeight="1">
      <c r="B18" s="103" t="s">
        <v>232</v>
      </c>
      <c r="C18" s="86" t="s">
        <v>42</v>
      </c>
      <c r="D18" s="87">
        <f>SUMIFS('0222 4度C'!$Y:$Y,'0222 4度C'!$A:$A,"新豐6線",'0222 4度C'!$B:$B,"平均")</f>
        <v>0</v>
      </c>
      <c r="E18" s="88">
        <f>SUMIFS('0222 4度C'!$Y:$Y,'0222 4度C'!$A:$A,"新豐2線",'0222 4度C'!$B:$B,"平均")</f>
        <v>0</v>
      </c>
      <c r="F18" s="88">
        <f>SUMIFS('0222 4度C'!$Y:$Y,'0222 4度C'!$A:$A,"新豐5線",'0222 4度C'!$B:$B,"平均")</f>
        <v>0</v>
      </c>
      <c r="G18" s="88">
        <f>SUMIFS('0222 4度C'!$Y:$Y,'0222 4度C'!$A:$A,"新豐7線",'0222 4度C'!$B:$B,"平均")</f>
        <v>0</v>
      </c>
      <c r="H18" s="88">
        <f>SUMIFS('0222 4度C'!$Y:$Y,'0222 4度C'!$A:$A,"新豐3線",'0222 4度C'!$B:$B,"平均")</f>
        <v>0</v>
      </c>
      <c r="I18" s="88">
        <f>SUMIFS('0222 4度C'!$Y:$Y,'0222 4度C'!$A:$A,"新豐1線",'0222 4度C'!$B:$B,"平均")</f>
        <v>0</v>
      </c>
      <c r="J18" s="89">
        <f>SUMIFS('0222 4度C'!$Y:$Y,'0222 4度C'!$A:$A,"新豐10線",'0222 4度C'!$B:$B,"平均")</f>
        <v>0</v>
      </c>
      <c r="K18" s="90">
        <f>SUMIFS('0222 4度C'!$Y:$Y,'0222 4度C'!$A:$A,"新豐8線",'0222 4度C'!$B:$B,"平均")</f>
        <v>0</v>
      </c>
      <c r="L18" s="88">
        <f>SUMIFS('0222 4度C'!$Y:$Y,'0222 4度C'!$A:$A,"新豐9線",'0222 4度C'!$B:$B,"平均")</f>
        <v>0</v>
      </c>
      <c r="M18" s="89">
        <f>SUMIFS('0222 4度C'!$Y:$Y,'0222 4度C'!$A:$A,"新豐4線",'0222 4度C'!$B:$B,"平均")</f>
        <v>0</v>
      </c>
    </row>
    <row r="19" spans="2:13" ht="17.25" customHeight="1">
      <c r="B19" s="104"/>
      <c r="C19" s="86" t="s">
        <v>1920</v>
      </c>
      <c r="D19" s="87">
        <f>SUMIFS('0222 4度C'!$Z:$Z,'0222 4度C'!$A:$A,"新豐6線",'0222 4度C'!$B:$B,"平均")</f>
        <v>0</v>
      </c>
      <c r="E19" s="88">
        <f>SUMIFS('0222 4度C'!$Z:$Z,'0222 4度C'!$A:$A,"新豐2線",'0222 4度C'!$B:$B,"平均")</f>
        <v>0</v>
      </c>
      <c r="F19" s="88">
        <f>SUMIFS('0222 4度C'!$Z:$Z,'0222 4度C'!$A:$A,"新豐5線",'0222 4度C'!$B:$B,"平均")</f>
        <v>0</v>
      </c>
      <c r="G19" s="88">
        <f>SUMIFS('0222 4度C'!$Z:$Z,'0222 4度C'!$A:$A,"新豐7線",'0222 4度C'!$B:$B,"平均")</f>
        <v>0</v>
      </c>
      <c r="H19" s="88">
        <f>SUMIFS('0222 4度C'!$Z:$Z,'0222 4度C'!$A:$A,"新豐3線",'0222 4度C'!$B:$B,"平均")</f>
        <v>0</v>
      </c>
      <c r="I19" s="88">
        <f>SUMIFS('0222 4度C'!$Z:$Z,'0222 4度C'!$A:$A,"新豐1線",'0222 4度C'!$B:$B,"平均")</f>
        <v>0</v>
      </c>
      <c r="J19" s="89">
        <f>SUMIFS('0222 4度C'!$Z:$Z,'0222 4度C'!$A:$A,"新豐10線",'0222 4度C'!$B:$B,"平均")</f>
        <v>0</v>
      </c>
      <c r="K19" s="90">
        <f>SUMIFS('0222 4度C'!$Z:$Z,'0222 4度C'!$A:$A,"新豐8線",'0222 4度C'!$B:$B,"平均")</f>
        <v>0</v>
      </c>
      <c r="L19" s="88">
        <f>SUMIFS('0222 4度C'!$Z:$Z,'0222 4度C'!$A:$A,"新豐9線",'0222 4度C'!$B:$B,"平均")</f>
        <v>0</v>
      </c>
      <c r="M19" s="89">
        <f>SUMIFS('0222 4度C'!$Z:$Z,'0222 4度C'!$A:$A,"新豐4線",'0222 4度C'!$B:$B,"平均")</f>
        <v>0</v>
      </c>
    </row>
    <row r="20" spans="2:13" ht="17.25" customHeight="1">
      <c r="B20" s="103" t="s">
        <v>436</v>
      </c>
      <c r="C20" s="86" t="s">
        <v>1921</v>
      </c>
      <c r="D20" s="87">
        <f>SUMIFS('0222 4度C'!$AC:$AC,'0222 4度C'!$A:$A,"新豐6線",'0222 4度C'!$B:$B,"平均")</f>
        <v>5</v>
      </c>
      <c r="E20" s="88">
        <f>SUMIFS('0222 4度C'!$AC:$AC,'0222 4度C'!$A:$A,"新豐2線",'0222 4度C'!$B:$B,"平均")</f>
        <v>2</v>
      </c>
      <c r="F20" s="88">
        <f>SUMIFS('0222 4度C'!$AC:$AC,'0222 4度C'!$A:$A,"新豐5線",'0222 4度C'!$B:$B,"平均")</f>
        <v>8</v>
      </c>
      <c r="G20" s="88">
        <f>SUMIFS('0222 4度C'!$AC:$AC,'0222 4度C'!$A:$A,"新豐7線",'0222 4度C'!$B:$B,"平均")</f>
        <v>6</v>
      </c>
      <c r="H20" s="88">
        <f>SUMIFS('0222 4度C'!$AC:$AC,'0222 4度C'!$A:$A,"新豐3線",'0222 4度C'!$B:$B,"平均")</f>
        <v>11</v>
      </c>
      <c r="I20" s="88">
        <f>SUMIFS('0222 4度C'!$AC:$AC,'0222 4度C'!$A:$A,"新豐1線",'0222 4度C'!$B:$B,"平均")</f>
        <v>11</v>
      </c>
      <c r="J20" s="89">
        <f>SUMIFS('0222 4度C'!$AC:$AC,'0222 4度C'!$A:$A,"新豐10線",'0222 4度C'!$B:$B,"平均")</f>
        <v>6</v>
      </c>
      <c r="K20" s="90">
        <f>SUMIFS('0222 4度C'!$AC:$AC,'0222 4度C'!$A:$A,"新豐8線",'0222 4度C'!$B:$B,"平均")</f>
        <v>7</v>
      </c>
      <c r="L20" s="88">
        <f>SUMIFS('0222 4度C'!$AC:$AC,'0222 4度C'!$A:$A,"新豐9線",'0222 4度C'!$B:$B,"平均")</f>
        <v>7</v>
      </c>
      <c r="M20" s="89">
        <f>SUMIFS('0222 4度C'!$AC:$AC,'0222 4度C'!$A:$A,"新豐4線",'0222 4度C'!$B:$B,"平均")</f>
        <v>6</v>
      </c>
    </row>
    <row r="21" spans="2:13" ht="17.25" customHeight="1">
      <c r="B21" s="104"/>
      <c r="C21" s="86" t="s">
        <v>188</v>
      </c>
      <c r="D21" s="87">
        <f>SUMIFS('0222 4度C'!$AD:$AD,'0222 4度C'!$A:$A,"新豐6線",'0222 4度C'!$B:$B,"平均")</f>
        <v>0</v>
      </c>
      <c r="E21" s="88">
        <f>SUMIFS('0222 4度C'!$AD:$AD,'0222 4度C'!$A:$A,"新豐2線",'0222 4度C'!$B:$B,"平均")</f>
        <v>0</v>
      </c>
      <c r="F21" s="88">
        <f>SUMIFS('0222 4度C'!$AD:$AD,'0222 4度C'!$A:$A,"新豐5線",'0222 4度C'!$B:$B,"平均")</f>
        <v>0</v>
      </c>
      <c r="G21" s="88">
        <f>SUMIFS('0222 4度C'!$AD:$AD,'0222 4度C'!$A:$A,"新豐7線",'0222 4度C'!$B:$B,"平均")</f>
        <v>0</v>
      </c>
      <c r="H21" s="88">
        <f>SUMIFS('0222 4度C'!$AD:$AD,'0222 4度C'!$A:$A,"新豐3線",'0222 4度C'!$B:$B,"平均")</f>
        <v>0</v>
      </c>
      <c r="I21" s="88">
        <f>SUMIFS('0222 4度C'!$AD:$AD,'0222 4度C'!$A:$A,"新豐1線",'0222 4度C'!$B:$B,"平均")</f>
        <v>0</v>
      </c>
      <c r="J21" s="89">
        <f>SUMIFS('0222 4度C'!$AD:$AD,'0222 4度C'!$A:$A,"新豐10線",'0222 4度C'!$B:$B,"平均")</f>
        <v>0</v>
      </c>
      <c r="K21" s="90">
        <f>SUMIFS('0222 4度C'!$AD:$AD,'0222 4度C'!$A:$A,"新豐8線",'0222 4度C'!$B:$B,"平均")</f>
        <v>0</v>
      </c>
      <c r="L21" s="88">
        <f>SUMIFS('0222 4度C'!$AD:$AD,'0222 4度C'!$A:$A,"新豐9線",'0222 4度C'!$B:$B,"平均")</f>
        <v>0</v>
      </c>
      <c r="M21" s="89">
        <f>SUMIFS('0222 4度C'!$AD:$AD,'0222 4度C'!$A:$A,"新豐4線",'0222 4度C'!$B:$B,"平均")</f>
        <v>0</v>
      </c>
    </row>
    <row r="22" spans="2:13" ht="17.25" customHeight="1">
      <c r="B22" s="105" t="s">
        <v>1922</v>
      </c>
      <c r="C22" s="106"/>
      <c r="D22" s="91">
        <f>SUMIFS('0222 4度C'!$I:$I,'0222 4度C'!$A:$A,"新豐6線",'0222 4度C'!$B:$B,"平均")</f>
        <v>17.600000000000001</v>
      </c>
      <c r="E22" s="92">
        <f>SUMIFS('0222 4度C'!$I:$I,'0222 4度C'!$A:$A,"新豐2線",'0222 4度C'!$B:$B,"平均")</f>
        <v>18</v>
      </c>
      <c r="F22" s="92">
        <f>SUMIFS('0222 4度C'!$I:$I,'0222 4度C'!$A:$A,"新豐5線",'0222 4度C'!$B:$B,"平均")</f>
        <v>17.125</v>
      </c>
      <c r="G22" s="92">
        <f>SUMIFS('0222 4度C'!$I:$I,'0222 4度C'!$A:$A,"新豐7線",'0222 4度C'!$B:$B,"平均")</f>
        <v>14.833333333333334</v>
      </c>
      <c r="H22" s="92">
        <f>SUMIFS('0222 4度C'!$I:$I,'0222 4度C'!$A:$A,"新豐3線",'0222 4度C'!$B:$B,"平均")</f>
        <v>9.8181818181818183</v>
      </c>
      <c r="I22" s="92">
        <f>SUMIFS('0222 4度C'!$I:$I,'0222 4度C'!$A:$A,"新豐1線",'0222 4度C'!$B:$B,"平均")</f>
        <v>18.636363636363637</v>
      </c>
      <c r="J22" s="93">
        <f>SUMIFS('0222 4度C'!$I:$I,'0222 4度C'!$A:$A,"新豐10線",'0222 4度C'!$B:$B,"平均")</f>
        <v>10.5</v>
      </c>
      <c r="K22" s="91">
        <f>SUMIFS('0222 4度C'!$I:$I,'0222 4度C'!$A:$A,"新豐8線",'0222 4度C'!$B:$B,"平均")</f>
        <v>18.571428571428573</v>
      </c>
      <c r="L22" s="92">
        <f>SUMIFS('0222 4度C'!$I:$I,'0222 4度C'!$A:$A,"新豐9線",'0222 4度C'!$B:$B,"平均")</f>
        <v>18</v>
      </c>
      <c r="M22" s="93">
        <f>SUMIFS('0222 4度C'!$I:$I,'0222 4度C'!$A:$A,"新豐4線",'0222 4度C'!$B:$B,"平均")</f>
        <v>16.333333333333332</v>
      </c>
    </row>
    <row r="23" spans="2:13" ht="17.25" customHeight="1">
      <c r="B23" s="105" t="s">
        <v>1923</v>
      </c>
      <c r="C23" s="106"/>
      <c r="D23" s="94" t="s">
        <v>191</v>
      </c>
      <c r="E23" s="95" t="s">
        <v>192</v>
      </c>
      <c r="F23" s="95" t="s">
        <v>1924</v>
      </c>
      <c r="G23" s="95" t="s">
        <v>1924</v>
      </c>
      <c r="H23" s="95" t="s">
        <v>194</v>
      </c>
      <c r="I23" s="95" t="s">
        <v>191</v>
      </c>
      <c r="J23" s="96" t="s">
        <v>194</v>
      </c>
      <c r="K23" s="94" t="s">
        <v>1925</v>
      </c>
      <c r="L23" s="95" t="s">
        <v>1925</v>
      </c>
      <c r="M23" s="96" t="s">
        <v>1925</v>
      </c>
    </row>
    <row r="24" spans="2:13" ht="17.25" customHeight="1">
      <c r="B24" s="105" t="s">
        <v>1926</v>
      </c>
      <c r="C24" s="106"/>
      <c r="D24" s="94"/>
      <c r="E24" s="95"/>
      <c r="F24" s="95" t="s">
        <v>1927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1928</v>
      </c>
      <c r="C25" s="108"/>
      <c r="D25" s="97"/>
      <c r="E25" s="98" t="s">
        <v>1929</v>
      </c>
      <c r="F25" s="101" t="s">
        <v>1930</v>
      </c>
      <c r="G25" s="102"/>
      <c r="H25" s="98" t="s">
        <v>1931</v>
      </c>
      <c r="I25" s="98" t="s">
        <v>1932</v>
      </c>
      <c r="J25" s="99" t="s">
        <v>1931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1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3">
    <pageSetUpPr fitToPage="1"/>
  </sheetPr>
  <dimension ref="A1:AG84"/>
  <sheetViews>
    <sheetView zoomScale="80" zoomScaleNormal="80" workbookViewId="0">
      <pane ySplit="4" topLeftCell="A56" activePane="bottomLeft" state="frozen"/>
      <selection activeCell="A10" sqref="A10"/>
      <selection pane="bottomLeft" activeCell="V64" sqref="V64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1933</v>
      </c>
      <c r="B1" s="1"/>
      <c r="C1" s="2" t="s">
        <v>1934</v>
      </c>
      <c r="D1" s="3">
        <f>SUM(F5:F83)</f>
        <v>185172</v>
      </c>
      <c r="E1" s="4" t="s">
        <v>1935</v>
      </c>
      <c r="F1" s="1">
        <f>SUM(G5:G83)</f>
        <v>6313819.5600000005</v>
      </c>
      <c r="G1" s="1" t="s">
        <v>1936</v>
      </c>
      <c r="H1" s="5">
        <f>L10+L13+L57+L69+L22+L76+L37+L45+L29+L83</f>
        <v>159.4176406926407</v>
      </c>
      <c r="I1" s="214" t="s">
        <v>1937</v>
      </c>
      <c r="J1" s="214"/>
      <c r="K1" s="214"/>
      <c r="L1" s="214" t="s">
        <v>1938</v>
      </c>
      <c r="M1" s="214"/>
      <c r="N1" s="214"/>
      <c r="O1" s="214" t="s">
        <v>1939</v>
      </c>
      <c r="P1" s="214"/>
      <c r="Q1" s="214"/>
      <c r="R1" s="214"/>
      <c r="S1" s="214" t="s">
        <v>1940</v>
      </c>
      <c r="T1" s="214"/>
      <c r="U1" s="214"/>
      <c r="V1" s="214"/>
      <c r="W1" s="214"/>
      <c r="X1" s="214"/>
      <c r="Y1" s="6" t="s">
        <v>1941</v>
      </c>
      <c r="Z1" s="7" t="s">
        <v>1942</v>
      </c>
      <c r="AA1" s="215" t="s">
        <v>1943</v>
      </c>
      <c r="AB1" s="215"/>
      <c r="AC1" s="8" t="s">
        <v>1944</v>
      </c>
      <c r="AD1" s="7" t="s">
        <v>1945</v>
      </c>
      <c r="AE1" s="214" t="s">
        <v>1946</v>
      </c>
      <c r="AF1" s="216"/>
      <c r="AG1" s="216"/>
    </row>
    <row r="2" spans="1:33" ht="26.25" customHeight="1">
      <c r="A2" s="35">
        <v>46075</v>
      </c>
      <c r="B2" s="36" t="s">
        <v>77</v>
      </c>
      <c r="C2" s="2" t="s">
        <v>1947</v>
      </c>
      <c r="D2" s="10">
        <f>AVERAGE(N10,N13,N57,N69,N22,N76,N29,N37,N45,N83)</f>
        <v>140.11003533195435</v>
      </c>
      <c r="E2" s="11" t="s">
        <v>14</v>
      </c>
      <c r="F2" s="12">
        <f>F1/D1</f>
        <v>34.097053334197398</v>
      </c>
      <c r="G2" s="1" t="s">
        <v>1948</v>
      </c>
      <c r="H2" s="13">
        <f>COUNT(H5:H83)</f>
        <v>15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SUM(Y10+Y13+Y22+Y29+Y37+Y45+Y57+Y69+Y76+Y83)</f>
        <v>0</v>
      </c>
      <c r="Z2" s="14">
        <f>SUM(Z10+Z13+Z22+Z29+Z37+Z45+Z57+Z69+Z76+Z83)</f>
        <v>0</v>
      </c>
      <c r="AA2" s="215"/>
      <c r="AB2" s="215"/>
      <c r="AC2" s="14">
        <v>69</v>
      </c>
      <c r="AD2" s="14">
        <f>SUM(AD10+AD13+AD22+AD29+AD37+AD45+AD57+AD69+AD76+AD83)</f>
        <v>0</v>
      </c>
      <c r="AE2" s="216"/>
      <c r="AF2" s="216"/>
      <c r="AG2" s="216"/>
    </row>
    <row r="3" spans="1:33" ht="40.5" customHeight="1">
      <c r="A3" s="164" t="s">
        <v>1949</v>
      </c>
      <c r="B3" s="164" t="s">
        <v>1950</v>
      </c>
      <c r="C3" s="164" t="s">
        <v>1951</v>
      </c>
      <c r="D3" s="164"/>
      <c r="E3" s="212" t="s">
        <v>1952</v>
      </c>
      <c r="F3" s="164" t="s">
        <v>1953</v>
      </c>
      <c r="G3" s="212" t="s">
        <v>1954</v>
      </c>
      <c r="H3" s="206" t="s">
        <v>1955</v>
      </c>
      <c r="I3" s="204" t="s">
        <v>1956</v>
      </c>
      <c r="J3" s="201" t="s">
        <v>1957</v>
      </c>
      <c r="K3" s="211" t="s">
        <v>1958</v>
      </c>
      <c r="L3" s="204" t="s">
        <v>1956</v>
      </c>
      <c r="M3" s="201" t="s">
        <v>1959</v>
      </c>
      <c r="N3" s="211" t="s">
        <v>1960</v>
      </c>
      <c r="O3" s="204" t="s">
        <v>1961</v>
      </c>
      <c r="P3" s="211" t="s">
        <v>1962</v>
      </c>
      <c r="Q3" s="202" t="s">
        <v>1963</v>
      </c>
      <c r="R3" s="182" t="s">
        <v>1964</v>
      </c>
      <c r="S3" s="164" t="s">
        <v>30</v>
      </c>
      <c r="T3" s="164"/>
      <c r="U3" s="206" t="s">
        <v>31</v>
      </c>
      <c r="V3" s="206" t="s">
        <v>1965</v>
      </c>
      <c r="W3" s="164" t="s">
        <v>1966</v>
      </c>
      <c r="X3" s="164"/>
      <c r="Y3" s="207" t="s">
        <v>1967</v>
      </c>
      <c r="Z3" s="168"/>
      <c r="AA3" s="208" t="s">
        <v>1968</v>
      </c>
      <c r="AB3" s="209"/>
      <c r="AC3" s="207" t="s">
        <v>1969</v>
      </c>
      <c r="AD3" s="168"/>
      <c r="AE3" s="201" t="s">
        <v>1959</v>
      </c>
      <c r="AF3" s="202" t="s">
        <v>1970</v>
      </c>
      <c r="AG3" s="182" t="s">
        <v>1971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1972</v>
      </c>
      <c r="X4" s="4" t="s">
        <v>1973</v>
      </c>
      <c r="Y4" s="15" t="s">
        <v>1974</v>
      </c>
      <c r="Z4" s="15" t="s">
        <v>1975</v>
      </c>
      <c r="AA4" s="210"/>
      <c r="AB4" s="209"/>
      <c r="AC4" s="15" t="s">
        <v>1976</v>
      </c>
      <c r="AD4" s="15" t="s">
        <v>1977</v>
      </c>
      <c r="AE4" s="201"/>
      <c r="AF4" s="202"/>
      <c r="AG4" s="182"/>
    </row>
    <row r="5" spans="1:33">
      <c r="A5" s="203" t="s">
        <v>1978</v>
      </c>
      <c r="B5" s="37" t="s">
        <v>78</v>
      </c>
      <c r="C5" s="205" t="s">
        <v>79</v>
      </c>
      <c r="D5" s="205"/>
      <c r="E5" s="37">
        <v>50.67</v>
      </c>
      <c r="F5" s="4">
        <v>1827</v>
      </c>
      <c r="G5" s="4">
        <f t="shared" ref="G5:G9" si="0">E5*F5</f>
        <v>92574.09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9" si="2">F5/V5*60</f>
        <v>1923.1578947368434</v>
      </c>
      <c r="N5" s="17">
        <f t="shared" ref="N5:N68" si="3">M5/L5</f>
        <v>113.1269349845202</v>
      </c>
      <c r="O5" s="19">
        <f t="shared" ref="O5:O68" si="4">L5-I5</f>
        <v>0</v>
      </c>
      <c r="P5" s="20">
        <f t="shared" ref="P5:P68" si="5">N5-K5</f>
        <v>-4.5201238390092016</v>
      </c>
      <c r="Q5" s="21">
        <f t="shared" ref="Q5:Q68" si="6">N5/K5</f>
        <v>0.96157894736842175</v>
      </c>
      <c r="R5" s="172">
        <f>Q10</f>
        <v>0.96492506329421979</v>
      </c>
      <c r="S5" s="28">
        <v>0.70833333333333337</v>
      </c>
      <c r="T5" s="28">
        <v>0.74791666666666667</v>
      </c>
      <c r="U5" s="4"/>
      <c r="V5" s="22">
        <f t="shared" ref="V5:V9" si="7">(T5-S5)*24*60</f>
        <v>56.999999999999957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68" si="8">M5-J5</f>
        <v>-76.842105263156554</v>
      </c>
      <c r="AF5" s="21">
        <f t="shared" ref="AF5:AF68" si="9">M5/J5</f>
        <v>0.96157894736842175</v>
      </c>
      <c r="AG5" s="172">
        <f>AF10</f>
        <v>0.96492506329421979</v>
      </c>
    </row>
    <row r="6" spans="1:33">
      <c r="A6" s="204" t="s">
        <v>1979</v>
      </c>
      <c r="B6" s="37" t="s">
        <v>78</v>
      </c>
      <c r="C6" s="205" t="s">
        <v>80</v>
      </c>
      <c r="D6" s="205"/>
      <c r="E6" s="37">
        <v>54.09</v>
      </c>
      <c r="F6" s="4">
        <v>1494</v>
      </c>
      <c r="G6" s="4">
        <f t="shared" si="0"/>
        <v>80810.460000000006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1907.2340425531918</v>
      </c>
      <c r="N6" s="17">
        <f t="shared" si="3"/>
        <v>100.38073908174694</v>
      </c>
      <c r="O6" s="19">
        <f t="shared" si="4"/>
        <v>0</v>
      </c>
      <c r="P6" s="20">
        <f t="shared" si="5"/>
        <v>-4.8824188129898971</v>
      </c>
      <c r="Q6" s="21">
        <f t="shared" si="6"/>
        <v>0.95361702127659598</v>
      </c>
      <c r="R6" s="172"/>
      <c r="S6" s="28">
        <v>0.75347222222222221</v>
      </c>
      <c r="T6" s="28">
        <v>0.78611111111111109</v>
      </c>
      <c r="U6" s="4">
        <f t="shared" ref="U6:U9" si="10">IF(S6=TIME(17,0,0),"",(S6-T5)*24*60)</f>
        <v>7.9999999999999716</v>
      </c>
      <c r="V6" s="22">
        <f t="shared" si="7"/>
        <v>46.999999999999993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-92.765957446808216</v>
      </c>
      <c r="AF6" s="21">
        <f t="shared" si="9"/>
        <v>0.95361702127659587</v>
      </c>
      <c r="AG6" s="172"/>
    </row>
    <row r="7" spans="1:33">
      <c r="A7" s="204" t="s">
        <v>1980</v>
      </c>
      <c r="B7" s="37" t="s">
        <v>78</v>
      </c>
      <c r="C7" s="196" t="s">
        <v>81</v>
      </c>
      <c r="D7" s="197"/>
      <c r="E7" s="37">
        <v>50.29</v>
      </c>
      <c r="F7" s="4">
        <v>760</v>
      </c>
      <c r="G7" s="4">
        <f t="shared" si="0"/>
        <v>38220.400000000001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1982.6086956521674</v>
      </c>
      <c r="N7" s="17">
        <f t="shared" si="3"/>
        <v>123.91304347826046</v>
      </c>
      <c r="O7" s="19">
        <f t="shared" si="4"/>
        <v>0</v>
      </c>
      <c r="P7" s="20">
        <f t="shared" si="5"/>
        <v>-1.0869565217395376</v>
      </c>
      <c r="Q7" s="21">
        <f t="shared" si="6"/>
        <v>0.99130434782608368</v>
      </c>
      <c r="R7" s="172"/>
      <c r="S7" s="28">
        <v>0.79027777777777775</v>
      </c>
      <c r="T7" s="28">
        <v>0.80625000000000002</v>
      </c>
      <c r="U7" s="4">
        <f t="shared" si="10"/>
        <v>5.9999999999999787</v>
      </c>
      <c r="V7" s="22">
        <f t="shared" si="7"/>
        <v>23.000000000000078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-17.391304347832602</v>
      </c>
      <c r="AF7" s="21">
        <f t="shared" si="9"/>
        <v>0.99130434782608368</v>
      </c>
      <c r="AG7" s="172"/>
    </row>
    <row r="8" spans="1:33">
      <c r="A8" s="204" t="s">
        <v>1981</v>
      </c>
      <c r="B8" s="37" t="s">
        <v>78</v>
      </c>
      <c r="C8" s="196" t="s">
        <v>82</v>
      </c>
      <c r="D8" s="197"/>
      <c r="E8" s="37">
        <v>57.3</v>
      </c>
      <c r="F8" s="4">
        <v>1539</v>
      </c>
      <c r="G8" s="4">
        <f t="shared" si="0"/>
        <v>88184.7</v>
      </c>
      <c r="H8" s="22" t="s">
        <v>139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1923.7500000000005</v>
      </c>
      <c r="N8" s="17">
        <f t="shared" si="3"/>
        <v>128.25000000000003</v>
      </c>
      <c r="O8" s="19">
        <f t="shared" si="4"/>
        <v>0</v>
      </c>
      <c r="P8" s="20">
        <f t="shared" si="5"/>
        <v>-5.0833333333333144</v>
      </c>
      <c r="Q8" s="21">
        <f t="shared" si="6"/>
        <v>0.96187500000000015</v>
      </c>
      <c r="R8" s="172"/>
      <c r="S8" s="28">
        <v>0.81180555555555556</v>
      </c>
      <c r="T8" s="28">
        <v>0.84513888888888888</v>
      </c>
      <c r="U8" s="4">
        <f t="shared" si="10"/>
        <v>7.9999999999999716</v>
      </c>
      <c r="V8" s="22">
        <f t="shared" si="7"/>
        <v>47.999999999999986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-76.249999999999545</v>
      </c>
      <c r="AF8" s="21">
        <f t="shared" si="9"/>
        <v>0.96187500000000026</v>
      </c>
      <c r="AG8" s="172"/>
    </row>
    <row r="9" spans="1:33">
      <c r="A9" s="204" t="s">
        <v>1981</v>
      </c>
      <c r="B9" s="37" t="s">
        <v>78</v>
      </c>
      <c r="C9" s="196" t="s">
        <v>83</v>
      </c>
      <c r="D9" s="197"/>
      <c r="E9" s="37">
        <v>50.67</v>
      </c>
      <c r="F9" s="4">
        <v>765</v>
      </c>
      <c r="G9" s="4">
        <f t="shared" si="0"/>
        <v>38762.550000000003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1912.4999999999941</v>
      </c>
      <c r="N9" s="17">
        <f t="shared" si="3"/>
        <v>91.071428571428285</v>
      </c>
      <c r="O9" s="19">
        <f t="shared" si="4"/>
        <v>0</v>
      </c>
      <c r="P9" s="20">
        <f t="shared" si="5"/>
        <v>-4.1666666666669556</v>
      </c>
      <c r="Q9" s="21">
        <f t="shared" si="6"/>
        <v>0.95624999999999694</v>
      </c>
      <c r="R9" s="172"/>
      <c r="S9" s="28">
        <v>0.85069444444444442</v>
      </c>
      <c r="T9" s="28">
        <v>0.86736111111111114</v>
      </c>
      <c r="U9" s="4">
        <f t="shared" si="10"/>
        <v>7.9999999999999716</v>
      </c>
      <c r="V9" s="22">
        <f t="shared" si="7"/>
        <v>24.000000000000075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-87.500000000005912</v>
      </c>
      <c r="AF9" s="21">
        <f t="shared" si="9"/>
        <v>0.95624999999999705</v>
      </c>
      <c r="AG9" s="172"/>
    </row>
    <row r="10" spans="1:33">
      <c r="A10" s="204" t="s">
        <v>1982</v>
      </c>
      <c r="B10" s="37" t="s">
        <v>1983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1"/>
        <v>113.63636363636363</v>
      </c>
      <c r="L10" s="30">
        <v>17.600000000000001</v>
      </c>
      <c r="M10" s="18">
        <f>AVERAGE(M5:M9)</f>
        <v>1929.8501265884395</v>
      </c>
      <c r="N10" s="17">
        <f t="shared" si="3"/>
        <v>109.65057537434315</v>
      </c>
      <c r="O10" s="19">
        <f t="shared" si="4"/>
        <v>0</v>
      </c>
      <c r="P10" s="20">
        <f t="shared" si="5"/>
        <v>-3.9857882620204776</v>
      </c>
      <c r="Q10" s="21">
        <f t="shared" si="6"/>
        <v>0.96492506329421979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8"/>
        <v>-70.14987341156052</v>
      </c>
      <c r="AF10" s="21">
        <f t="shared" si="9"/>
        <v>0.96492506329421979</v>
      </c>
      <c r="AG10" s="172"/>
    </row>
    <row r="11" spans="1:33" ht="15.75" customHeight="1">
      <c r="A11" s="200" t="s">
        <v>1984</v>
      </c>
      <c r="B11" s="37" t="s">
        <v>84</v>
      </c>
      <c r="C11" s="196" t="s">
        <v>85</v>
      </c>
      <c r="D11" s="197"/>
      <c r="E11" s="37">
        <v>39.619999999999997</v>
      </c>
      <c r="F11" s="4">
        <v>3897</v>
      </c>
      <c r="G11" s="4">
        <f t="shared" ref="G11:G12" si="11">E11*F11</f>
        <v>154399.13999999998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1434.4785276073619</v>
      </c>
      <c r="N11" s="17">
        <f t="shared" si="3"/>
        <v>75.498869874071673</v>
      </c>
      <c r="O11" s="19">
        <f t="shared" si="4"/>
        <v>0</v>
      </c>
      <c r="P11" s="20">
        <f t="shared" si="5"/>
        <v>-3.4484985469809573</v>
      </c>
      <c r="Q11" s="21">
        <f t="shared" si="6"/>
        <v>0.95631901840490785</v>
      </c>
      <c r="R11" s="172">
        <f>Q13</f>
        <v>0.95517018535903753</v>
      </c>
      <c r="S11" s="28">
        <v>0.20833333333333334</v>
      </c>
      <c r="T11" s="28">
        <v>0.3215277777777778</v>
      </c>
      <c r="U11" s="4"/>
      <c r="V11" s="22">
        <f t="shared" ref="V11:V12" si="13">(T11-S11)*24*60</f>
        <v>163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-65.521472392638088</v>
      </c>
      <c r="AF11" s="21">
        <f t="shared" si="9"/>
        <v>0.95631901840490796</v>
      </c>
      <c r="AG11" s="172">
        <f>AF13</f>
        <v>0.95517018535903753</v>
      </c>
    </row>
    <row r="12" spans="1:33" ht="15.75" customHeight="1">
      <c r="A12" s="200" t="s">
        <v>1985</v>
      </c>
      <c r="B12" s="37" t="s">
        <v>84</v>
      </c>
      <c r="C12" s="196" t="s">
        <v>86</v>
      </c>
      <c r="D12" s="197"/>
      <c r="E12" s="37">
        <v>39.799999999999997</v>
      </c>
      <c r="F12" s="4">
        <v>6702</v>
      </c>
      <c r="G12" s="4">
        <f t="shared" si="11"/>
        <v>266739.59999999998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1431.0320284697509</v>
      </c>
      <c r="N12" s="17">
        <f t="shared" si="3"/>
        <v>84.178354615867704</v>
      </c>
      <c r="O12" s="19">
        <f t="shared" si="4"/>
        <v>0</v>
      </c>
      <c r="P12" s="20">
        <f t="shared" si="5"/>
        <v>-4.0569395017793539</v>
      </c>
      <c r="Q12" s="21">
        <f t="shared" si="6"/>
        <v>0.95402135231316731</v>
      </c>
      <c r="R12" s="172"/>
      <c r="S12" s="28">
        <v>0.32569444444444445</v>
      </c>
      <c r="T12" s="28">
        <v>0.52083333333333337</v>
      </c>
      <c r="U12" s="4">
        <f t="shared" ref="U12" si="14">IF(S12=TIME(17,0,0),"",(S12-T11)*24*60)</f>
        <v>5.9999999999999787</v>
      </c>
      <c r="V12" s="22">
        <f t="shared" si="13"/>
        <v>281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-68.967971530249088</v>
      </c>
      <c r="AF12" s="21">
        <f t="shared" si="9"/>
        <v>0.95402135231316731</v>
      </c>
      <c r="AG12" s="172"/>
    </row>
    <row r="13" spans="1:33" ht="16.5" customHeight="1">
      <c r="A13" s="200" t="s">
        <v>1986</v>
      </c>
      <c r="B13" s="37" t="s">
        <v>1987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1432.7552780385563</v>
      </c>
      <c r="N13" s="17">
        <f t="shared" si="3"/>
        <v>79.597515446586456</v>
      </c>
      <c r="O13" s="19">
        <f t="shared" si="4"/>
        <v>0</v>
      </c>
      <c r="P13" s="20">
        <f t="shared" si="5"/>
        <v>-3.7358178867468723</v>
      </c>
      <c r="Q13" s="21">
        <f t="shared" si="6"/>
        <v>0.95517018535903753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8"/>
        <v>-67.244721961443702</v>
      </c>
      <c r="AF13" s="21">
        <f t="shared" si="9"/>
        <v>0.95517018535903753</v>
      </c>
      <c r="AG13" s="172"/>
    </row>
    <row r="14" spans="1:33" ht="16.5" customHeight="1">
      <c r="A14" s="198" t="s">
        <v>1988</v>
      </c>
      <c r="B14" s="4" t="s">
        <v>87</v>
      </c>
      <c r="C14" s="190" t="s">
        <v>88</v>
      </c>
      <c r="D14" s="190"/>
      <c r="E14" s="37">
        <v>41</v>
      </c>
      <c r="F14" s="4">
        <v>2671</v>
      </c>
      <c r="G14" s="4">
        <f t="shared" ref="G14:G21" si="15">E14*F14</f>
        <v>109511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21" si="16">F14/V14*60</f>
        <v>1430.8928571428578</v>
      </c>
      <c r="N14" s="17">
        <f t="shared" si="3"/>
        <v>55.034340659340685</v>
      </c>
      <c r="O14" s="19">
        <f t="shared" si="4"/>
        <v>0</v>
      </c>
      <c r="P14" s="20">
        <f t="shared" si="5"/>
        <v>-2.657967032967008</v>
      </c>
      <c r="Q14" s="21">
        <f t="shared" si="6"/>
        <v>0.9539285714285719</v>
      </c>
      <c r="R14" s="172">
        <f>Q22</f>
        <v>0.95947313030309023</v>
      </c>
      <c r="S14" s="28">
        <v>0.20833333333333334</v>
      </c>
      <c r="T14" s="28">
        <v>0.28611111111111109</v>
      </c>
      <c r="U14" s="4"/>
      <c r="V14" s="22">
        <f t="shared" ref="V14:V21" si="17">(T14-S14)*24*60</f>
        <v>111.99999999999996</v>
      </c>
      <c r="W14" s="28"/>
      <c r="X14" s="28"/>
      <c r="Y14" s="28"/>
      <c r="Z14" s="28"/>
      <c r="AA14" s="164"/>
      <c r="AB14" s="164"/>
      <c r="AC14" s="25">
        <v>8</v>
      </c>
      <c r="AD14" s="25"/>
      <c r="AE14" s="19">
        <f t="shared" si="8"/>
        <v>-69.107142857142208</v>
      </c>
      <c r="AF14" s="21">
        <f t="shared" si="9"/>
        <v>0.9539285714285719</v>
      </c>
      <c r="AG14" s="172">
        <f>AF22</f>
        <v>0.95947313030309023</v>
      </c>
    </row>
    <row r="15" spans="1:33" ht="16.5" customHeight="1">
      <c r="A15" s="199" t="s">
        <v>1989</v>
      </c>
      <c r="B15" s="4" t="s">
        <v>89</v>
      </c>
      <c r="C15" s="190" t="s">
        <v>90</v>
      </c>
      <c r="D15" s="190"/>
      <c r="E15" s="37">
        <v>72.400000000000006</v>
      </c>
      <c r="F15" s="4">
        <v>627</v>
      </c>
      <c r="G15" s="4">
        <f t="shared" si="15"/>
        <v>45394.8</v>
      </c>
      <c r="H15" s="22" t="s">
        <v>139</v>
      </c>
      <c r="I15" s="16">
        <v>18</v>
      </c>
      <c r="J15" s="18">
        <v>1500</v>
      </c>
      <c r="K15" s="17">
        <f t="shared" si="1"/>
        <v>83.333333333333329</v>
      </c>
      <c r="L15" s="16">
        <v>18</v>
      </c>
      <c r="M15" s="18">
        <f t="shared" si="16"/>
        <v>1446.9230769230776</v>
      </c>
      <c r="N15" s="17">
        <f t="shared" si="3"/>
        <v>80.384615384615415</v>
      </c>
      <c r="O15" s="19">
        <f t="shared" si="4"/>
        <v>0</v>
      </c>
      <c r="P15" s="20">
        <f t="shared" si="5"/>
        <v>-2.9487179487179134</v>
      </c>
      <c r="Q15" s="21">
        <f t="shared" si="6"/>
        <v>0.96461538461538499</v>
      </c>
      <c r="R15" s="172"/>
      <c r="S15" s="28">
        <v>0.29027777777777775</v>
      </c>
      <c r="T15" s="28">
        <v>0.30833333333333329</v>
      </c>
      <c r="U15" s="4">
        <f t="shared" ref="U15:U21" si="18">IF(S15=TIME(17,0,0),"",(S15-T14)*24*60)</f>
        <v>5.9999999999999787</v>
      </c>
      <c r="V15" s="22">
        <f t="shared" si="17"/>
        <v>25.999999999999986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-53.076923076922412</v>
      </c>
      <c r="AF15" s="21">
        <f t="shared" si="9"/>
        <v>0.9646153846153851</v>
      </c>
      <c r="AG15" s="172"/>
    </row>
    <row r="16" spans="1:33" ht="16.5" customHeight="1">
      <c r="A16" s="199" t="s">
        <v>1989</v>
      </c>
      <c r="B16" s="4" t="s">
        <v>78</v>
      </c>
      <c r="C16" s="190" t="s">
        <v>91</v>
      </c>
      <c r="D16" s="190"/>
      <c r="E16" s="37">
        <v>50.98</v>
      </c>
      <c r="F16" s="4">
        <v>1000</v>
      </c>
      <c r="G16" s="4">
        <f t="shared" si="15"/>
        <v>50980</v>
      </c>
      <c r="H16" s="22">
        <v>2</v>
      </c>
      <c r="I16" s="16">
        <v>16</v>
      </c>
      <c r="J16" s="18">
        <v>2000</v>
      </c>
      <c r="K16" s="17">
        <f t="shared" si="1"/>
        <v>125</v>
      </c>
      <c r="L16" s="16">
        <v>16</v>
      </c>
      <c r="M16" s="18">
        <f t="shared" si="16"/>
        <v>1935.483870967739</v>
      </c>
      <c r="N16" s="17">
        <f t="shared" si="3"/>
        <v>120.96774193548369</v>
      </c>
      <c r="O16" s="19">
        <f t="shared" si="4"/>
        <v>0</v>
      </c>
      <c r="P16" s="20">
        <f t="shared" si="5"/>
        <v>-4.0322580645163129</v>
      </c>
      <c r="Q16" s="21">
        <f t="shared" si="6"/>
        <v>0.96774193548386944</v>
      </c>
      <c r="R16" s="172"/>
      <c r="S16" s="28">
        <v>0.70833333333333337</v>
      </c>
      <c r="T16" s="28">
        <v>0.72986111111111118</v>
      </c>
      <c r="U16" s="4" t="str">
        <f t="shared" si="18"/>
        <v/>
      </c>
      <c r="V16" s="22">
        <f t="shared" si="17"/>
        <v>31.00000000000005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-64.516129032261006</v>
      </c>
      <c r="AF16" s="21">
        <f t="shared" si="9"/>
        <v>0.96774193548386944</v>
      </c>
      <c r="AG16" s="172"/>
    </row>
    <row r="17" spans="1:33" ht="16.5" customHeight="1">
      <c r="A17" s="199" t="s">
        <v>1989</v>
      </c>
      <c r="B17" s="4" t="s">
        <v>78</v>
      </c>
      <c r="C17" s="190" t="s">
        <v>92</v>
      </c>
      <c r="D17" s="190"/>
      <c r="E17" s="37">
        <v>50.92</v>
      </c>
      <c r="F17" s="4">
        <v>1000</v>
      </c>
      <c r="G17" s="4">
        <f t="shared" si="15"/>
        <v>50920</v>
      </c>
      <c r="H17" s="22">
        <v>2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1935.483870967739</v>
      </c>
      <c r="N17" s="17">
        <f t="shared" si="3"/>
        <v>129.03225806451593</v>
      </c>
      <c r="O17" s="19">
        <f t="shared" si="4"/>
        <v>0</v>
      </c>
      <c r="P17" s="20">
        <f t="shared" si="5"/>
        <v>-4.3010752688174136</v>
      </c>
      <c r="Q17" s="21">
        <f t="shared" si="6"/>
        <v>0.96774193548386944</v>
      </c>
      <c r="R17" s="172"/>
      <c r="S17" s="28">
        <v>0.73333333333333339</v>
      </c>
      <c r="T17" s="28">
        <v>0.7548611111111112</v>
      </c>
      <c r="U17" s="4">
        <f t="shared" si="18"/>
        <v>4.9999999999999822</v>
      </c>
      <c r="V17" s="22">
        <f t="shared" si="17"/>
        <v>31.00000000000005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-64.516129032261006</v>
      </c>
      <c r="AF17" s="21">
        <f t="shared" si="9"/>
        <v>0.96774193548386944</v>
      </c>
      <c r="AG17" s="172"/>
    </row>
    <row r="18" spans="1:33" ht="16.5" customHeight="1">
      <c r="A18" s="199" t="s">
        <v>1990</v>
      </c>
      <c r="B18" s="4" t="s">
        <v>78</v>
      </c>
      <c r="C18" s="190" t="s">
        <v>93</v>
      </c>
      <c r="D18" s="190"/>
      <c r="E18" s="37">
        <v>50.67</v>
      </c>
      <c r="F18" s="4">
        <v>2190</v>
      </c>
      <c r="G18" s="4">
        <f t="shared" si="15"/>
        <v>110967.3</v>
      </c>
      <c r="H18" s="22" t="s">
        <v>139</v>
      </c>
      <c r="I18" s="16">
        <v>15</v>
      </c>
      <c r="J18" s="18">
        <v>2000</v>
      </c>
      <c r="K18" s="17">
        <f t="shared" si="1"/>
        <v>133.33333333333334</v>
      </c>
      <c r="L18" s="16">
        <v>15</v>
      </c>
      <c r="M18" s="18">
        <f t="shared" si="16"/>
        <v>1904.3478260869547</v>
      </c>
      <c r="N18" s="17">
        <f t="shared" si="3"/>
        <v>126.95652173913031</v>
      </c>
      <c r="O18" s="19">
        <f t="shared" si="4"/>
        <v>0</v>
      </c>
      <c r="P18" s="20">
        <f t="shared" si="5"/>
        <v>-6.3768115942030335</v>
      </c>
      <c r="Q18" s="21">
        <f t="shared" si="6"/>
        <v>0.9521739130434772</v>
      </c>
      <c r="R18" s="172"/>
      <c r="S18" s="28">
        <v>0.75833333333333341</v>
      </c>
      <c r="T18" s="28">
        <v>0.80625000000000013</v>
      </c>
      <c r="U18" s="4">
        <f t="shared" si="18"/>
        <v>4.9999999999999822</v>
      </c>
      <c r="V18" s="22">
        <f t="shared" si="17"/>
        <v>69.000000000000071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-95.652173913045317</v>
      </c>
      <c r="AF18" s="21">
        <f t="shared" si="9"/>
        <v>0.95217391304347732</v>
      </c>
      <c r="AG18" s="172"/>
    </row>
    <row r="19" spans="1:33" ht="16.5" customHeight="1">
      <c r="A19" s="199" t="s">
        <v>1989</v>
      </c>
      <c r="B19" s="4" t="s">
        <v>78</v>
      </c>
      <c r="C19" s="217" t="s">
        <v>98</v>
      </c>
      <c r="D19" s="218"/>
      <c r="E19" s="37">
        <v>50.67</v>
      </c>
      <c r="F19" s="4">
        <v>1048</v>
      </c>
      <c r="G19" s="4">
        <f t="shared" si="15"/>
        <v>53102.16</v>
      </c>
      <c r="H19" s="22" t="s">
        <v>139</v>
      </c>
      <c r="I19" s="16">
        <v>16</v>
      </c>
      <c r="J19" s="18">
        <v>2000</v>
      </c>
      <c r="K19" s="17">
        <f t="shared" si="1"/>
        <v>125</v>
      </c>
      <c r="L19" s="16">
        <v>16</v>
      </c>
      <c r="M19" s="18">
        <f t="shared" si="16"/>
        <v>1905.454545454543</v>
      </c>
      <c r="N19" s="17">
        <f t="shared" si="3"/>
        <v>119.09090909090894</v>
      </c>
      <c r="O19" s="19">
        <f t="shared" si="4"/>
        <v>0</v>
      </c>
      <c r="P19" s="20">
        <f t="shared" si="5"/>
        <v>-5.9090909090910628</v>
      </c>
      <c r="Q19" s="21">
        <f t="shared" si="6"/>
        <v>0.95272727272727153</v>
      </c>
      <c r="R19" s="172"/>
      <c r="S19" s="28">
        <v>0.81111111111111123</v>
      </c>
      <c r="T19" s="28">
        <v>0.83402777777777792</v>
      </c>
      <c r="U19" s="4">
        <f t="shared" si="18"/>
        <v>6.9999999999999751</v>
      </c>
      <c r="V19" s="22">
        <f t="shared" si="17"/>
        <v>33.000000000000043</v>
      </c>
      <c r="W19" s="23">
        <f>T19</f>
        <v>0.83402777777777792</v>
      </c>
      <c r="X19" s="23">
        <f>S20</f>
        <v>0.87500000000000011</v>
      </c>
      <c r="Y19" s="26"/>
      <c r="Z19" s="26"/>
      <c r="AA19" s="175"/>
      <c r="AB19" s="176"/>
      <c r="AC19" s="25"/>
      <c r="AD19" s="25"/>
      <c r="AE19" s="19">
        <f t="shared" si="8"/>
        <v>-94.545454545457005</v>
      </c>
      <c r="AF19" s="21">
        <f t="shared" si="9"/>
        <v>0.95272727272727153</v>
      </c>
      <c r="AG19" s="172"/>
    </row>
    <row r="20" spans="1:33" ht="16.5" customHeight="1">
      <c r="A20" s="199" t="s">
        <v>1991</v>
      </c>
      <c r="B20" s="4" t="s">
        <v>78</v>
      </c>
      <c r="C20" s="39" t="s">
        <v>92</v>
      </c>
      <c r="D20" s="40"/>
      <c r="E20" s="37">
        <v>50.92</v>
      </c>
      <c r="F20" s="4">
        <v>2145</v>
      </c>
      <c r="G20" s="4">
        <f t="shared" si="15"/>
        <v>109223.40000000001</v>
      </c>
      <c r="H20" s="22" t="s">
        <v>139</v>
      </c>
      <c r="I20" s="16">
        <v>15</v>
      </c>
      <c r="J20" s="18">
        <v>2000</v>
      </c>
      <c r="K20" s="17">
        <f t="shared" si="1"/>
        <v>133.33333333333334</v>
      </c>
      <c r="L20" s="16">
        <v>15</v>
      </c>
      <c r="M20" s="18">
        <f t="shared" si="16"/>
        <v>1920.8955223880573</v>
      </c>
      <c r="N20" s="17">
        <f t="shared" si="3"/>
        <v>128.05970149253716</v>
      </c>
      <c r="O20" s="19">
        <f t="shared" si="4"/>
        <v>0</v>
      </c>
      <c r="P20" s="20">
        <f t="shared" si="5"/>
        <v>-5.2736318407961846</v>
      </c>
      <c r="Q20" s="21">
        <f t="shared" si="6"/>
        <v>0.96044776119402864</v>
      </c>
      <c r="R20" s="172"/>
      <c r="S20" s="28">
        <v>0.87500000000000011</v>
      </c>
      <c r="T20" s="28">
        <v>0.92152777777777795</v>
      </c>
      <c r="U20" s="4">
        <f t="shared" si="18"/>
        <v>58.99999999999995</v>
      </c>
      <c r="V20" s="22">
        <f t="shared" si="17"/>
        <v>67.000000000000085</v>
      </c>
      <c r="W20" s="23"/>
      <c r="X20" s="23"/>
      <c r="Y20" s="26"/>
      <c r="Z20" s="26"/>
      <c r="AA20" s="175"/>
      <c r="AB20" s="176"/>
      <c r="AC20" s="25"/>
      <c r="AD20" s="25"/>
      <c r="AE20" s="19">
        <f t="shared" si="8"/>
        <v>-79.104477611942684</v>
      </c>
      <c r="AF20" s="21">
        <f t="shared" si="9"/>
        <v>0.96044776119402864</v>
      </c>
      <c r="AG20" s="172"/>
    </row>
    <row r="21" spans="1:33" ht="16.5" customHeight="1">
      <c r="A21" s="199" t="s">
        <v>1990</v>
      </c>
      <c r="B21" s="4" t="s">
        <v>78</v>
      </c>
      <c r="C21" s="39" t="s">
        <v>91</v>
      </c>
      <c r="D21" s="40"/>
      <c r="E21" s="37">
        <v>50.98</v>
      </c>
      <c r="F21" s="4">
        <v>2072</v>
      </c>
      <c r="G21" s="4">
        <f t="shared" si="15"/>
        <v>105630.56</v>
      </c>
      <c r="H21" s="22" t="s">
        <v>139</v>
      </c>
      <c r="I21" s="16">
        <v>16</v>
      </c>
      <c r="J21" s="18">
        <v>2000</v>
      </c>
      <c r="K21" s="17">
        <f t="shared" si="1"/>
        <v>125</v>
      </c>
      <c r="L21" s="16">
        <v>16</v>
      </c>
      <c r="M21" s="18">
        <f t="shared" si="16"/>
        <v>1912.6153846153868</v>
      </c>
      <c r="N21" s="17">
        <f t="shared" si="3"/>
        <v>119.53846153846168</v>
      </c>
      <c r="O21" s="19">
        <f t="shared" si="4"/>
        <v>0</v>
      </c>
      <c r="P21" s="20">
        <f t="shared" si="5"/>
        <v>-5.4615384615383249</v>
      </c>
      <c r="Q21" s="21">
        <f t="shared" si="6"/>
        <v>0.95630769230769341</v>
      </c>
      <c r="R21" s="172"/>
      <c r="S21" s="28">
        <v>0.92500000000000016</v>
      </c>
      <c r="T21" s="28">
        <v>0.97013888888888899</v>
      </c>
      <c r="U21" s="4">
        <f t="shared" si="18"/>
        <v>4.9999999999999822</v>
      </c>
      <c r="V21" s="22">
        <f t="shared" si="17"/>
        <v>64.999999999999929</v>
      </c>
      <c r="W21" s="23"/>
      <c r="X21" s="23"/>
      <c r="Y21" s="26"/>
      <c r="Z21" s="26"/>
      <c r="AA21" s="175"/>
      <c r="AB21" s="176"/>
      <c r="AC21" s="25"/>
      <c r="AD21" s="25"/>
      <c r="AE21" s="19">
        <f t="shared" si="8"/>
        <v>-87.384615384613198</v>
      </c>
      <c r="AF21" s="21">
        <f t="shared" si="9"/>
        <v>0.95630769230769341</v>
      </c>
      <c r="AG21" s="172"/>
    </row>
    <row r="22" spans="1:33" ht="16.5" customHeight="1">
      <c r="A22" s="199" t="s">
        <v>1991</v>
      </c>
      <c r="B22" s="37" t="s">
        <v>1992</v>
      </c>
      <c r="C22" s="177"/>
      <c r="D22" s="177"/>
      <c r="E22" s="38"/>
      <c r="F22" s="17"/>
      <c r="G22" s="17"/>
      <c r="H22" s="4"/>
      <c r="I22" s="30">
        <v>17.125</v>
      </c>
      <c r="J22" s="18">
        <v>1875</v>
      </c>
      <c r="K22" s="17">
        <f t="shared" si="1"/>
        <v>109.48905109489051</v>
      </c>
      <c r="L22" s="30">
        <v>17.125</v>
      </c>
      <c r="M22" s="18">
        <f>AVERAGE(M14:M21)</f>
        <v>1799.0121193182943</v>
      </c>
      <c r="N22" s="17">
        <f t="shared" si="3"/>
        <v>105.05180258792959</v>
      </c>
      <c r="O22" s="19">
        <f t="shared" si="4"/>
        <v>0</v>
      </c>
      <c r="P22" s="20">
        <f t="shared" si="5"/>
        <v>-4.4372485069609269</v>
      </c>
      <c r="Q22" s="21">
        <f t="shared" si="6"/>
        <v>0.95947313030309023</v>
      </c>
      <c r="R22" s="172"/>
      <c r="S22" s="28"/>
      <c r="T22" s="28"/>
      <c r="U22" s="4"/>
      <c r="V22" s="22"/>
      <c r="W22" s="17"/>
      <c r="X22" s="17"/>
      <c r="Y22" s="31">
        <f>SUM(Y14:Y21)</f>
        <v>0</v>
      </c>
      <c r="Z22" s="31">
        <f>SUM(Z14:Z21)</f>
        <v>0</v>
      </c>
      <c r="AA22" s="168"/>
      <c r="AB22" s="168"/>
      <c r="AC22" s="31">
        <v>8</v>
      </c>
      <c r="AD22" s="31">
        <f>SUM(AD14:AD21)</f>
        <v>0</v>
      </c>
      <c r="AE22" s="19">
        <f t="shared" si="8"/>
        <v>-75.987880681705747</v>
      </c>
      <c r="AF22" s="21">
        <f t="shared" si="9"/>
        <v>0.95947313030309023</v>
      </c>
      <c r="AG22" s="172"/>
    </row>
    <row r="23" spans="1:33" ht="15.75" customHeight="1">
      <c r="A23" s="194" t="s">
        <v>1993</v>
      </c>
      <c r="B23" s="37" t="s">
        <v>78</v>
      </c>
      <c r="C23" s="190" t="s">
        <v>95</v>
      </c>
      <c r="D23" s="190"/>
      <c r="E23" s="37">
        <v>57.73</v>
      </c>
      <c r="F23" s="4">
        <v>3002</v>
      </c>
      <c r="G23" s="4">
        <f t="shared" ref="G23:G28" si="19">E23*F23</f>
        <v>173305.46</v>
      </c>
      <c r="H23" s="22" t="s">
        <v>139</v>
      </c>
      <c r="I23" s="16">
        <v>14</v>
      </c>
      <c r="J23" s="18">
        <v>2000</v>
      </c>
      <c r="K23" s="17">
        <f t="shared" si="1"/>
        <v>142.85714285714286</v>
      </c>
      <c r="L23" s="16">
        <v>14</v>
      </c>
      <c r="M23" s="18">
        <f t="shared" ref="M23:M28" si="20">F23/V23*60</f>
        <v>1916.1702127659569</v>
      </c>
      <c r="N23" s="17">
        <f t="shared" si="3"/>
        <v>136.86930091185405</v>
      </c>
      <c r="O23" s="19">
        <f t="shared" si="4"/>
        <v>0</v>
      </c>
      <c r="P23" s="20">
        <f t="shared" si="5"/>
        <v>-5.9878419452888068</v>
      </c>
      <c r="Q23" s="21">
        <f t="shared" si="6"/>
        <v>0.95808510638297839</v>
      </c>
      <c r="R23" s="172">
        <f>Q29</f>
        <v>0.96240653177187974</v>
      </c>
      <c r="S23" s="28">
        <v>0.20833333333333334</v>
      </c>
      <c r="T23" s="28">
        <v>0.27361111111111114</v>
      </c>
      <c r="U23" s="4"/>
      <c r="V23" s="22">
        <f t="shared" ref="V23:V28" si="21">(T23-S23)*24*60</f>
        <v>94.000000000000028</v>
      </c>
      <c r="W23" s="28"/>
      <c r="X23" s="28"/>
      <c r="Y23" s="28"/>
      <c r="Z23" s="28"/>
      <c r="AA23" s="164"/>
      <c r="AB23" s="164"/>
      <c r="AC23" s="25">
        <v>6</v>
      </c>
      <c r="AD23" s="25"/>
      <c r="AE23" s="19">
        <f t="shared" si="8"/>
        <v>-83.829787234043124</v>
      </c>
      <c r="AF23" s="21">
        <f t="shared" si="9"/>
        <v>0.95808510638297839</v>
      </c>
      <c r="AG23" s="172">
        <f>AF29</f>
        <v>0.96240653177187963</v>
      </c>
    </row>
    <row r="24" spans="1:33" ht="15.75" customHeight="1">
      <c r="A24" s="195" t="s">
        <v>1994</v>
      </c>
      <c r="B24" s="37" t="s">
        <v>78</v>
      </c>
      <c r="C24" s="190" t="s">
        <v>96</v>
      </c>
      <c r="D24" s="190"/>
      <c r="E24" s="37">
        <v>53.68</v>
      </c>
      <c r="F24" s="4">
        <v>1804</v>
      </c>
      <c r="G24" s="4">
        <f t="shared" si="19"/>
        <v>96838.720000000001</v>
      </c>
      <c r="H24" s="22" t="s">
        <v>139</v>
      </c>
      <c r="I24" s="16">
        <v>16</v>
      </c>
      <c r="J24" s="18">
        <v>2000</v>
      </c>
      <c r="K24" s="17">
        <f t="shared" si="1"/>
        <v>125</v>
      </c>
      <c r="L24" s="16">
        <v>16</v>
      </c>
      <c r="M24" s="18">
        <f t="shared" si="20"/>
        <v>1932.8571428571443</v>
      </c>
      <c r="N24" s="17">
        <f t="shared" si="3"/>
        <v>120.80357142857152</v>
      </c>
      <c r="O24" s="19">
        <f t="shared" si="4"/>
        <v>0</v>
      </c>
      <c r="P24" s="20">
        <f t="shared" si="5"/>
        <v>-4.1964285714284841</v>
      </c>
      <c r="Q24" s="21">
        <f t="shared" si="6"/>
        <v>0.96642857142857208</v>
      </c>
      <c r="R24" s="172"/>
      <c r="S24" s="28">
        <v>0.27708333333333335</v>
      </c>
      <c r="T24" s="28">
        <v>0.31597222222222221</v>
      </c>
      <c r="U24" s="4">
        <f t="shared" ref="U24:U28" si="22">IF(S24=TIME(17,0,0),"",(S24-T23)*24*60)</f>
        <v>4.9999999999999822</v>
      </c>
      <c r="V24" s="22">
        <f t="shared" si="21"/>
        <v>55.999999999999957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-67.142857142855746</v>
      </c>
      <c r="AF24" s="21">
        <f t="shared" si="9"/>
        <v>0.96642857142857208</v>
      </c>
      <c r="AG24" s="172"/>
    </row>
    <row r="25" spans="1:33" ht="15.75" customHeight="1">
      <c r="A25" s="195" t="s">
        <v>1995</v>
      </c>
      <c r="B25" s="37" t="s">
        <v>78</v>
      </c>
      <c r="C25" s="190" t="s">
        <v>97</v>
      </c>
      <c r="D25" s="190"/>
      <c r="E25" s="37">
        <v>50.49</v>
      </c>
      <c r="F25" s="4">
        <v>1000</v>
      </c>
      <c r="G25" s="4">
        <f t="shared" si="19"/>
        <v>50490</v>
      </c>
      <c r="H25" s="22">
        <v>2</v>
      </c>
      <c r="I25" s="16">
        <v>15</v>
      </c>
      <c r="J25" s="18">
        <v>2000</v>
      </c>
      <c r="K25" s="17">
        <f t="shared" si="1"/>
        <v>133.33333333333334</v>
      </c>
      <c r="L25" s="16">
        <v>15</v>
      </c>
      <c r="M25" s="18">
        <f t="shared" si="20"/>
        <v>1935.483870967739</v>
      </c>
      <c r="N25" s="17">
        <f t="shared" si="3"/>
        <v>129.03225806451593</v>
      </c>
      <c r="O25" s="19">
        <f t="shared" si="4"/>
        <v>0</v>
      </c>
      <c r="P25" s="20">
        <f t="shared" si="5"/>
        <v>-4.3010752688174136</v>
      </c>
      <c r="Q25" s="21">
        <f t="shared" si="6"/>
        <v>0.96774193548386944</v>
      </c>
      <c r="R25" s="172"/>
      <c r="S25" s="28">
        <v>0.70833333333333337</v>
      </c>
      <c r="T25" s="28">
        <v>0.72986111111111118</v>
      </c>
      <c r="U25" s="4" t="str">
        <f t="shared" si="22"/>
        <v/>
      </c>
      <c r="V25" s="22">
        <f t="shared" si="21"/>
        <v>31.00000000000005</v>
      </c>
      <c r="W25" s="23"/>
      <c r="X25" s="4"/>
      <c r="Y25" s="4"/>
      <c r="Z25" s="4"/>
      <c r="AA25" s="164"/>
      <c r="AB25" s="164"/>
      <c r="AC25" s="25"/>
      <c r="AD25" s="25"/>
      <c r="AE25" s="19">
        <f t="shared" si="8"/>
        <v>-64.516129032261006</v>
      </c>
      <c r="AF25" s="21">
        <f t="shared" si="9"/>
        <v>0.96774193548386944</v>
      </c>
      <c r="AG25" s="172"/>
    </row>
    <row r="26" spans="1:33" ht="15.75" customHeight="1">
      <c r="A26" s="195" t="s">
        <v>1996</v>
      </c>
      <c r="B26" s="37" t="s">
        <v>78</v>
      </c>
      <c r="C26" s="190" t="s">
        <v>94</v>
      </c>
      <c r="D26" s="190"/>
      <c r="E26" s="37">
        <v>57.3</v>
      </c>
      <c r="F26" s="4">
        <v>2537</v>
      </c>
      <c r="G26" s="4">
        <f t="shared" si="19"/>
        <v>145370.1</v>
      </c>
      <c r="H26" s="22" t="s">
        <v>139</v>
      </c>
      <c r="I26" s="16">
        <v>13</v>
      </c>
      <c r="J26" s="18">
        <v>2000</v>
      </c>
      <c r="K26" s="17">
        <f t="shared" si="1"/>
        <v>153.84615384615384</v>
      </c>
      <c r="L26" s="16">
        <v>13</v>
      </c>
      <c r="M26" s="18">
        <f t="shared" si="20"/>
        <v>1926.8354430379738</v>
      </c>
      <c r="N26" s="17">
        <f t="shared" si="3"/>
        <v>148.21811100292106</v>
      </c>
      <c r="O26" s="19">
        <f t="shared" si="4"/>
        <v>0</v>
      </c>
      <c r="P26" s="20">
        <f t="shared" si="5"/>
        <v>-5.6280428432327767</v>
      </c>
      <c r="Q26" s="21">
        <f t="shared" si="6"/>
        <v>0.96341772151898697</v>
      </c>
      <c r="R26" s="172"/>
      <c r="S26" s="28">
        <v>0.73472222222222228</v>
      </c>
      <c r="T26" s="28">
        <v>0.78958333333333341</v>
      </c>
      <c r="U26" s="4">
        <f t="shared" si="22"/>
        <v>6.9999999999999751</v>
      </c>
      <c r="V26" s="22">
        <f t="shared" si="21"/>
        <v>79.000000000000043</v>
      </c>
      <c r="W26" s="23"/>
      <c r="X26" s="4"/>
      <c r="Y26" s="4"/>
      <c r="Z26" s="4"/>
      <c r="AA26" s="164"/>
      <c r="AB26" s="164"/>
      <c r="AC26" s="25"/>
      <c r="AD26" s="25"/>
      <c r="AE26" s="19">
        <f t="shared" si="8"/>
        <v>-73.164556962026154</v>
      </c>
      <c r="AF26" s="21">
        <f t="shared" si="9"/>
        <v>0.96341772151898697</v>
      </c>
      <c r="AG26" s="172"/>
    </row>
    <row r="27" spans="1:33" ht="15.75" customHeight="1">
      <c r="A27" s="195" t="s">
        <v>1994</v>
      </c>
      <c r="B27" s="37" t="s">
        <v>78</v>
      </c>
      <c r="C27" s="190" t="s">
        <v>99</v>
      </c>
      <c r="D27" s="190"/>
      <c r="E27" s="37">
        <v>53.68</v>
      </c>
      <c r="F27" s="4">
        <v>2228</v>
      </c>
      <c r="G27" s="4">
        <f t="shared" si="19"/>
        <v>119599.03999999999</v>
      </c>
      <c r="H27" s="22" t="s">
        <v>139</v>
      </c>
      <c r="I27" s="16">
        <v>16</v>
      </c>
      <c r="J27" s="18">
        <v>1500</v>
      </c>
      <c r="K27" s="17">
        <f t="shared" si="1"/>
        <v>93.75</v>
      </c>
      <c r="L27" s="16">
        <v>16</v>
      </c>
      <c r="M27" s="18">
        <f t="shared" si="20"/>
        <v>1437.41935483871</v>
      </c>
      <c r="N27" s="17">
        <f t="shared" si="3"/>
        <v>89.838709677419374</v>
      </c>
      <c r="O27" s="19">
        <f t="shared" si="4"/>
        <v>0</v>
      </c>
      <c r="P27" s="20">
        <f t="shared" si="5"/>
        <v>-3.9112903225806264</v>
      </c>
      <c r="Q27" s="21">
        <f t="shared" si="6"/>
        <v>0.95827956989247332</v>
      </c>
      <c r="R27" s="172"/>
      <c r="S27" s="28">
        <v>0.79444444444444451</v>
      </c>
      <c r="T27" s="28">
        <v>0.85902777777777783</v>
      </c>
      <c r="U27" s="4">
        <f t="shared" si="22"/>
        <v>6.9999999999999751</v>
      </c>
      <c r="V27" s="22">
        <f t="shared" si="21"/>
        <v>92.999999999999986</v>
      </c>
      <c r="W27" s="23">
        <f>T27</f>
        <v>0.85902777777777783</v>
      </c>
      <c r="X27" s="23">
        <f>S28</f>
        <v>0.90069444444444446</v>
      </c>
      <c r="Y27" s="4"/>
      <c r="Z27" s="4"/>
      <c r="AA27" s="164"/>
      <c r="AB27" s="164"/>
      <c r="AC27" s="25"/>
      <c r="AD27" s="25"/>
      <c r="AE27" s="19">
        <f t="shared" si="8"/>
        <v>-62.580645161290022</v>
      </c>
      <c r="AF27" s="21">
        <f t="shared" si="9"/>
        <v>0.95827956989247332</v>
      </c>
      <c r="AG27" s="172"/>
    </row>
    <row r="28" spans="1:33" ht="15.75" customHeight="1">
      <c r="A28" s="195" t="s">
        <v>1995</v>
      </c>
      <c r="B28" s="37" t="s">
        <v>78</v>
      </c>
      <c r="C28" s="190" t="s">
        <v>97</v>
      </c>
      <c r="D28" s="190"/>
      <c r="E28" s="37">
        <v>50.49</v>
      </c>
      <c r="F28" s="4">
        <v>1759</v>
      </c>
      <c r="G28" s="4">
        <f t="shared" si="19"/>
        <v>88811.91</v>
      </c>
      <c r="H28" s="22" t="s">
        <v>139</v>
      </c>
      <c r="I28" s="16">
        <v>15</v>
      </c>
      <c r="J28" s="18">
        <v>2000</v>
      </c>
      <c r="K28" s="17">
        <f t="shared" si="1"/>
        <v>133.33333333333334</v>
      </c>
      <c r="L28" s="16">
        <v>15</v>
      </c>
      <c r="M28" s="18">
        <f t="shared" si="20"/>
        <v>1918.9090909090921</v>
      </c>
      <c r="N28" s="17">
        <f t="shared" si="3"/>
        <v>127.92727272727281</v>
      </c>
      <c r="O28" s="19">
        <f t="shared" si="4"/>
        <v>0</v>
      </c>
      <c r="P28" s="20">
        <f t="shared" si="5"/>
        <v>-5.4060606060605352</v>
      </c>
      <c r="Q28" s="21">
        <f t="shared" si="6"/>
        <v>0.959454545454546</v>
      </c>
      <c r="R28" s="172"/>
      <c r="S28" s="28">
        <v>0.90069444444444446</v>
      </c>
      <c r="T28" s="28">
        <v>0.93888888888888888</v>
      </c>
      <c r="U28" s="4">
        <f t="shared" si="22"/>
        <v>59.999999999999943</v>
      </c>
      <c r="V28" s="22">
        <f t="shared" si="21"/>
        <v>54.999999999999964</v>
      </c>
      <c r="W28" s="23"/>
      <c r="X28" s="28"/>
      <c r="Y28" s="28"/>
      <c r="Z28" s="28"/>
      <c r="AA28" s="164"/>
      <c r="AB28" s="164"/>
      <c r="AC28" s="25"/>
      <c r="AD28" s="25"/>
      <c r="AE28" s="19">
        <f t="shared" si="8"/>
        <v>-81.090909090907871</v>
      </c>
      <c r="AF28" s="21">
        <f t="shared" si="9"/>
        <v>0.95945454545454611</v>
      </c>
      <c r="AG28" s="172"/>
    </row>
    <row r="29" spans="1:33" ht="15.75" customHeight="1">
      <c r="A29" s="195" t="s">
        <v>1997</v>
      </c>
      <c r="B29" s="37" t="s">
        <v>1998</v>
      </c>
      <c r="C29" s="177"/>
      <c r="D29" s="177"/>
      <c r="E29" s="38"/>
      <c r="F29" s="4"/>
      <c r="G29" s="4"/>
      <c r="H29" s="4"/>
      <c r="I29" s="30">
        <v>14.833333333333334</v>
      </c>
      <c r="J29" s="18">
        <v>1916.6666666666667</v>
      </c>
      <c r="K29" s="17">
        <f t="shared" si="1"/>
        <v>129.2134831460674</v>
      </c>
      <c r="L29" s="30">
        <v>14.833333333333334</v>
      </c>
      <c r="M29" s="18">
        <f>AVERAGE(M23:M28)</f>
        <v>1844.612519229436</v>
      </c>
      <c r="N29" s="17">
        <f t="shared" si="3"/>
        <v>124.35590017277096</v>
      </c>
      <c r="O29" s="19">
        <f t="shared" si="4"/>
        <v>0</v>
      </c>
      <c r="P29" s="20">
        <f t="shared" si="5"/>
        <v>-4.8575829732964451</v>
      </c>
      <c r="Q29" s="21">
        <f t="shared" si="6"/>
        <v>0.96240653177187974</v>
      </c>
      <c r="R29" s="172"/>
      <c r="S29" s="28"/>
      <c r="T29" s="28"/>
      <c r="U29" s="17"/>
      <c r="V29" s="22"/>
      <c r="W29" s="17"/>
      <c r="X29" s="17"/>
      <c r="Y29" s="31">
        <f>SUM(Y23:Y28)</f>
        <v>0</v>
      </c>
      <c r="Z29" s="31">
        <f>SUM(Z23:Z28)</f>
        <v>0</v>
      </c>
      <c r="AA29" s="168"/>
      <c r="AB29" s="168"/>
      <c r="AC29" s="31">
        <v>6</v>
      </c>
      <c r="AD29" s="31">
        <f>SUM(AD23:AD28)</f>
        <v>0</v>
      </c>
      <c r="AE29" s="19">
        <f t="shared" si="8"/>
        <v>-72.054147437230768</v>
      </c>
      <c r="AF29" s="21">
        <f t="shared" si="9"/>
        <v>0.96240653177187963</v>
      </c>
      <c r="AG29" s="172"/>
    </row>
    <row r="30" spans="1:33" ht="15.75" customHeight="1">
      <c r="A30" s="193" t="s">
        <v>1999</v>
      </c>
      <c r="B30" s="37" t="s">
        <v>100</v>
      </c>
      <c r="C30" s="190" t="s">
        <v>101</v>
      </c>
      <c r="D30" s="190"/>
      <c r="E30" s="37">
        <v>31.29</v>
      </c>
      <c r="F30" s="4">
        <v>4800</v>
      </c>
      <c r="G30" s="4">
        <f t="shared" ref="G30:G36" si="23">E30*F30</f>
        <v>150192</v>
      </c>
      <c r="H30" s="22">
        <v>2</v>
      </c>
      <c r="I30" s="16">
        <v>18</v>
      </c>
      <c r="J30" s="18">
        <v>2400</v>
      </c>
      <c r="K30" s="17">
        <f t="shared" si="1"/>
        <v>133.33333333333334</v>
      </c>
      <c r="L30" s="16">
        <v>18</v>
      </c>
      <c r="M30" s="18">
        <f t="shared" ref="M30:M36" si="24">F30/V30*60</f>
        <v>2285.7142857142853</v>
      </c>
      <c r="N30" s="17">
        <f t="shared" si="3"/>
        <v>126.98412698412696</v>
      </c>
      <c r="O30" s="19">
        <f t="shared" si="4"/>
        <v>0</v>
      </c>
      <c r="P30" s="20">
        <f t="shared" si="5"/>
        <v>-6.3492063492063835</v>
      </c>
      <c r="Q30" s="21">
        <f t="shared" si="6"/>
        <v>0.95238095238095211</v>
      </c>
      <c r="R30" s="172">
        <f>Q37</f>
        <v>0.95645186540714588</v>
      </c>
      <c r="S30" s="28">
        <v>0.125</v>
      </c>
      <c r="T30" s="28">
        <v>0.21250000000000002</v>
      </c>
      <c r="U30" s="4"/>
      <c r="V30" s="22">
        <f t="shared" ref="V30:V36" si="25">(T30-S30)*24*60</f>
        <v>126.00000000000003</v>
      </c>
      <c r="W30" s="23">
        <f>T30</f>
        <v>0.21250000000000002</v>
      </c>
      <c r="X30" s="23">
        <f>S31</f>
        <v>0.23333333333333336</v>
      </c>
      <c r="Y30" s="23"/>
      <c r="Z30" s="23"/>
      <c r="AA30" s="164"/>
      <c r="AB30" s="164"/>
      <c r="AC30" s="25">
        <v>7</v>
      </c>
      <c r="AD30" s="25"/>
      <c r="AE30" s="19">
        <f t="shared" si="8"/>
        <v>-114.28571428571468</v>
      </c>
      <c r="AF30" s="21">
        <f t="shared" si="9"/>
        <v>0.95238095238095222</v>
      </c>
      <c r="AG30" s="172">
        <f>AF37</f>
        <v>0.956451865407146</v>
      </c>
    </row>
    <row r="31" spans="1:33" ht="15.75" customHeight="1">
      <c r="A31" s="193" t="s">
        <v>2000</v>
      </c>
      <c r="B31" s="37" t="s">
        <v>100</v>
      </c>
      <c r="C31" s="190" t="s">
        <v>105</v>
      </c>
      <c r="D31" s="190"/>
      <c r="E31" s="37">
        <v>25.98</v>
      </c>
      <c r="F31" s="4">
        <v>3467</v>
      </c>
      <c r="G31" s="4">
        <f t="shared" si="23"/>
        <v>90072.66</v>
      </c>
      <c r="H31" s="22" t="s">
        <v>139</v>
      </c>
      <c r="I31" s="16">
        <v>21</v>
      </c>
      <c r="J31" s="18">
        <v>2400</v>
      </c>
      <c r="K31" s="17">
        <f t="shared" si="1"/>
        <v>114.28571428571429</v>
      </c>
      <c r="L31" s="16">
        <v>21</v>
      </c>
      <c r="M31" s="18">
        <f t="shared" si="24"/>
        <v>2285.9340659340651</v>
      </c>
      <c r="N31" s="17">
        <f t="shared" si="3"/>
        <v>108.85400313971738</v>
      </c>
      <c r="O31" s="19">
        <f t="shared" si="4"/>
        <v>0</v>
      </c>
      <c r="P31" s="20">
        <f t="shared" si="5"/>
        <v>-5.4317111459969141</v>
      </c>
      <c r="Q31" s="21">
        <f t="shared" si="6"/>
        <v>0.95247252747252698</v>
      </c>
      <c r="R31" s="172"/>
      <c r="S31" s="28">
        <v>0.23333333333333336</v>
      </c>
      <c r="T31" s="28">
        <v>0.29652777777777783</v>
      </c>
      <c r="U31" s="4">
        <f t="shared" ref="U31:U36" si="26">(S31-T30)*24*60</f>
        <v>30.000000000000014</v>
      </c>
      <c r="V31" s="22">
        <f t="shared" si="25"/>
        <v>91.000000000000043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8"/>
        <v>-114.06593406593493</v>
      </c>
      <c r="AF31" s="21">
        <f t="shared" si="9"/>
        <v>0.95247252747252709</v>
      </c>
      <c r="AG31" s="172"/>
    </row>
    <row r="32" spans="1:33" ht="15.75" customHeight="1">
      <c r="A32" s="193" t="s">
        <v>2001</v>
      </c>
      <c r="B32" s="37" t="s">
        <v>100</v>
      </c>
      <c r="C32" s="190" t="s">
        <v>102</v>
      </c>
      <c r="D32" s="190"/>
      <c r="E32" s="37">
        <v>26.2</v>
      </c>
      <c r="F32" s="4">
        <v>3600</v>
      </c>
      <c r="G32" s="4">
        <f t="shared" si="23"/>
        <v>94320</v>
      </c>
      <c r="H32" s="22">
        <v>2</v>
      </c>
      <c r="I32" s="16">
        <v>20</v>
      </c>
      <c r="J32" s="18">
        <v>2400</v>
      </c>
      <c r="K32" s="17">
        <f t="shared" si="1"/>
        <v>120</v>
      </c>
      <c r="L32" s="16">
        <v>20</v>
      </c>
      <c r="M32" s="18">
        <f t="shared" si="24"/>
        <v>2297.872340425532</v>
      </c>
      <c r="N32" s="17">
        <f t="shared" si="3"/>
        <v>114.8936170212766</v>
      </c>
      <c r="O32" s="19">
        <f t="shared" si="4"/>
        <v>0</v>
      </c>
      <c r="P32" s="20">
        <f t="shared" si="5"/>
        <v>-5.1063829787234027</v>
      </c>
      <c r="Q32" s="21">
        <f t="shared" si="6"/>
        <v>0.95744680851063835</v>
      </c>
      <c r="R32" s="172"/>
      <c r="S32" s="28">
        <v>0.30069444444444449</v>
      </c>
      <c r="T32" s="28">
        <v>0.36597222222222225</v>
      </c>
      <c r="U32" s="4">
        <f t="shared" si="26"/>
        <v>5.9999999999999787</v>
      </c>
      <c r="V32" s="22">
        <f t="shared" si="25"/>
        <v>93.999999999999986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8"/>
        <v>-102.127659574468</v>
      </c>
      <c r="AF32" s="21">
        <f t="shared" si="9"/>
        <v>0.95744680851063835</v>
      </c>
      <c r="AG32" s="172"/>
    </row>
    <row r="33" spans="1:33" ht="15.75" customHeight="1">
      <c r="A33" s="193" t="s">
        <v>2002</v>
      </c>
      <c r="B33" s="37" t="s">
        <v>100</v>
      </c>
      <c r="C33" s="190" t="s">
        <v>103</v>
      </c>
      <c r="D33" s="190"/>
      <c r="E33" s="37">
        <v>25.99</v>
      </c>
      <c r="F33" s="4">
        <v>5120</v>
      </c>
      <c r="G33" s="4">
        <f t="shared" si="23"/>
        <v>133068.79999999999</v>
      </c>
      <c r="H33" s="22" t="s">
        <v>139</v>
      </c>
      <c r="I33" s="16">
        <v>14</v>
      </c>
      <c r="J33" s="18">
        <v>2400</v>
      </c>
      <c r="K33" s="17">
        <f t="shared" si="1"/>
        <v>171.42857142857142</v>
      </c>
      <c r="L33" s="16">
        <v>14</v>
      </c>
      <c r="M33" s="18">
        <f t="shared" si="24"/>
        <v>2292.5373134328356</v>
      </c>
      <c r="N33" s="17">
        <f t="shared" si="3"/>
        <v>163.75266524520254</v>
      </c>
      <c r="O33" s="19">
        <f t="shared" si="4"/>
        <v>0</v>
      </c>
      <c r="P33" s="20">
        <f t="shared" si="5"/>
        <v>-7.6759061833688804</v>
      </c>
      <c r="Q33" s="21">
        <f t="shared" si="6"/>
        <v>0.95522388059701491</v>
      </c>
      <c r="R33" s="172"/>
      <c r="S33" s="28">
        <v>0.37013888888888891</v>
      </c>
      <c r="T33" s="28">
        <v>0.46319444444444446</v>
      </c>
      <c r="U33" s="4">
        <f t="shared" si="26"/>
        <v>5.9999999999999787</v>
      </c>
      <c r="V33" s="22">
        <f t="shared" si="25"/>
        <v>134</v>
      </c>
      <c r="W33" s="23"/>
      <c r="X33" s="23"/>
      <c r="Y33" s="23"/>
      <c r="Z33" s="23"/>
      <c r="AA33" s="164"/>
      <c r="AB33" s="164"/>
      <c r="AC33" s="25"/>
      <c r="AD33" s="25"/>
      <c r="AE33" s="19">
        <f t="shared" si="8"/>
        <v>-107.46268656716438</v>
      </c>
      <c r="AF33" s="21">
        <f t="shared" si="9"/>
        <v>0.9552238805970148</v>
      </c>
      <c r="AG33" s="172"/>
    </row>
    <row r="34" spans="1:33" ht="15.75" customHeight="1">
      <c r="A34" s="193" t="s">
        <v>2001</v>
      </c>
      <c r="B34" s="37" t="s">
        <v>100</v>
      </c>
      <c r="C34" s="190" t="s">
        <v>107</v>
      </c>
      <c r="D34" s="190"/>
      <c r="E34" s="37">
        <v>26.18</v>
      </c>
      <c r="F34" s="4">
        <v>2420</v>
      </c>
      <c r="G34" s="4">
        <f t="shared" si="23"/>
        <v>63355.6</v>
      </c>
      <c r="H34" s="22" t="s">
        <v>139</v>
      </c>
      <c r="I34" s="16">
        <v>19</v>
      </c>
      <c r="J34" s="18">
        <v>2400</v>
      </c>
      <c r="K34" s="17">
        <f t="shared" si="1"/>
        <v>126.31578947368421</v>
      </c>
      <c r="L34" s="16">
        <v>19</v>
      </c>
      <c r="M34" s="18">
        <f t="shared" si="24"/>
        <v>2304.7619047619073</v>
      </c>
      <c r="N34" s="17">
        <f t="shared" si="3"/>
        <v>121.30325814536354</v>
      </c>
      <c r="O34" s="19">
        <f t="shared" si="4"/>
        <v>0</v>
      </c>
      <c r="P34" s="20">
        <f t="shared" si="5"/>
        <v>-5.0125313283206623</v>
      </c>
      <c r="Q34" s="21">
        <f t="shared" si="6"/>
        <v>0.96031746031746146</v>
      </c>
      <c r="R34" s="172"/>
      <c r="S34" s="28">
        <v>0.46875</v>
      </c>
      <c r="T34" s="28">
        <v>0.51249999999999996</v>
      </c>
      <c r="U34" s="4">
        <f t="shared" si="26"/>
        <v>7.9999999999999716</v>
      </c>
      <c r="V34" s="22">
        <f t="shared" si="25"/>
        <v>62.999999999999936</v>
      </c>
      <c r="W34" s="23">
        <f>T34</f>
        <v>0.51249999999999996</v>
      </c>
      <c r="X34" s="23">
        <f>S35</f>
        <v>0.55347222222222214</v>
      </c>
      <c r="Y34" s="23"/>
      <c r="Z34" s="23"/>
      <c r="AA34" s="164"/>
      <c r="AB34" s="164"/>
      <c r="AC34" s="25"/>
      <c r="AD34" s="25"/>
      <c r="AE34" s="19">
        <f t="shared" si="8"/>
        <v>-95.238095238092683</v>
      </c>
      <c r="AF34" s="21">
        <f t="shared" si="9"/>
        <v>0.96031746031746135</v>
      </c>
      <c r="AG34" s="172"/>
    </row>
    <row r="35" spans="1:33" ht="15.75" customHeight="1">
      <c r="A35" s="193" t="s">
        <v>2003</v>
      </c>
      <c r="B35" s="37" t="s">
        <v>100</v>
      </c>
      <c r="C35" s="190" t="s">
        <v>101</v>
      </c>
      <c r="D35" s="190"/>
      <c r="E35" s="37">
        <v>31.29</v>
      </c>
      <c r="F35" s="4">
        <v>6414</v>
      </c>
      <c r="G35" s="4">
        <f t="shared" si="23"/>
        <v>200694.06</v>
      </c>
      <c r="H35" s="22" t="s">
        <v>139</v>
      </c>
      <c r="I35" s="16">
        <v>18</v>
      </c>
      <c r="J35" s="18">
        <v>2400</v>
      </c>
      <c r="K35" s="17">
        <f t="shared" si="1"/>
        <v>133.33333333333334</v>
      </c>
      <c r="L35" s="16">
        <v>18</v>
      </c>
      <c r="M35" s="18">
        <f t="shared" si="24"/>
        <v>2290.7142857142849</v>
      </c>
      <c r="N35" s="17">
        <f t="shared" si="3"/>
        <v>127.26190476190472</v>
      </c>
      <c r="O35" s="19">
        <f t="shared" si="4"/>
        <v>0</v>
      </c>
      <c r="P35" s="20">
        <f t="shared" si="5"/>
        <v>-6.0714285714286262</v>
      </c>
      <c r="Q35" s="21">
        <f t="shared" si="6"/>
        <v>0.95446428571428532</v>
      </c>
      <c r="R35" s="172"/>
      <c r="S35" s="28">
        <v>0.55347222222222214</v>
      </c>
      <c r="T35" s="28">
        <v>0.67013888888888884</v>
      </c>
      <c r="U35" s="4">
        <f t="shared" si="26"/>
        <v>58.99999999999995</v>
      </c>
      <c r="V35" s="22">
        <f t="shared" si="25"/>
        <v>168.00000000000006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8"/>
        <v>-109.28571428571513</v>
      </c>
      <c r="AF35" s="21">
        <f t="shared" si="9"/>
        <v>0.95446428571428532</v>
      </c>
      <c r="AG35" s="172"/>
    </row>
    <row r="36" spans="1:33" ht="15.75" customHeight="1">
      <c r="A36" s="193" t="s">
        <v>2004</v>
      </c>
      <c r="B36" s="37" t="s">
        <v>100</v>
      </c>
      <c r="C36" s="190" t="s">
        <v>102</v>
      </c>
      <c r="D36" s="190"/>
      <c r="E36" s="37">
        <v>26.2</v>
      </c>
      <c r="F36" s="4">
        <v>2696</v>
      </c>
      <c r="G36" s="4">
        <f t="shared" si="23"/>
        <v>70635.199999999997</v>
      </c>
      <c r="H36" s="22" t="s">
        <v>139</v>
      </c>
      <c r="I36" s="16">
        <v>20</v>
      </c>
      <c r="J36" s="18">
        <v>2400</v>
      </c>
      <c r="K36" s="17">
        <f t="shared" si="1"/>
        <v>120</v>
      </c>
      <c r="L36" s="16">
        <v>20</v>
      </c>
      <c r="M36" s="18">
        <f t="shared" si="24"/>
        <v>2310.8571428571404</v>
      </c>
      <c r="N36" s="17">
        <f t="shared" si="3"/>
        <v>115.54285714285702</v>
      </c>
      <c r="O36" s="19">
        <f t="shared" si="4"/>
        <v>0</v>
      </c>
      <c r="P36" s="20">
        <f t="shared" si="5"/>
        <v>-4.4571428571429834</v>
      </c>
      <c r="Q36" s="21">
        <f t="shared" si="6"/>
        <v>0.96285714285714186</v>
      </c>
      <c r="R36" s="172"/>
      <c r="S36" s="28">
        <v>0.67569444444444438</v>
      </c>
      <c r="T36" s="28">
        <v>0.72430555555555554</v>
      </c>
      <c r="U36" s="4">
        <f t="shared" si="26"/>
        <v>7.9999999999999716</v>
      </c>
      <c r="V36" s="22">
        <f t="shared" si="25"/>
        <v>70.000000000000071</v>
      </c>
      <c r="W36" s="23"/>
      <c r="X36" s="23"/>
      <c r="Y36" s="23"/>
      <c r="Z36" s="23"/>
      <c r="AA36" s="164"/>
      <c r="AB36" s="164"/>
      <c r="AC36" s="25"/>
      <c r="AD36" s="25"/>
      <c r="AE36" s="19">
        <f t="shared" si="8"/>
        <v>-89.142857142859611</v>
      </c>
      <c r="AF36" s="21">
        <f t="shared" si="9"/>
        <v>0.96285714285714186</v>
      </c>
      <c r="AG36" s="172"/>
    </row>
    <row r="37" spans="1:33" ht="15.75" customHeight="1">
      <c r="A37" s="193" t="s">
        <v>2005</v>
      </c>
      <c r="B37" s="37" t="s">
        <v>2006</v>
      </c>
      <c r="C37" s="177"/>
      <c r="D37" s="177"/>
      <c r="E37" s="38"/>
      <c r="F37" s="4"/>
      <c r="G37" s="4"/>
      <c r="H37" s="4"/>
      <c r="I37" s="30">
        <v>18.571428571428573</v>
      </c>
      <c r="J37" s="18">
        <v>2400</v>
      </c>
      <c r="K37" s="17">
        <f t="shared" si="1"/>
        <v>129.23076923076923</v>
      </c>
      <c r="L37" s="30">
        <v>18.571428571428573</v>
      </c>
      <c r="M37" s="18">
        <f>AVERAGE(M30:M36)</f>
        <v>2295.4844769771503</v>
      </c>
      <c r="N37" s="17">
        <f t="shared" si="3"/>
        <v>123.60301029876962</v>
      </c>
      <c r="O37" s="19">
        <f t="shared" si="4"/>
        <v>0</v>
      </c>
      <c r="P37" s="20">
        <f t="shared" si="5"/>
        <v>-5.6277589319996082</v>
      </c>
      <c r="Q37" s="21">
        <f t="shared" si="6"/>
        <v>0.95645186540714588</v>
      </c>
      <c r="R37" s="172"/>
      <c r="S37" s="28"/>
      <c r="T37" s="28"/>
      <c r="U37" s="4"/>
      <c r="V37" s="22"/>
      <c r="W37" s="4"/>
      <c r="X37" s="4"/>
      <c r="Y37" s="31">
        <f>SUM(Y30:Y36)</f>
        <v>0</v>
      </c>
      <c r="Z37" s="31">
        <f>SUM(Z30:Z36)</f>
        <v>0</v>
      </c>
      <c r="AA37" s="168"/>
      <c r="AB37" s="168"/>
      <c r="AC37" s="31">
        <v>7</v>
      </c>
      <c r="AD37" s="31">
        <f>SUM(AD30:AD36)</f>
        <v>0</v>
      </c>
      <c r="AE37" s="19">
        <f t="shared" si="8"/>
        <v>-104.51552302284972</v>
      </c>
      <c r="AF37" s="21">
        <f t="shared" si="9"/>
        <v>0.956451865407146</v>
      </c>
      <c r="AG37" s="172"/>
    </row>
    <row r="38" spans="1:33" ht="15.75" customHeight="1">
      <c r="A38" s="191" t="s">
        <v>2007</v>
      </c>
      <c r="B38" s="37" t="s">
        <v>100</v>
      </c>
      <c r="C38" s="165" t="s">
        <v>106</v>
      </c>
      <c r="D38" s="165"/>
      <c r="E38" s="37">
        <v>26.2</v>
      </c>
      <c r="F38" s="4">
        <v>3500</v>
      </c>
      <c r="G38" s="4">
        <f t="shared" ref="G38:G44" si="27">E38*F38</f>
        <v>91700</v>
      </c>
      <c r="H38" s="22">
        <v>2</v>
      </c>
      <c r="I38" s="16">
        <v>18</v>
      </c>
      <c r="J38" s="18">
        <v>2400</v>
      </c>
      <c r="K38" s="17">
        <f t="shared" si="1"/>
        <v>133.33333333333334</v>
      </c>
      <c r="L38" s="16">
        <v>18</v>
      </c>
      <c r="M38" s="18">
        <f t="shared" ref="M38:M44" si="28">F38/V38*60</f>
        <v>2282.608695652174</v>
      </c>
      <c r="N38" s="17">
        <f t="shared" si="3"/>
        <v>126.81159420289856</v>
      </c>
      <c r="O38" s="19">
        <f t="shared" si="4"/>
        <v>0</v>
      </c>
      <c r="P38" s="20">
        <f t="shared" si="5"/>
        <v>-6.5217391304347814</v>
      </c>
      <c r="Q38" s="21">
        <f t="shared" si="6"/>
        <v>0.95108695652173914</v>
      </c>
      <c r="R38" s="172">
        <f>Q45</f>
        <v>0.95399231857215572</v>
      </c>
      <c r="S38" s="28">
        <v>0.125</v>
      </c>
      <c r="T38" s="28">
        <v>0.18888888888888888</v>
      </c>
      <c r="U38" s="4"/>
      <c r="V38" s="22">
        <f t="shared" ref="V38:V44" si="29">(T38-S38)*24*60</f>
        <v>92</v>
      </c>
      <c r="W38" s="28">
        <f>T38</f>
        <v>0.18888888888888888</v>
      </c>
      <c r="X38" s="28">
        <f>S39</f>
        <v>0.20694444444444443</v>
      </c>
      <c r="Y38" s="28"/>
      <c r="Z38" s="28"/>
      <c r="AA38" s="164"/>
      <c r="AB38" s="164"/>
      <c r="AC38" s="25">
        <v>7</v>
      </c>
      <c r="AD38" s="25"/>
      <c r="AE38" s="19">
        <f t="shared" si="8"/>
        <v>-117.39130434782601</v>
      </c>
      <c r="AF38" s="21">
        <f t="shared" si="9"/>
        <v>0.95108695652173914</v>
      </c>
      <c r="AG38" s="172">
        <f>AF45</f>
        <v>0.95399231857215583</v>
      </c>
    </row>
    <row r="39" spans="1:33" ht="15.75" customHeight="1">
      <c r="A39" s="191" t="s">
        <v>2008</v>
      </c>
      <c r="B39" s="37" t="s">
        <v>100</v>
      </c>
      <c r="C39" s="165" t="s">
        <v>104</v>
      </c>
      <c r="D39" s="165"/>
      <c r="E39" s="37">
        <v>20.52</v>
      </c>
      <c r="F39" s="4">
        <v>4951</v>
      </c>
      <c r="G39" s="4">
        <f t="shared" si="27"/>
        <v>101594.52</v>
      </c>
      <c r="H39" s="22" t="s">
        <v>139</v>
      </c>
      <c r="I39" s="16">
        <v>18</v>
      </c>
      <c r="J39" s="18">
        <v>2400</v>
      </c>
      <c r="K39" s="17">
        <f t="shared" si="1"/>
        <v>133.33333333333334</v>
      </c>
      <c r="L39" s="16">
        <v>18</v>
      </c>
      <c r="M39" s="18">
        <f t="shared" si="28"/>
        <v>2285.0769230769224</v>
      </c>
      <c r="N39" s="17">
        <f t="shared" si="3"/>
        <v>126.94871794871791</v>
      </c>
      <c r="O39" s="19">
        <f t="shared" si="4"/>
        <v>0</v>
      </c>
      <c r="P39" s="20">
        <f t="shared" si="5"/>
        <v>-6.3846153846154294</v>
      </c>
      <c r="Q39" s="21">
        <f t="shared" si="6"/>
        <v>0.95211538461538425</v>
      </c>
      <c r="R39" s="172"/>
      <c r="S39" s="28">
        <v>0.20694444444444443</v>
      </c>
      <c r="T39" s="28">
        <v>0.29722222222222222</v>
      </c>
      <c r="U39" s="4">
        <f t="shared" ref="U39:U44" si="30">(S39-T38)*24*60</f>
        <v>25.999999999999986</v>
      </c>
      <c r="V39" s="22">
        <f t="shared" si="29"/>
        <v>130.00000000000003</v>
      </c>
      <c r="W39" s="4"/>
      <c r="X39" s="4"/>
      <c r="Y39" s="4"/>
      <c r="Z39" s="4"/>
      <c r="AA39" s="164"/>
      <c r="AB39" s="164"/>
      <c r="AC39" s="25"/>
      <c r="AD39" s="25"/>
      <c r="AE39" s="19">
        <f t="shared" si="8"/>
        <v>-114.92307692307759</v>
      </c>
      <c r="AF39" s="21">
        <f t="shared" si="9"/>
        <v>0.95211538461538436</v>
      </c>
      <c r="AG39" s="172"/>
    </row>
    <row r="40" spans="1:33">
      <c r="A40" s="192" t="s">
        <v>2009</v>
      </c>
      <c r="B40" s="37" t="s">
        <v>100</v>
      </c>
      <c r="C40" s="165" t="s">
        <v>108</v>
      </c>
      <c r="D40" s="165"/>
      <c r="E40" s="37">
        <v>26.39</v>
      </c>
      <c r="F40" s="4">
        <v>4300</v>
      </c>
      <c r="G40" s="4">
        <f t="shared" si="27"/>
        <v>113477</v>
      </c>
      <c r="H40" s="22">
        <v>2</v>
      </c>
      <c r="I40" s="16">
        <v>19</v>
      </c>
      <c r="J40" s="18">
        <v>2400</v>
      </c>
      <c r="K40" s="17">
        <f t="shared" si="1"/>
        <v>126.31578947368421</v>
      </c>
      <c r="L40" s="16">
        <v>19</v>
      </c>
      <c r="M40" s="18">
        <f t="shared" si="28"/>
        <v>2303.5714285714289</v>
      </c>
      <c r="N40" s="17">
        <f t="shared" si="3"/>
        <v>121.24060150375942</v>
      </c>
      <c r="O40" s="19">
        <f t="shared" si="4"/>
        <v>0</v>
      </c>
      <c r="P40" s="20">
        <f t="shared" si="5"/>
        <v>-5.0751879699247837</v>
      </c>
      <c r="Q40" s="21">
        <f t="shared" si="6"/>
        <v>0.95982142857142883</v>
      </c>
      <c r="R40" s="172"/>
      <c r="S40" s="28">
        <v>0.30138888888888887</v>
      </c>
      <c r="T40" s="28">
        <v>0.37916666666666665</v>
      </c>
      <c r="U40" s="4">
        <f t="shared" si="30"/>
        <v>5.9999999999999787</v>
      </c>
      <c r="V40" s="22">
        <f t="shared" si="29"/>
        <v>112</v>
      </c>
      <c r="W40" s="4"/>
      <c r="X40" s="4"/>
      <c r="Y40" s="4"/>
      <c r="Z40" s="4"/>
      <c r="AA40" s="164"/>
      <c r="AB40" s="164"/>
      <c r="AC40" s="25"/>
      <c r="AD40" s="25"/>
      <c r="AE40" s="19">
        <f t="shared" si="8"/>
        <v>-96.428571428571104</v>
      </c>
      <c r="AF40" s="21">
        <f t="shared" si="9"/>
        <v>0.95982142857142871</v>
      </c>
      <c r="AG40" s="172"/>
    </row>
    <row r="41" spans="1:33">
      <c r="A41" s="192" t="s">
        <v>2010</v>
      </c>
      <c r="B41" s="37" t="s">
        <v>100</v>
      </c>
      <c r="C41" s="165" t="s">
        <v>137</v>
      </c>
      <c r="D41" s="165"/>
      <c r="E41" s="37">
        <v>20.21</v>
      </c>
      <c r="F41" s="4">
        <v>3931</v>
      </c>
      <c r="G41" s="4">
        <f t="shared" si="27"/>
        <v>79445.510000000009</v>
      </c>
      <c r="H41" s="22" t="s">
        <v>139</v>
      </c>
      <c r="I41" s="16">
        <v>16</v>
      </c>
      <c r="J41" s="18">
        <v>2400</v>
      </c>
      <c r="K41" s="17">
        <f t="shared" si="1"/>
        <v>150</v>
      </c>
      <c r="L41" s="16">
        <v>16</v>
      </c>
      <c r="M41" s="18">
        <f t="shared" si="28"/>
        <v>2289.9029126213604</v>
      </c>
      <c r="N41" s="17">
        <f t="shared" si="3"/>
        <v>143.11893203883503</v>
      </c>
      <c r="O41" s="19">
        <f t="shared" si="4"/>
        <v>0</v>
      </c>
      <c r="P41" s="20">
        <f t="shared" si="5"/>
        <v>-6.8810679611649732</v>
      </c>
      <c r="Q41" s="21">
        <f t="shared" si="6"/>
        <v>0.95412621359223349</v>
      </c>
      <c r="R41" s="172"/>
      <c r="S41" s="28">
        <v>0.3833333333333333</v>
      </c>
      <c r="T41" s="28">
        <v>0.45486111111111105</v>
      </c>
      <c r="U41" s="4">
        <f t="shared" si="30"/>
        <v>5.9999999999999787</v>
      </c>
      <c r="V41" s="22">
        <f t="shared" si="29"/>
        <v>102.99999999999996</v>
      </c>
      <c r="W41" s="23"/>
      <c r="X41" s="23"/>
      <c r="Y41" s="23"/>
      <c r="Z41" s="23"/>
      <c r="AA41" s="164"/>
      <c r="AB41" s="164"/>
      <c r="AC41" s="25"/>
      <c r="AD41" s="25"/>
      <c r="AE41" s="19">
        <f t="shared" si="8"/>
        <v>-110.09708737863957</v>
      </c>
      <c r="AF41" s="21">
        <f t="shared" si="9"/>
        <v>0.95412621359223349</v>
      </c>
      <c r="AG41" s="172"/>
    </row>
    <row r="42" spans="1:33">
      <c r="A42" s="192" t="s">
        <v>2009</v>
      </c>
      <c r="B42" s="37" t="s">
        <v>100</v>
      </c>
      <c r="C42" s="165" t="s">
        <v>134</v>
      </c>
      <c r="D42" s="165"/>
      <c r="E42" s="37">
        <v>20.52</v>
      </c>
      <c r="F42" s="4">
        <v>3731</v>
      </c>
      <c r="G42" s="4">
        <f t="shared" si="27"/>
        <v>76560.12</v>
      </c>
      <c r="H42" s="22" t="s">
        <v>139</v>
      </c>
      <c r="I42" s="16">
        <v>18</v>
      </c>
      <c r="J42" s="18">
        <v>2400</v>
      </c>
      <c r="K42" s="17">
        <f t="shared" si="1"/>
        <v>133.33333333333334</v>
      </c>
      <c r="L42" s="16">
        <v>18</v>
      </c>
      <c r="M42" s="18">
        <f t="shared" si="28"/>
        <v>2284.2857142857151</v>
      </c>
      <c r="N42" s="17">
        <f t="shared" si="3"/>
        <v>126.90476190476195</v>
      </c>
      <c r="O42" s="19">
        <f t="shared" si="4"/>
        <v>0</v>
      </c>
      <c r="P42" s="20">
        <f t="shared" si="5"/>
        <v>-6.428571428571388</v>
      </c>
      <c r="Q42" s="21">
        <f t="shared" si="6"/>
        <v>0.95178571428571457</v>
      </c>
      <c r="R42" s="172"/>
      <c r="S42" s="28">
        <v>0.4590277777777777</v>
      </c>
      <c r="T42" s="28">
        <v>0.52708333333333324</v>
      </c>
      <c r="U42" s="4">
        <f t="shared" si="30"/>
        <v>5.9999999999999787</v>
      </c>
      <c r="V42" s="22">
        <f t="shared" si="29"/>
        <v>97.999999999999972</v>
      </c>
      <c r="W42" s="23">
        <f>T42</f>
        <v>0.52708333333333324</v>
      </c>
      <c r="X42" s="23">
        <f>S43</f>
        <v>0.56736111111111098</v>
      </c>
      <c r="Y42" s="23"/>
      <c r="Z42" s="23"/>
      <c r="AA42" s="164"/>
      <c r="AB42" s="164"/>
      <c r="AC42" s="25"/>
      <c r="AD42" s="25"/>
      <c r="AE42" s="19">
        <f t="shared" si="8"/>
        <v>-115.71428571428487</v>
      </c>
      <c r="AF42" s="21">
        <f t="shared" si="9"/>
        <v>0.95178571428571468</v>
      </c>
      <c r="AG42" s="172"/>
    </row>
    <row r="43" spans="1:33">
      <c r="A43" s="192" t="s">
        <v>2011</v>
      </c>
      <c r="B43" s="37" t="s">
        <v>100</v>
      </c>
      <c r="C43" s="165" t="s">
        <v>106</v>
      </c>
      <c r="D43" s="165"/>
      <c r="E43" s="37">
        <v>26.2</v>
      </c>
      <c r="F43" s="4">
        <v>5002</v>
      </c>
      <c r="G43" s="4">
        <f t="shared" si="27"/>
        <v>131052.4</v>
      </c>
      <c r="H43" s="22" t="s">
        <v>139</v>
      </c>
      <c r="I43" s="16">
        <v>18</v>
      </c>
      <c r="J43" s="18">
        <v>2400</v>
      </c>
      <c r="K43" s="17">
        <f t="shared" si="1"/>
        <v>133.33333333333334</v>
      </c>
      <c r="L43" s="16">
        <v>18</v>
      </c>
      <c r="M43" s="18">
        <f t="shared" si="28"/>
        <v>2290.9923664122139</v>
      </c>
      <c r="N43" s="17">
        <f t="shared" si="3"/>
        <v>127.27735368956743</v>
      </c>
      <c r="O43" s="19">
        <f t="shared" si="4"/>
        <v>0</v>
      </c>
      <c r="P43" s="20">
        <f t="shared" si="5"/>
        <v>-6.0559796437659088</v>
      </c>
      <c r="Q43" s="21">
        <f t="shared" si="6"/>
        <v>0.95458015267175567</v>
      </c>
      <c r="R43" s="172"/>
      <c r="S43" s="28">
        <v>0.56736111111111098</v>
      </c>
      <c r="T43" s="28">
        <v>0.65833333333333321</v>
      </c>
      <c r="U43" s="4">
        <f t="shared" si="30"/>
        <v>57.999999999999957</v>
      </c>
      <c r="V43" s="22">
        <f t="shared" si="29"/>
        <v>131</v>
      </c>
      <c r="W43" s="23"/>
      <c r="X43" s="23"/>
      <c r="Y43" s="23"/>
      <c r="Z43" s="23"/>
      <c r="AA43" s="164"/>
      <c r="AB43" s="164"/>
      <c r="AC43" s="25"/>
      <c r="AD43" s="25"/>
      <c r="AE43" s="19">
        <f t="shared" si="8"/>
        <v>-109.00763358778613</v>
      </c>
      <c r="AF43" s="21">
        <f t="shared" si="9"/>
        <v>0.95458015267175578</v>
      </c>
      <c r="AG43" s="172"/>
    </row>
    <row r="44" spans="1:33">
      <c r="A44" s="192" t="s">
        <v>2012</v>
      </c>
      <c r="B44" s="37" t="s">
        <v>100</v>
      </c>
      <c r="C44" s="165" t="s">
        <v>108</v>
      </c>
      <c r="D44" s="165"/>
      <c r="E44" s="37">
        <v>26.39</v>
      </c>
      <c r="F44" s="4">
        <v>3016</v>
      </c>
      <c r="G44" s="4">
        <f t="shared" si="27"/>
        <v>79592.240000000005</v>
      </c>
      <c r="H44" s="22" t="s">
        <v>139</v>
      </c>
      <c r="I44" s="16">
        <v>19</v>
      </c>
      <c r="J44" s="18">
        <v>2400</v>
      </c>
      <c r="K44" s="17">
        <f t="shared" si="1"/>
        <v>126.31578947368421</v>
      </c>
      <c r="L44" s="16">
        <v>19</v>
      </c>
      <c r="M44" s="18">
        <f t="shared" si="28"/>
        <v>2290.6329113924035</v>
      </c>
      <c r="N44" s="17">
        <f t="shared" si="3"/>
        <v>120.55962691538966</v>
      </c>
      <c r="O44" s="19">
        <f t="shared" si="4"/>
        <v>0</v>
      </c>
      <c r="P44" s="20">
        <f t="shared" si="5"/>
        <v>-5.7561625582945481</v>
      </c>
      <c r="Q44" s="21">
        <f t="shared" si="6"/>
        <v>0.95443037974683487</v>
      </c>
      <c r="R44" s="172"/>
      <c r="S44" s="28">
        <v>0.66319444444444431</v>
      </c>
      <c r="T44" s="28">
        <v>0.71805555555555545</v>
      </c>
      <c r="U44" s="4">
        <f t="shared" si="30"/>
        <v>6.9999999999999751</v>
      </c>
      <c r="V44" s="22">
        <f t="shared" si="29"/>
        <v>79.000000000000043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-109.36708860759654</v>
      </c>
      <c r="AF44" s="21">
        <f t="shared" si="9"/>
        <v>0.95443037974683476</v>
      </c>
      <c r="AG44" s="172"/>
    </row>
    <row r="45" spans="1:33">
      <c r="A45" s="192" t="s">
        <v>2013</v>
      </c>
      <c r="B45" s="17" t="s">
        <v>2014</v>
      </c>
      <c r="C45" s="177"/>
      <c r="D45" s="177"/>
      <c r="E45" s="38"/>
      <c r="F45" s="17"/>
      <c r="G45" s="17"/>
      <c r="H45" s="4"/>
      <c r="I45" s="30">
        <v>18</v>
      </c>
      <c r="J45" s="18">
        <v>2400</v>
      </c>
      <c r="K45" s="17">
        <f t="shared" si="1"/>
        <v>133.33333333333334</v>
      </c>
      <c r="L45" s="30">
        <v>18</v>
      </c>
      <c r="M45" s="18">
        <f>AVERAGE(M38:M44)</f>
        <v>2289.5815645731741</v>
      </c>
      <c r="N45" s="17">
        <f t="shared" si="3"/>
        <v>127.19897580962078</v>
      </c>
      <c r="O45" s="19">
        <f t="shared" si="4"/>
        <v>0</v>
      </c>
      <c r="P45" s="20">
        <f t="shared" si="5"/>
        <v>-6.1343575237125663</v>
      </c>
      <c r="Q45" s="21">
        <f t="shared" si="6"/>
        <v>0.95399231857215572</v>
      </c>
      <c r="R45" s="172"/>
      <c r="S45" s="28"/>
      <c r="T45" s="28"/>
      <c r="U45" s="17"/>
      <c r="V45" s="22"/>
      <c r="W45" s="17"/>
      <c r="X45" s="17"/>
      <c r="Y45" s="31">
        <f>SUM(Y38:Y44)</f>
        <v>0</v>
      </c>
      <c r="Z45" s="31">
        <f>SUM(Z38:Z44)</f>
        <v>0</v>
      </c>
      <c r="AA45" s="168"/>
      <c r="AB45" s="168"/>
      <c r="AC45" s="31">
        <v>7</v>
      </c>
      <c r="AD45" s="31">
        <f>SUM(AD38:AD44)</f>
        <v>0</v>
      </c>
      <c r="AE45" s="19">
        <f t="shared" si="8"/>
        <v>-110.41843542682591</v>
      </c>
      <c r="AF45" s="21">
        <f t="shared" si="9"/>
        <v>0.95399231857215583</v>
      </c>
      <c r="AG45" s="172"/>
    </row>
    <row r="46" spans="1:33" ht="15.75" customHeight="1">
      <c r="A46" s="184" t="s">
        <v>2015</v>
      </c>
      <c r="B46" s="37" t="s">
        <v>111</v>
      </c>
      <c r="C46" s="173" t="s">
        <v>403</v>
      </c>
      <c r="D46" s="174"/>
      <c r="E46" s="37">
        <v>34.36</v>
      </c>
      <c r="F46" s="4">
        <v>2000</v>
      </c>
      <c r="G46" s="4">
        <f t="shared" ref="G46:G56" si="31">E46*F46</f>
        <v>68720</v>
      </c>
      <c r="H46" s="22">
        <v>2</v>
      </c>
      <c r="I46" s="16">
        <v>10</v>
      </c>
      <c r="J46" s="18">
        <v>3000</v>
      </c>
      <c r="K46" s="17">
        <f t="shared" si="1"/>
        <v>300</v>
      </c>
      <c r="L46" s="16">
        <v>10</v>
      </c>
      <c r="M46" s="18">
        <f t="shared" ref="M46:M56" si="32">F46/V46*60</f>
        <v>2857.1428571428564</v>
      </c>
      <c r="N46" s="18">
        <f t="shared" si="3"/>
        <v>285.71428571428567</v>
      </c>
      <c r="O46" s="19">
        <f t="shared" si="4"/>
        <v>0</v>
      </c>
      <c r="P46" s="20">
        <f t="shared" si="5"/>
        <v>-14.285714285714334</v>
      </c>
      <c r="Q46" s="21">
        <f t="shared" si="6"/>
        <v>0.95238095238095222</v>
      </c>
      <c r="R46" s="187">
        <f>Q57</f>
        <v>0.9588940084064479</v>
      </c>
      <c r="S46" s="28">
        <v>0.20833333333333334</v>
      </c>
      <c r="T46" s="28">
        <v>0.23750000000000002</v>
      </c>
      <c r="U46" s="28"/>
      <c r="V46" s="22">
        <f t="shared" ref="V46:V56" si="33">(T46-S46)*24*60</f>
        <v>42.000000000000014</v>
      </c>
      <c r="W46" s="23"/>
      <c r="X46" s="23"/>
      <c r="Y46" s="26"/>
      <c r="Z46" s="26"/>
      <c r="AA46" s="175"/>
      <c r="AB46" s="176"/>
      <c r="AC46" s="25">
        <v>11</v>
      </c>
      <c r="AD46" s="25"/>
      <c r="AE46" s="19">
        <f t="shared" si="8"/>
        <v>-142.85714285714357</v>
      </c>
      <c r="AF46" s="21">
        <f t="shared" si="9"/>
        <v>0.95238095238095211</v>
      </c>
      <c r="AG46" s="187">
        <f>AF57</f>
        <v>0.9588940084064479</v>
      </c>
    </row>
    <row r="47" spans="1:33" ht="15.75" customHeight="1">
      <c r="A47" s="185" t="s">
        <v>2016</v>
      </c>
      <c r="B47" s="37" t="s">
        <v>111</v>
      </c>
      <c r="C47" s="173" t="s">
        <v>114</v>
      </c>
      <c r="D47" s="174"/>
      <c r="E47" s="37">
        <v>35.119999999999997</v>
      </c>
      <c r="F47" s="4">
        <v>3700</v>
      </c>
      <c r="G47" s="4">
        <f t="shared" si="31"/>
        <v>129943.99999999999</v>
      </c>
      <c r="H47" s="22">
        <v>2</v>
      </c>
      <c r="I47" s="16">
        <v>10</v>
      </c>
      <c r="J47" s="18">
        <v>3000</v>
      </c>
      <c r="K47" s="17">
        <f t="shared" si="1"/>
        <v>300</v>
      </c>
      <c r="L47" s="16">
        <v>10</v>
      </c>
      <c r="M47" s="18">
        <f t="shared" si="32"/>
        <v>2883.1168831168816</v>
      </c>
      <c r="N47" s="18">
        <f t="shared" si="3"/>
        <v>288.31168831168816</v>
      </c>
      <c r="O47" s="19">
        <f t="shared" si="4"/>
        <v>0</v>
      </c>
      <c r="P47" s="20">
        <f t="shared" si="5"/>
        <v>-11.688311688311842</v>
      </c>
      <c r="Q47" s="21">
        <f t="shared" si="6"/>
        <v>0.96103896103896058</v>
      </c>
      <c r="R47" s="188"/>
      <c r="S47" s="28">
        <v>0.24305555555555558</v>
      </c>
      <c r="T47" s="28">
        <v>0.29652777777777783</v>
      </c>
      <c r="U47" s="4">
        <f t="shared" ref="U47:U56" si="34">(S47-T46)*24*60</f>
        <v>8.0000000000000107</v>
      </c>
      <c r="V47" s="22">
        <f t="shared" si="33"/>
        <v>77.000000000000043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8"/>
        <v>-116.88311688311842</v>
      </c>
      <c r="AF47" s="21">
        <f t="shared" si="9"/>
        <v>0.96103896103896058</v>
      </c>
      <c r="AG47" s="188"/>
    </row>
    <row r="48" spans="1:33" ht="15.75" customHeight="1">
      <c r="A48" s="185" t="s">
        <v>2017</v>
      </c>
      <c r="B48" s="37" t="s">
        <v>111</v>
      </c>
      <c r="C48" s="173" t="s">
        <v>115</v>
      </c>
      <c r="D48" s="174"/>
      <c r="E48" s="37">
        <v>26.78</v>
      </c>
      <c r="F48" s="4">
        <v>3391</v>
      </c>
      <c r="G48" s="4">
        <f t="shared" si="31"/>
        <v>90810.98000000001</v>
      </c>
      <c r="H48" s="22" t="s">
        <v>139</v>
      </c>
      <c r="I48" s="16">
        <v>10</v>
      </c>
      <c r="J48" s="18">
        <v>3000</v>
      </c>
      <c r="K48" s="17">
        <f t="shared" si="1"/>
        <v>300</v>
      </c>
      <c r="L48" s="16">
        <v>10</v>
      </c>
      <c r="M48" s="18">
        <f t="shared" si="32"/>
        <v>2865.6338028169021</v>
      </c>
      <c r="N48" s="18">
        <f t="shared" si="3"/>
        <v>286.56338028169023</v>
      </c>
      <c r="O48" s="19">
        <f t="shared" si="4"/>
        <v>0</v>
      </c>
      <c r="P48" s="20">
        <f t="shared" si="5"/>
        <v>-13.436619718309771</v>
      </c>
      <c r="Q48" s="21">
        <f t="shared" si="6"/>
        <v>0.95521126760563413</v>
      </c>
      <c r="R48" s="188"/>
      <c r="S48" s="28">
        <v>0.30208333333333337</v>
      </c>
      <c r="T48" s="28">
        <v>0.35138888888888892</v>
      </c>
      <c r="U48" s="4">
        <f t="shared" si="34"/>
        <v>7.9999999999999716</v>
      </c>
      <c r="V48" s="22">
        <f t="shared" si="33"/>
        <v>70.999999999999986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-134.36619718309794</v>
      </c>
      <c r="AF48" s="21">
        <f t="shared" si="9"/>
        <v>0.95521126760563402</v>
      </c>
      <c r="AG48" s="188"/>
    </row>
    <row r="49" spans="1:33" ht="15.75" customHeight="1">
      <c r="A49" s="185" t="s">
        <v>2015</v>
      </c>
      <c r="B49" s="37" t="s">
        <v>111</v>
      </c>
      <c r="C49" s="173" t="s">
        <v>112</v>
      </c>
      <c r="D49" s="174"/>
      <c r="E49" s="37">
        <v>21.13</v>
      </c>
      <c r="F49" s="4">
        <v>3500</v>
      </c>
      <c r="G49" s="4">
        <f t="shared" si="31"/>
        <v>73955</v>
      </c>
      <c r="H49" s="22">
        <v>2</v>
      </c>
      <c r="I49" s="16">
        <v>10</v>
      </c>
      <c r="J49" s="18">
        <v>3000</v>
      </c>
      <c r="K49" s="17">
        <f t="shared" si="1"/>
        <v>300</v>
      </c>
      <c r="L49" s="16">
        <v>10</v>
      </c>
      <c r="M49" s="18">
        <f t="shared" si="32"/>
        <v>2876.7123287671238</v>
      </c>
      <c r="N49" s="18">
        <f t="shared" si="3"/>
        <v>287.67123287671239</v>
      </c>
      <c r="O49" s="19">
        <f t="shared" si="4"/>
        <v>0</v>
      </c>
      <c r="P49" s="20">
        <f t="shared" si="5"/>
        <v>-12.328767123287605</v>
      </c>
      <c r="Q49" s="21">
        <f t="shared" si="6"/>
        <v>0.95890410958904126</v>
      </c>
      <c r="R49" s="188"/>
      <c r="S49" s="28">
        <v>0.35486111111111113</v>
      </c>
      <c r="T49" s="28">
        <v>0.40555555555555556</v>
      </c>
      <c r="U49" s="4">
        <f t="shared" si="34"/>
        <v>4.9999999999999822</v>
      </c>
      <c r="V49" s="22">
        <f t="shared" si="33"/>
        <v>72.999999999999986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-123.28767123287616</v>
      </c>
      <c r="AF49" s="21">
        <f t="shared" si="9"/>
        <v>0.95890410958904126</v>
      </c>
      <c r="AG49" s="188"/>
    </row>
    <row r="50" spans="1:33" ht="15.75" customHeight="1">
      <c r="A50" s="185" t="s">
        <v>2018</v>
      </c>
      <c r="B50" s="37" t="s">
        <v>111</v>
      </c>
      <c r="C50" s="173" t="s">
        <v>113</v>
      </c>
      <c r="D50" s="174"/>
      <c r="E50" s="37">
        <v>27.17</v>
      </c>
      <c r="F50" s="4">
        <v>4700</v>
      </c>
      <c r="G50" s="4">
        <f t="shared" si="31"/>
        <v>127699.00000000001</v>
      </c>
      <c r="H50" s="22">
        <v>2</v>
      </c>
      <c r="I50" s="16">
        <v>10</v>
      </c>
      <c r="J50" s="18">
        <v>3000</v>
      </c>
      <c r="K50" s="17">
        <f t="shared" si="1"/>
        <v>300</v>
      </c>
      <c r="L50" s="16">
        <v>10</v>
      </c>
      <c r="M50" s="18">
        <f t="shared" si="32"/>
        <v>2877.5510204081643</v>
      </c>
      <c r="N50" s="18">
        <f t="shared" si="3"/>
        <v>287.75510204081644</v>
      </c>
      <c r="O50" s="19">
        <f t="shared" si="4"/>
        <v>0</v>
      </c>
      <c r="P50" s="20">
        <f t="shared" si="5"/>
        <v>-12.244897959183561</v>
      </c>
      <c r="Q50" s="21">
        <f t="shared" si="6"/>
        <v>0.95918367346938815</v>
      </c>
      <c r="R50" s="188"/>
      <c r="S50" s="28">
        <v>0.40902777777777777</v>
      </c>
      <c r="T50" s="28">
        <v>0.4770833333333333</v>
      </c>
      <c r="U50" s="4">
        <f t="shared" si="34"/>
        <v>4.9999999999999822</v>
      </c>
      <c r="V50" s="22">
        <f t="shared" si="33"/>
        <v>97.999999999999972</v>
      </c>
      <c r="W50" s="23"/>
      <c r="X50" s="23"/>
      <c r="Y50" s="26"/>
      <c r="Z50" s="26"/>
      <c r="AA50" s="175"/>
      <c r="AB50" s="176"/>
      <c r="AC50" s="25"/>
      <c r="AD50" s="25"/>
      <c r="AE50" s="19">
        <f t="shared" si="8"/>
        <v>-122.44897959183572</v>
      </c>
      <c r="AF50" s="21">
        <f t="shared" si="9"/>
        <v>0.95918367346938804</v>
      </c>
      <c r="AG50" s="188"/>
    </row>
    <row r="51" spans="1:33" ht="15.75" customHeight="1">
      <c r="A51" s="185" t="s">
        <v>2019</v>
      </c>
      <c r="B51" s="37" t="s">
        <v>111</v>
      </c>
      <c r="C51" s="173" t="s">
        <v>116</v>
      </c>
      <c r="D51" s="174"/>
      <c r="E51" s="37">
        <v>35.869999999999997</v>
      </c>
      <c r="F51" s="4">
        <v>2200</v>
      </c>
      <c r="G51" s="4">
        <f t="shared" si="31"/>
        <v>78914</v>
      </c>
      <c r="H51" s="22">
        <v>2</v>
      </c>
      <c r="I51" s="16">
        <v>9</v>
      </c>
      <c r="J51" s="18">
        <v>3000</v>
      </c>
      <c r="K51" s="17">
        <f t="shared" si="1"/>
        <v>333.33333333333331</v>
      </c>
      <c r="L51" s="16">
        <v>9</v>
      </c>
      <c r="M51" s="18">
        <f t="shared" si="32"/>
        <v>2869.5652173913045</v>
      </c>
      <c r="N51" s="18">
        <f t="shared" si="3"/>
        <v>318.84057971014494</v>
      </c>
      <c r="O51" s="19">
        <f t="shared" si="4"/>
        <v>0</v>
      </c>
      <c r="P51" s="20">
        <f t="shared" si="5"/>
        <v>-14.492753623188378</v>
      </c>
      <c r="Q51" s="21">
        <f t="shared" si="6"/>
        <v>0.95652173913043481</v>
      </c>
      <c r="R51" s="188"/>
      <c r="S51" s="28">
        <v>0.48263888888888884</v>
      </c>
      <c r="T51" s="28">
        <v>0.51458333333333328</v>
      </c>
      <c r="U51" s="4">
        <f t="shared" si="34"/>
        <v>7.9999999999999716</v>
      </c>
      <c r="V51" s="22">
        <f t="shared" si="33"/>
        <v>46</v>
      </c>
      <c r="W51" s="23">
        <f>T51</f>
        <v>0.51458333333333328</v>
      </c>
      <c r="X51" s="23">
        <f>S52</f>
        <v>0.55624999999999991</v>
      </c>
      <c r="Y51" s="26"/>
      <c r="Z51" s="26"/>
      <c r="AA51" s="175"/>
      <c r="AB51" s="176"/>
      <c r="AC51" s="25"/>
      <c r="AD51" s="25"/>
      <c r="AE51" s="19">
        <f t="shared" si="8"/>
        <v>-130.43478260869551</v>
      </c>
      <c r="AF51" s="21">
        <f t="shared" si="9"/>
        <v>0.95652173913043481</v>
      </c>
      <c r="AG51" s="188"/>
    </row>
    <row r="52" spans="1:33" ht="15.75" customHeight="1">
      <c r="A52" s="185" t="s">
        <v>2020</v>
      </c>
      <c r="B52" s="37" t="s">
        <v>111</v>
      </c>
      <c r="C52" s="173" t="s">
        <v>116</v>
      </c>
      <c r="D52" s="174"/>
      <c r="E52" s="37">
        <v>35.869999999999997</v>
      </c>
      <c r="F52" s="4">
        <v>2514</v>
      </c>
      <c r="G52" s="4">
        <f t="shared" si="31"/>
        <v>90177.18</v>
      </c>
      <c r="H52" s="22" t="s">
        <v>139</v>
      </c>
      <c r="I52" s="16">
        <v>9</v>
      </c>
      <c r="J52" s="18">
        <v>3000</v>
      </c>
      <c r="K52" s="17">
        <f t="shared" si="1"/>
        <v>333.33333333333331</v>
      </c>
      <c r="L52" s="16">
        <v>9</v>
      </c>
      <c r="M52" s="18">
        <f t="shared" si="32"/>
        <v>2900.7692307692323</v>
      </c>
      <c r="N52" s="18">
        <f t="shared" si="3"/>
        <v>322.30769230769249</v>
      </c>
      <c r="O52" s="19">
        <f t="shared" si="4"/>
        <v>0</v>
      </c>
      <c r="P52" s="20">
        <f t="shared" si="5"/>
        <v>-11.025641025640823</v>
      </c>
      <c r="Q52" s="21">
        <f t="shared" si="6"/>
        <v>0.96692307692307755</v>
      </c>
      <c r="R52" s="188"/>
      <c r="S52" s="28">
        <v>0.55624999999999991</v>
      </c>
      <c r="T52" s="28">
        <v>0.59236111111111101</v>
      </c>
      <c r="U52" s="4">
        <f t="shared" si="34"/>
        <v>59.999999999999943</v>
      </c>
      <c r="V52" s="22">
        <f t="shared" si="33"/>
        <v>51.999999999999972</v>
      </c>
      <c r="W52" s="23"/>
      <c r="X52" s="23"/>
      <c r="Y52" s="26"/>
      <c r="Z52" s="26"/>
      <c r="AA52" s="175"/>
      <c r="AB52" s="176"/>
      <c r="AC52" s="25"/>
      <c r="AD52" s="25"/>
      <c r="AE52" s="19">
        <f t="shared" si="8"/>
        <v>-99.230769230767692</v>
      </c>
      <c r="AF52" s="21">
        <f t="shared" si="9"/>
        <v>0.96692307692307744</v>
      </c>
      <c r="AG52" s="188"/>
    </row>
    <row r="53" spans="1:33" ht="15.75" customHeight="1">
      <c r="A53" s="185" t="s">
        <v>2017</v>
      </c>
      <c r="B53" s="37" t="s">
        <v>111</v>
      </c>
      <c r="C53" s="173" t="s">
        <v>112</v>
      </c>
      <c r="D53" s="174"/>
      <c r="E53" s="37">
        <v>21.13</v>
      </c>
      <c r="F53" s="4">
        <v>2538</v>
      </c>
      <c r="G53" s="4">
        <f t="shared" si="31"/>
        <v>53627.939999999995</v>
      </c>
      <c r="H53" s="22" t="s">
        <v>139</v>
      </c>
      <c r="I53" s="16">
        <v>10</v>
      </c>
      <c r="J53" s="18">
        <v>3000</v>
      </c>
      <c r="K53" s="17">
        <f t="shared" si="1"/>
        <v>300</v>
      </c>
      <c r="L53" s="16">
        <v>10</v>
      </c>
      <c r="M53" s="18">
        <f t="shared" si="32"/>
        <v>2873.2075471698126</v>
      </c>
      <c r="N53" s="18">
        <f t="shared" si="3"/>
        <v>287.32075471698124</v>
      </c>
      <c r="O53" s="19">
        <f t="shared" si="4"/>
        <v>0</v>
      </c>
      <c r="P53" s="20">
        <f t="shared" si="5"/>
        <v>-12.679245283018759</v>
      </c>
      <c r="Q53" s="21">
        <f t="shared" si="6"/>
        <v>0.95773584905660414</v>
      </c>
      <c r="R53" s="188"/>
      <c r="S53" s="28">
        <v>0.59583333333333321</v>
      </c>
      <c r="T53" s="28">
        <v>0.63263888888888875</v>
      </c>
      <c r="U53" s="4">
        <f t="shared" si="34"/>
        <v>4.9999999999999822</v>
      </c>
      <c r="V53" s="22">
        <f t="shared" si="33"/>
        <v>52.999999999999972</v>
      </c>
      <c r="W53" s="23"/>
      <c r="X53" s="23"/>
      <c r="Y53" s="26"/>
      <c r="Z53" s="26"/>
      <c r="AA53" s="175"/>
      <c r="AB53" s="176"/>
      <c r="AC53" s="25"/>
      <c r="AD53" s="25"/>
      <c r="AE53" s="19">
        <f t="shared" si="8"/>
        <v>-126.79245283018736</v>
      </c>
      <c r="AF53" s="21">
        <f t="shared" si="9"/>
        <v>0.95773584905660425</v>
      </c>
      <c r="AG53" s="188"/>
    </row>
    <row r="54" spans="1:33" ht="15.75" customHeight="1">
      <c r="A54" s="185" t="s">
        <v>2016</v>
      </c>
      <c r="B54" s="37" t="s">
        <v>111</v>
      </c>
      <c r="C54" s="173" t="s">
        <v>113</v>
      </c>
      <c r="D54" s="174"/>
      <c r="E54" s="37">
        <v>27.17</v>
      </c>
      <c r="F54" s="4">
        <v>3607</v>
      </c>
      <c r="G54" s="4">
        <f t="shared" si="31"/>
        <v>98002.19</v>
      </c>
      <c r="H54" s="22" t="s">
        <v>139</v>
      </c>
      <c r="I54" s="16">
        <v>10</v>
      </c>
      <c r="J54" s="18">
        <v>3000</v>
      </c>
      <c r="K54" s="17">
        <f t="shared" si="1"/>
        <v>300</v>
      </c>
      <c r="L54" s="16">
        <v>10</v>
      </c>
      <c r="M54" s="18">
        <f t="shared" si="32"/>
        <v>2885.5999999999981</v>
      </c>
      <c r="N54" s="18">
        <f t="shared" si="3"/>
        <v>288.55999999999983</v>
      </c>
      <c r="O54" s="19">
        <f t="shared" si="4"/>
        <v>0</v>
      </c>
      <c r="P54" s="20">
        <f t="shared" si="5"/>
        <v>-11.440000000000168</v>
      </c>
      <c r="Q54" s="21">
        <f t="shared" si="6"/>
        <v>0.96186666666666609</v>
      </c>
      <c r="R54" s="188"/>
      <c r="S54" s="28">
        <v>0.63749999999999984</v>
      </c>
      <c r="T54" s="28">
        <v>0.68958333333333321</v>
      </c>
      <c r="U54" s="4">
        <f t="shared" si="34"/>
        <v>6.9999999999999751</v>
      </c>
      <c r="V54" s="22">
        <f t="shared" si="33"/>
        <v>75.000000000000057</v>
      </c>
      <c r="W54" s="23"/>
      <c r="X54" s="23"/>
      <c r="Y54" s="26"/>
      <c r="Z54" s="26"/>
      <c r="AA54" s="175"/>
      <c r="AB54" s="176"/>
      <c r="AC54" s="25"/>
      <c r="AD54" s="25"/>
      <c r="AE54" s="19">
        <f t="shared" si="8"/>
        <v>-114.40000000000191</v>
      </c>
      <c r="AF54" s="21">
        <f t="shared" si="9"/>
        <v>0.96186666666666598</v>
      </c>
      <c r="AG54" s="188"/>
    </row>
    <row r="55" spans="1:33" ht="15.75" customHeight="1">
      <c r="A55" s="185" t="s">
        <v>2021</v>
      </c>
      <c r="B55" s="37" t="s">
        <v>111</v>
      </c>
      <c r="C55" s="173" t="s">
        <v>114</v>
      </c>
      <c r="D55" s="174"/>
      <c r="E55" s="37">
        <v>35.119999999999997</v>
      </c>
      <c r="F55" s="4">
        <v>2844</v>
      </c>
      <c r="G55" s="4">
        <f t="shared" si="31"/>
        <v>99881.279999999999</v>
      </c>
      <c r="H55" s="22" t="s">
        <v>139</v>
      </c>
      <c r="I55" s="16">
        <v>10</v>
      </c>
      <c r="J55" s="18">
        <v>3000</v>
      </c>
      <c r="K55" s="17">
        <f t="shared" si="1"/>
        <v>300</v>
      </c>
      <c r="L55" s="16">
        <v>10</v>
      </c>
      <c r="M55" s="18">
        <f t="shared" si="32"/>
        <v>2892.2033898305108</v>
      </c>
      <c r="N55" s="18">
        <f t="shared" si="3"/>
        <v>289.22033898305108</v>
      </c>
      <c r="O55" s="19">
        <f t="shared" si="4"/>
        <v>0</v>
      </c>
      <c r="P55" s="20">
        <f t="shared" si="5"/>
        <v>-10.779661016948921</v>
      </c>
      <c r="Q55" s="21">
        <f t="shared" si="6"/>
        <v>0.96406779661017028</v>
      </c>
      <c r="R55" s="188"/>
      <c r="S55" s="28">
        <v>0.69444444444444431</v>
      </c>
      <c r="T55" s="28">
        <v>0.7354166666666665</v>
      </c>
      <c r="U55" s="4">
        <f t="shared" si="34"/>
        <v>6.9999999999999751</v>
      </c>
      <c r="V55" s="22">
        <f t="shared" si="33"/>
        <v>58.99999999999995</v>
      </c>
      <c r="W55" s="23"/>
      <c r="X55" s="23"/>
      <c r="Y55" s="26"/>
      <c r="Z55" s="26"/>
      <c r="AA55" s="175"/>
      <c r="AB55" s="176"/>
      <c r="AC55" s="25"/>
      <c r="AD55" s="25"/>
      <c r="AE55" s="19">
        <f t="shared" si="8"/>
        <v>-107.79661016948921</v>
      </c>
      <c r="AF55" s="21">
        <f t="shared" si="9"/>
        <v>0.96406779661017028</v>
      </c>
      <c r="AG55" s="188"/>
    </row>
    <row r="56" spans="1:33" ht="15.75" customHeight="1">
      <c r="A56" s="185" t="s">
        <v>2020</v>
      </c>
      <c r="B56" s="37" t="s">
        <v>111</v>
      </c>
      <c r="C56" s="173" t="s">
        <v>403</v>
      </c>
      <c r="D56" s="174"/>
      <c r="E56" s="37">
        <v>34.36</v>
      </c>
      <c r="F56" s="4">
        <v>1431</v>
      </c>
      <c r="G56" s="4">
        <f t="shared" si="31"/>
        <v>49169.159999999996</v>
      </c>
      <c r="H56" s="22" t="s">
        <v>139</v>
      </c>
      <c r="I56" s="16">
        <v>10</v>
      </c>
      <c r="J56" s="18">
        <v>3000</v>
      </c>
      <c r="K56" s="17">
        <f t="shared" si="1"/>
        <v>300</v>
      </c>
      <c r="L56" s="16">
        <v>10</v>
      </c>
      <c r="M56" s="18">
        <f t="shared" si="32"/>
        <v>2861.999999999995</v>
      </c>
      <c r="N56" s="18">
        <f t="shared" si="3"/>
        <v>286.19999999999948</v>
      </c>
      <c r="O56" s="19">
        <f t="shared" si="4"/>
        <v>0</v>
      </c>
      <c r="P56" s="20">
        <f t="shared" si="5"/>
        <v>-13.800000000000523</v>
      </c>
      <c r="Q56" s="21">
        <f t="shared" si="6"/>
        <v>0.95399999999999829</v>
      </c>
      <c r="R56" s="188"/>
      <c r="S56" s="28">
        <v>0.74027777777777759</v>
      </c>
      <c r="T56" s="28">
        <v>0.76111111111111096</v>
      </c>
      <c r="U56" s="4">
        <f t="shared" si="34"/>
        <v>6.9999999999999751</v>
      </c>
      <c r="V56" s="22">
        <f t="shared" si="33"/>
        <v>30.000000000000053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8"/>
        <v>-138.000000000005</v>
      </c>
      <c r="AF56" s="21">
        <f t="shared" si="9"/>
        <v>0.95399999999999829</v>
      </c>
      <c r="AG56" s="188"/>
    </row>
    <row r="57" spans="1:33" ht="15.75" customHeight="1">
      <c r="A57" s="186" t="s">
        <v>2022</v>
      </c>
      <c r="B57" s="37" t="s">
        <v>2014</v>
      </c>
      <c r="C57" s="166"/>
      <c r="D57" s="167"/>
      <c r="E57" s="41"/>
      <c r="F57" s="4"/>
      <c r="G57" s="4"/>
      <c r="H57" s="4"/>
      <c r="I57" s="30">
        <v>9.8181818181818183</v>
      </c>
      <c r="J57" s="18">
        <v>3000</v>
      </c>
      <c r="K57" s="17">
        <f t="shared" si="1"/>
        <v>305.55555555555554</v>
      </c>
      <c r="L57" s="30">
        <v>9.8181818181818183</v>
      </c>
      <c r="M57" s="18">
        <f>AVERAGE(M46:M56)</f>
        <v>2876.6820252193438</v>
      </c>
      <c r="N57" s="17">
        <f t="shared" si="3"/>
        <v>292.99539145752573</v>
      </c>
      <c r="O57" s="19">
        <f t="shared" si="4"/>
        <v>0</v>
      </c>
      <c r="P57" s="20">
        <f t="shared" si="5"/>
        <v>-12.560164098029816</v>
      </c>
      <c r="Q57" s="21">
        <f t="shared" si="6"/>
        <v>0.9588940084064479</v>
      </c>
      <c r="R57" s="189"/>
      <c r="S57" s="28"/>
      <c r="T57" s="28"/>
      <c r="U57" s="4"/>
      <c r="V57" s="22"/>
      <c r="W57" s="23"/>
      <c r="X57" s="23"/>
      <c r="Y57" s="31">
        <f>SUM(Y46:Y56)</f>
        <v>0</v>
      </c>
      <c r="Z57" s="31">
        <f>SUM(Z46:Z56)</f>
        <v>0</v>
      </c>
      <c r="AA57" s="180"/>
      <c r="AB57" s="181"/>
      <c r="AC57" s="31">
        <v>11</v>
      </c>
      <c r="AD57" s="31">
        <f>SUM(AD46:AD56)</f>
        <v>0</v>
      </c>
      <c r="AE57" s="19">
        <f t="shared" si="8"/>
        <v>-123.31797478065619</v>
      </c>
      <c r="AF57" s="21">
        <f t="shared" si="9"/>
        <v>0.9588940084064479</v>
      </c>
      <c r="AG57" s="189"/>
    </row>
    <row r="58" spans="1:33" ht="15.75" customHeight="1">
      <c r="A58" s="182" t="s">
        <v>2023</v>
      </c>
      <c r="B58" s="37" t="s">
        <v>84</v>
      </c>
      <c r="C58" s="165" t="s">
        <v>118</v>
      </c>
      <c r="D58" s="165"/>
      <c r="E58" s="37">
        <v>46</v>
      </c>
      <c r="F58" s="42">
        <v>1703</v>
      </c>
      <c r="G58" s="4">
        <f t="shared" ref="G58:G68" si="35">E58*F58</f>
        <v>78338</v>
      </c>
      <c r="H58" s="22" t="s">
        <v>139</v>
      </c>
      <c r="I58" s="16">
        <v>17</v>
      </c>
      <c r="J58" s="18">
        <v>2000</v>
      </c>
      <c r="K58" s="17">
        <f t="shared" si="1"/>
        <v>117.64705882352941</v>
      </c>
      <c r="L58" s="16">
        <v>17</v>
      </c>
      <c r="M58" s="18">
        <f t="shared" ref="M58:M68" si="36">F58/V58*60</f>
        <v>1927.9245283018861</v>
      </c>
      <c r="N58" s="18">
        <f t="shared" si="3"/>
        <v>113.40732519422859</v>
      </c>
      <c r="O58" s="19">
        <f t="shared" si="4"/>
        <v>0</v>
      </c>
      <c r="P58" s="20">
        <f t="shared" si="5"/>
        <v>-4.2397336293008152</v>
      </c>
      <c r="Q58" s="21">
        <f t="shared" si="6"/>
        <v>0.9639622641509431</v>
      </c>
      <c r="R58" s="172">
        <f>Q69</f>
        <v>0.93762707679388124</v>
      </c>
      <c r="S58" s="28">
        <v>0.20833333333333334</v>
      </c>
      <c r="T58" s="28">
        <v>0.24513888888888891</v>
      </c>
      <c r="U58" s="28"/>
      <c r="V58" s="22">
        <f t="shared" ref="V58:V68" si="37">(T58-S58)*24*60</f>
        <v>53.000000000000014</v>
      </c>
      <c r="W58" s="28"/>
      <c r="X58" s="28"/>
      <c r="Y58" s="28"/>
      <c r="Z58" s="28"/>
      <c r="AA58" s="164"/>
      <c r="AB58" s="164"/>
      <c r="AC58" s="25">
        <v>11</v>
      </c>
      <c r="AD58" s="25"/>
      <c r="AE58" s="19">
        <f t="shared" si="8"/>
        <v>-72.075471698113915</v>
      </c>
      <c r="AF58" s="21">
        <f t="shared" si="9"/>
        <v>0.96396226415094299</v>
      </c>
      <c r="AG58" s="172">
        <f>AF69</f>
        <v>0.93762707679388135</v>
      </c>
    </row>
    <row r="59" spans="1:33" ht="15.75" customHeight="1">
      <c r="A59" s="182" t="s">
        <v>2024</v>
      </c>
      <c r="B59" s="37" t="s">
        <v>84</v>
      </c>
      <c r="C59" s="165" t="s">
        <v>119</v>
      </c>
      <c r="D59" s="165"/>
      <c r="E59" s="37">
        <v>46</v>
      </c>
      <c r="F59" s="42">
        <v>1830</v>
      </c>
      <c r="G59" s="4">
        <f t="shared" si="35"/>
        <v>84180</v>
      </c>
      <c r="H59" s="22" t="s">
        <v>139</v>
      </c>
      <c r="I59" s="16">
        <v>17</v>
      </c>
      <c r="J59" s="18">
        <v>2000</v>
      </c>
      <c r="K59" s="17">
        <f t="shared" si="1"/>
        <v>117.64705882352941</v>
      </c>
      <c r="L59" s="16">
        <v>17</v>
      </c>
      <c r="M59" s="18">
        <f t="shared" si="36"/>
        <v>1926.3157894736858</v>
      </c>
      <c r="N59" s="18">
        <f t="shared" si="3"/>
        <v>113.31269349845211</v>
      </c>
      <c r="O59" s="19">
        <f t="shared" si="4"/>
        <v>0</v>
      </c>
      <c r="P59" s="20">
        <f t="shared" si="5"/>
        <v>-4.3343653250773002</v>
      </c>
      <c r="Q59" s="21">
        <f t="shared" si="6"/>
        <v>0.96315789473684299</v>
      </c>
      <c r="R59" s="172"/>
      <c r="S59" s="28">
        <v>0.25069444444444444</v>
      </c>
      <c r="T59" s="28">
        <v>0.29027777777777775</v>
      </c>
      <c r="U59" s="4">
        <f t="shared" ref="U59:U67" si="38">IF(S59=TIME(17,0,0),"",(S59-T58)*24*60)</f>
        <v>7.9999999999999716</v>
      </c>
      <c r="V59" s="22">
        <f t="shared" si="37"/>
        <v>56.999999999999957</v>
      </c>
      <c r="W59" s="23"/>
      <c r="X59" s="23"/>
      <c r="Y59" s="23"/>
      <c r="Z59" s="23"/>
      <c r="AA59" s="164"/>
      <c r="AB59" s="164"/>
      <c r="AC59" s="25"/>
      <c r="AD59" s="25"/>
      <c r="AE59" s="19">
        <f t="shared" si="8"/>
        <v>-73.684210526314246</v>
      </c>
      <c r="AF59" s="21">
        <f t="shared" si="9"/>
        <v>0.96315789473684288</v>
      </c>
      <c r="AG59" s="172"/>
    </row>
    <row r="60" spans="1:33" ht="15.75" customHeight="1">
      <c r="A60" s="182" t="s">
        <v>2025</v>
      </c>
      <c r="B60" s="37" t="s">
        <v>78</v>
      </c>
      <c r="C60" s="173" t="s">
        <v>120</v>
      </c>
      <c r="D60" s="174"/>
      <c r="E60" s="37">
        <v>56.43</v>
      </c>
      <c r="F60" s="42">
        <v>2323</v>
      </c>
      <c r="G60" s="4">
        <f t="shared" si="35"/>
        <v>131086.88999999998</v>
      </c>
      <c r="H60" s="22" t="s">
        <v>139</v>
      </c>
      <c r="I60" s="16">
        <v>22</v>
      </c>
      <c r="J60" s="18">
        <v>2000</v>
      </c>
      <c r="K60" s="17">
        <f t="shared" si="1"/>
        <v>90.909090909090907</v>
      </c>
      <c r="L60" s="16">
        <v>22</v>
      </c>
      <c r="M60" s="18">
        <f t="shared" si="36"/>
        <v>1720.7407407407402</v>
      </c>
      <c r="N60" s="18">
        <f t="shared" si="3"/>
        <v>78.215488215488193</v>
      </c>
      <c r="O60" s="19">
        <f t="shared" si="4"/>
        <v>0</v>
      </c>
      <c r="P60" s="20">
        <f t="shared" si="5"/>
        <v>-12.693602693602713</v>
      </c>
      <c r="Q60" s="21">
        <f t="shared" si="6"/>
        <v>0.86037037037037012</v>
      </c>
      <c r="R60" s="172"/>
      <c r="S60" s="28">
        <v>0.29374999999999996</v>
      </c>
      <c r="T60" s="28">
        <v>0.35</v>
      </c>
      <c r="U60" s="4">
        <f t="shared" si="38"/>
        <v>4.9999999999999822</v>
      </c>
      <c r="V60" s="22">
        <f t="shared" si="37"/>
        <v>81.000000000000028</v>
      </c>
      <c r="W60" s="23"/>
      <c r="X60" s="23"/>
      <c r="Y60" s="26"/>
      <c r="Z60" s="26"/>
      <c r="AA60" s="164"/>
      <c r="AB60" s="164"/>
      <c r="AC60" s="25"/>
      <c r="AD60" s="25"/>
      <c r="AE60" s="19">
        <f t="shared" si="8"/>
        <v>-279.25925925925981</v>
      </c>
      <c r="AF60" s="21">
        <f t="shared" si="9"/>
        <v>0.86037037037037012</v>
      </c>
      <c r="AG60" s="172"/>
    </row>
    <row r="61" spans="1:33" ht="15.75" customHeight="1">
      <c r="A61" s="182" t="s">
        <v>2026</v>
      </c>
      <c r="B61" s="37" t="s">
        <v>78</v>
      </c>
      <c r="C61" s="43" t="s">
        <v>121</v>
      </c>
      <c r="D61" s="44"/>
      <c r="E61" s="37">
        <v>51.75</v>
      </c>
      <c r="F61" s="42">
        <v>1895</v>
      </c>
      <c r="G61" s="4">
        <f t="shared" si="35"/>
        <v>98066.25</v>
      </c>
      <c r="H61" s="22" t="s">
        <v>139</v>
      </c>
      <c r="I61" s="16">
        <v>25</v>
      </c>
      <c r="J61" s="18">
        <v>2000</v>
      </c>
      <c r="K61" s="17">
        <f t="shared" si="1"/>
        <v>80</v>
      </c>
      <c r="L61" s="16">
        <v>25</v>
      </c>
      <c r="M61" s="18">
        <f t="shared" si="36"/>
        <v>1722.7272727272727</v>
      </c>
      <c r="N61" s="18">
        <f t="shared" si="3"/>
        <v>68.909090909090907</v>
      </c>
      <c r="O61" s="19">
        <f t="shared" si="4"/>
        <v>0</v>
      </c>
      <c r="P61" s="20">
        <f t="shared" si="5"/>
        <v>-11.090909090909093</v>
      </c>
      <c r="Q61" s="21">
        <f t="shared" si="6"/>
        <v>0.86136363636363633</v>
      </c>
      <c r="R61" s="172"/>
      <c r="S61" s="28">
        <v>0.35347222222222219</v>
      </c>
      <c r="T61" s="28">
        <v>0.39930555555555552</v>
      </c>
      <c r="U61" s="4">
        <f t="shared" si="38"/>
        <v>4.9999999999999822</v>
      </c>
      <c r="V61" s="22">
        <f t="shared" si="37"/>
        <v>66</v>
      </c>
      <c r="W61" s="23"/>
      <c r="X61" s="23"/>
      <c r="Y61" s="26"/>
      <c r="Z61" s="26"/>
      <c r="AA61" s="164"/>
      <c r="AB61" s="164"/>
      <c r="AC61" s="25"/>
      <c r="AD61" s="25"/>
      <c r="AE61" s="19">
        <f t="shared" si="8"/>
        <v>-277.27272727272725</v>
      </c>
      <c r="AF61" s="21">
        <f t="shared" si="9"/>
        <v>0.86136363636363633</v>
      </c>
      <c r="AG61" s="172"/>
    </row>
    <row r="62" spans="1:33" ht="15.75" customHeight="1">
      <c r="A62" s="182" t="s">
        <v>2027</v>
      </c>
      <c r="B62" s="37" t="s">
        <v>78</v>
      </c>
      <c r="C62" s="43" t="s">
        <v>122</v>
      </c>
      <c r="D62" s="44"/>
      <c r="E62" s="37">
        <v>54.09</v>
      </c>
      <c r="F62" s="42">
        <v>1498</v>
      </c>
      <c r="G62" s="4">
        <f t="shared" si="35"/>
        <v>81026.820000000007</v>
      </c>
      <c r="H62" s="22" t="s">
        <v>139</v>
      </c>
      <c r="I62" s="16">
        <v>19</v>
      </c>
      <c r="J62" s="18">
        <v>2000</v>
      </c>
      <c r="K62" s="17">
        <f t="shared" si="1"/>
        <v>105.26315789473684</v>
      </c>
      <c r="L62" s="16">
        <v>19</v>
      </c>
      <c r="M62" s="18">
        <f t="shared" si="36"/>
        <v>1872.5000000000005</v>
      </c>
      <c r="N62" s="18">
        <f t="shared" si="3"/>
        <v>98.552631578947398</v>
      </c>
      <c r="O62" s="19">
        <f t="shared" si="4"/>
        <v>0</v>
      </c>
      <c r="P62" s="20">
        <f t="shared" si="5"/>
        <v>-6.710526315789437</v>
      </c>
      <c r="Q62" s="21">
        <f t="shared" si="6"/>
        <v>0.93625000000000036</v>
      </c>
      <c r="R62" s="172"/>
      <c r="S62" s="28">
        <v>0.40347222222222218</v>
      </c>
      <c r="T62" s="28">
        <v>0.4368055555555555</v>
      </c>
      <c r="U62" s="4">
        <f t="shared" si="38"/>
        <v>5.9999999999999787</v>
      </c>
      <c r="V62" s="22">
        <f t="shared" si="37"/>
        <v>47.999999999999986</v>
      </c>
      <c r="W62" s="23"/>
      <c r="X62" s="23"/>
      <c r="Y62" s="26"/>
      <c r="Z62" s="26"/>
      <c r="AA62" s="164"/>
      <c r="AB62" s="164"/>
      <c r="AC62" s="25"/>
      <c r="AD62" s="25"/>
      <c r="AE62" s="19">
        <f t="shared" si="8"/>
        <v>-127.49999999999955</v>
      </c>
      <c r="AF62" s="21">
        <f t="shared" si="9"/>
        <v>0.93625000000000025</v>
      </c>
      <c r="AG62" s="172"/>
    </row>
    <row r="63" spans="1:33" ht="15.75" customHeight="1">
      <c r="A63" s="182" t="s">
        <v>2027</v>
      </c>
      <c r="B63" s="37" t="s">
        <v>78</v>
      </c>
      <c r="C63" s="173" t="s">
        <v>123</v>
      </c>
      <c r="D63" s="174"/>
      <c r="E63" s="37">
        <v>55.56</v>
      </c>
      <c r="F63" s="42">
        <v>1000</v>
      </c>
      <c r="G63" s="4">
        <f t="shared" si="35"/>
        <v>55560</v>
      </c>
      <c r="H63" s="22">
        <v>2</v>
      </c>
      <c r="I63" s="16">
        <v>17</v>
      </c>
      <c r="J63" s="18">
        <v>2000</v>
      </c>
      <c r="K63" s="17">
        <f t="shared" si="1"/>
        <v>117.64705882352941</v>
      </c>
      <c r="L63" s="16">
        <v>17</v>
      </c>
      <c r="M63" s="18">
        <f t="shared" si="36"/>
        <v>1935.483870967739</v>
      </c>
      <c r="N63" s="18">
        <f t="shared" si="3"/>
        <v>113.85199240986699</v>
      </c>
      <c r="O63" s="19">
        <f t="shared" si="4"/>
        <v>0</v>
      </c>
      <c r="P63" s="20">
        <f t="shared" si="5"/>
        <v>-3.7950664136624113</v>
      </c>
      <c r="Q63" s="21">
        <f t="shared" si="6"/>
        <v>0.96774193548386955</v>
      </c>
      <c r="R63" s="172"/>
      <c r="S63" s="28">
        <v>0.70833333333333337</v>
      </c>
      <c r="T63" s="28">
        <v>0.72986111111111118</v>
      </c>
      <c r="U63" s="4" t="str">
        <f t="shared" si="38"/>
        <v/>
      </c>
      <c r="V63" s="22">
        <f t="shared" si="37"/>
        <v>31.00000000000005</v>
      </c>
      <c r="W63" s="23"/>
      <c r="X63" s="23"/>
      <c r="Y63" s="26"/>
      <c r="Z63" s="26"/>
      <c r="AA63" s="175"/>
      <c r="AB63" s="176"/>
      <c r="AC63" s="25"/>
      <c r="AD63" s="25"/>
      <c r="AE63" s="19">
        <f t="shared" si="8"/>
        <v>-64.516129032261006</v>
      </c>
      <c r="AF63" s="21">
        <f t="shared" si="9"/>
        <v>0.96774193548386944</v>
      </c>
      <c r="AG63" s="172"/>
    </row>
    <row r="64" spans="1:33" ht="15.75" customHeight="1">
      <c r="A64" s="182" t="s">
        <v>2028</v>
      </c>
      <c r="B64" s="37" t="s">
        <v>78</v>
      </c>
      <c r="C64" s="173" t="s">
        <v>124</v>
      </c>
      <c r="D64" s="174"/>
      <c r="E64" s="37">
        <v>55.32</v>
      </c>
      <c r="F64" s="42">
        <v>1752</v>
      </c>
      <c r="G64" s="4">
        <f t="shared" si="35"/>
        <v>96920.639999999999</v>
      </c>
      <c r="H64" s="22" t="s">
        <v>139</v>
      </c>
      <c r="I64" s="16">
        <v>15</v>
      </c>
      <c r="J64" s="18">
        <v>2000</v>
      </c>
      <c r="K64" s="17">
        <f t="shared" si="1"/>
        <v>133.33333333333334</v>
      </c>
      <c r="L64" s="16">
        <v>15</v>
      </c>
      <c r="M64" s="18">
        <f t="shared" si="36"/>
        <v>1911.2727272727286</v>
      </c>
      <c r="N64" s="18">
        <f t="shared" si="3"/>
        <v>127.41818181818191</v>
      </c>
      <c r="O64" s="19">
        <f t="shared" si="4"/>
        <v>0</v>
      </c>
      <c r="P64" s="20">
        <f t="shared" si="5"/>
        <v>-5.915151515151436</v>
      </c>
      <c r="Q64" s="21">
        <f t="shared" si="6"/>
        <v>0.95563636363636428</v>
      </c>
      <c r="R64" s="172"/>
      <c r="S64" s="28">
        <v>0.73402777777777783</v>
      </c>
      <c r="T64" s="28">
        <v>0.77222222222222225</v>
      </c>
      <c r="U64" s="4">
        <f t="shared" si="38"/>
        <v>5.9999999999999787</v>
      </c>
      <c r="V64" s="22">
        <f t="shared" si="37"/>
        <v>54.999999999999964</v>
      </c>
      <c r="W64" s="23"/>
      <c r="X64" s="23"/>
      <c r="Y64" s="26"/>
      <c r="Z64" s="26"/>
      <c r="AA64" s="175"/>
      <c r="AB64" s="176"/>
      <c r="AC64" s="25"/>
      <c r="AD64" s="25"/>
      <c r="AE64" s="19">
        <f t="shared" si="8"/>
        <v>-88.727272727271384</v>
      </c>
      <c r="AF64" s="21">
        <f t="shared" si="9"/>
        <v>0.95563636363636428</v>
      </c>
      <c r="AG64" s="172"/>
    </row>
    <row r="65" spans="1:33" ht="15.75" customHeight="1">
      <c r="A65" s="182" t="s">
        <v>2024</v>
      </c>
      <c r="B65" s="37" t="s">
        <v>78</v>
      </c>
      <c r="C65" s="173" t="s">
        <v>125</v>
      </c>
      <c r="D65" s="174"/>
      <c r="E65" s="37">
        <v>54.29</v>
      </c>
      <c r="F65" s="42">
        <v>500</v>
      </c>
      <c r="G65" s="4">
        <f t="shared" si="35"/>
        <v>27145</v>
      </c>
      <c r="H65" s="22">
        <v>2</v>
      </c>
      <c r="I65" s="16">
        <v>20</v>
      </c>
      <c r="J65" s="18">
        <v>2000</v>
      </c>
      <c r="K65" s="17">
        <f t="shared" si="1"/>
        <v>100</v>
      </c>
      <c r="L65" s="16">
        <v>20</v>
      </c>
      <c r="M65" s="18">
        <f t="shared" si="36"/>
        <v>1875.0000000000066</v>
      </c>
      <c r="N65" s="18">
        <f t="shared" si="3"/>
        <v>93.750000000000327</v>
      </c>
      <c r="O65" s="19">
        <f t="shared" si="4"/>
        <v>0</v>
      </c>
      <c r="P65" s="20">
        <f t="shared" si="5"/>
        <v>-6.2499999999996732</v>
      </c>
      <c r="Q65" s="21">
        <f t="shared" si="6"/>
        <v>0.93750000000000322</v>
      </c>
      <c r="R65" s="172"/>
      <c r="S65" s="28">
        <v>0.77777777777777779</v>
      </c>
      <c r="T65" s="28">
        <v>0.78888888888888886</v>
      </c>
      <c r="U65" s="4">
        <f t="shared" si="38"/>
        <v>7.9999999999999716</v>
      </c>
      <c r="V65" s="22">
        <f t="shared" si="37"/>
        <v>15.999999999999943</v>
      </c>
      <c r="W65" s="23"/>
      <c r="X65" s="23"/>
      <c r="Y65" s="26"/>
      <c r="Z65" s="26"/>
      <c r="AA65" s="175"/>
      <c r="AB65" s="176"/>
      <c r="AC65" s="25"/>
      <c r="AD65" s="25"/>
      <c r="AE65" s="19">
        <f t="shared" si="8"/>
        <v>-124.99999999999341</v>
      </c>
      <c r="AF65" s="21">
        <f t="shared" si="9"/>
        <v>0.93750000000000333</v>
      </c>
      <c r="AG65" s="172"/>
    </row>
    <row r="66" spans="1:33">
      <c r="A66" s="182" t="s">
        <v>2029</v>
      </c>
      <c r="B66" s="37" t="s">
        <v>78</v>
      </c>
      <c r="C66" s="173" t="s">
        <v>126</v>
      </c>
      <c r="D66" s="174"/>
      <c r="E66" s="37">
        <v>57.73</v>
      </c>
      <c r="F66" s="42">
        <v>1599</v>
      </c>
      <c r="G66" s="4">
        <f t="shared" si="35"/>
        <v>92310.26999999999</v>
      </c>
      <c r="H66" s="22" t="s">
        <v>139</v>
      </c>
      <c r="I66" s="16">
        <v>16</v>
      </c>
      <c r="J66" s="18">
        <v>1500</v>
      </c>
      <c r="K66" s="17">
        <f t="shared" si="1"/>
        <v>93.75</v>
      </c>
      <c r="L66" s="16">
        <v>16</v>
      </c>
      <c r="M66" s="18">
        <f t="shared" si="36"/>
        <v>1431.9402985074644</v>
      </c>
      <c r="N66" s="18">
        <f t="shared" si="3"/>
        <v>89.496268656716524</v>
      </c>
      <c r="O66" s="19">
        <f t="shared" si="4"/>
        <v>0</v>
      </c>
      <c r="P66" s="20">
        <f t="shared" si="5"/>
        <v>-4.2537313432834765</v>
      </c>
      <c r="Q66" s="21">
        <f t="shared" si="6"/>
        <v>0.9546268656716429</v>
      </c>
      <c r="R66" s="172"/>
      <c r="S66" s="28">
        <v>0.79236111111111107</v>
      </c>
      <c r="T66" s="28">
        <v>0.8388888888888888</v>
      </c>
      <c r="U66" s="4">
        <f t="shared" si="38"/>
        <v>4.9999999999999822</v>
      </c>
      <c r="V66" s="22">
        <f t="shared" si="37"/>
        <v>66.999999999999915</v>
      </c>
      <c r="W66" s="23">
        <f>T66</f>
        <v>0.8388888888888888</v>
      </c>
      <c r="X66" s="23">
        <f>S67</f>
        <v>0.88055555555555542</v>
      </c>
      <c r="Y66" s="26"/>
      <c r="Z66" s="26"/>
      <c r="AA66" s="175"/>
      <c r="AB66" s="176"/>
      <c r="AC66" s="25"/>
      <c r="AD66" s="25"/>
      <c r="AE66" s="19">
        <f t="shared" si="8"/>
        <v>-68.059701492535623</v>
      </c>
      <c r="AF66" s="21">
        <f t="shared" si="9"/>
        <v>0.9546268656716429</v>
      </c>
      <c r="AG66" s="172"/>
    </row>
    <row r="67" spans="1:33">
      <c r="A67" s="182" t="s">
        <v>2028</v>
      </c>
      <c r="B67" s="37" t="s">
        <v>78</v>
      </c>
      <c r="C67" s="173" t="s">
        <v>123</v>
      </c>
      <c r="D67" s="174"/>
      <c r="E67" s="37">
        <v>55.56</v>
      </c>
      <c r="F67" s="42">
        <v>1449</v>
      </c>
      <c r="G67" s="4">
        <f t="shared" si="35"/>
        <v>80506.44</v>
      </c>
      <c r="H67" s="22" t="s">
        <v>139</v>
      </c>
      <c r="I67" s="16">
        <v>17</v>
      </c>
      <c r="J67" s="18">
        <v>2000</v>
      </c>
      <c r="K67" s="17">
        <f t="shared" si="1"/>
        <v>117.64705882352941</v>
      </c>
      <c r="L67" s="16">
        <v>17</v>
      </c>
      <c r="M67" s="18">
        <f t="shared" si="36"/>
        <v>1932.0000000000002</v>
      </c>
      <c r="N67" s="18">
        <f t="shared" si="3"/>
        <v>113.64705882352942</v>
      </c>
      <c r="O67" s="19">
        <f t="shared" si="4"/>
        <v>0</v>
      </c>
      <c r="P67" s="20">
        <f t="shared" si="5"/>
        <v>-3.9999999999999858</v>
      </c>
      <c r="Q67" s="21">
        <f t="shared" si="6"/>
        <v>0.96600000000000008</v>
      </c>
      <c r="R67" s="172"/>
      <c r="S67" s="28">
        <v>0.88055555555555542</v>
      </c>
      <c r="T67" s="28">
        <v>0.91180555555555542</v>
      </c>
      <c r="U67" s="4">
        <f t="shared" si="38"/>
        <v>59.999999999999943</v>
      </c>
      <c r="V67" s="22">
        <f t="shared" si="37"/>
        <v>45</v>
      </c>
      <c r="W67" s="23"/>
      <c r="X67" s="23"/>
      <c r="Y67" s="26"/>
      <c r="Z67" s="26"/>
      <c r="AA67" s="175"/>
      <c r="AB67" s="176"/>
      <c r="AC67" s="25"/>
      <c r="AD67" s="25"/>
      <c r="AE67" s="19">
        <f t="shared" si="8"/>
        <v>-67.999999999999773</v>
      </c>
      <c r="AF67" s="21">
        <f t="shared" si="9"/>
        <v>0.96600000000000008</v>
      </c>
      <c r="AG67" s="172"/>
    </row>
    <row r="68" spans="1:33" ht="15.75" customHeight="1">
      <c r="A68" s="182" t="s">
        <v>2023</v>
      </c>
      <c r="B68" s="37" t="s">
        <v>78</v>
      </c>
      <c r="C68" s="173" t="s">
        <v>125</v>
      </c>
      <c r="D68" s="174"/>
      <c r="E68" s="37">
        <v>54.29</v>
      </c>
      <c r="F68" s="42">
        <v>1237</v>
      </c>
      <c r="G68" s="4">
        <f t="shared" si="35"/>
        <v>67156.73</v>
      </c>
      <c r="H68" s="22" t="s">
        <v>139</v>
      </c>
      <c r="I68" s="16">
        <v>20</v>
      </c>
      <c r="J68" s="18">
        <v>2000</v>
      </c>
      <c r="K68" s="17">
        <f t="shared" si="1"/>
        <v>100</v>
      </c>
      <c r="L68" s="16">
        <v>20</v>
      </c>
      <c r="M68" s="18">
        <f t="shared" si="36"/>
        <v>1903.076923076922</v>
      </c>
      <c r="N68" s="18">
        <f t="shared" si="3"/>
        <v>95.153846153846104</v>
      </c>
      <c r="O68" s="19">
        <f t="shared" si="4"/>
        <v>0</v>
      </c>
      <c r="P68" s="20">
        <f t="shared" si="5"/>
        <v>-4.8461538461538964</v>
      </c>
      <c r="Q68" s="21">
        <f t="shared" si="6"/>
        <v>0.951538461538461</v>
      </c>
      <c r="R68" s="172"/>
      <c r="S68" s="28">
        <v>0.91666666666666652</v>
      </c>
      <c r="T68" s="28">
        <v>0.94374999999999987</v>
      </c>
      <c r="U68" s="4">
        <f>IF(S68=TIME(17,0,0),"",(S68-T67)*24*60)</f>
        <v>6.9999999999999751</v>
      </c>
      <c r="V68" s="22">
        <f t="shared" si="37"/>
        <v>39.000000000000021</v>
      </c>
      <c r="W68" s="23"/>
      <c r="X68" s="23"/>
      <c r="Y68" s="26"/>
      <c r="Z68" s="26"/>
      <c r="AA68" s="175"/>
      <c r="AB68" s="176"/>
      <c r="AC68" s="25"/>
      <c r="AD68" s="25"/>
      <c r="AE68" s="19">
        <f t="shared" si="8"/>
        <v>-96.923076923078042</v>
      </c>
      <c r="AF68" s="21">
        <f t="shared" si="9"/>
        <v>0.951538461538461</v>
      </c>
      <c r="AG68" s="172"/>
    </row>
    <row r="69" spans="1:33">
      <c r="A69" s="183" t="s">
        <v>2030</v>
      </c>
      <c r="B69" s="37" t="s">
        <v>2031</v>
      </c>
      <c r="C69" s="177"/>
      <c r="D69" s="177"/>
      <c r="E69" s="38"/>
      <c r="F69" s="17"/>
      <c r="G69" s="17"/>
      <c r="H69" s="4"/>
      <c r="I69" s="30">
        <v>18.636363636363637</v>
      </c>
      <c r="J69" s="18">
        <v>1954.5454545454545</v>
      </c>
      <c r="K69" s="17">
        <f t="shared" ref="K69:K83" si="39">J69/I69</f>
        <v>104.8780487804878</v>
      </c>
      <c r="L69" s="30">
        <v>18.636363636363637</v>
      </c>
      <c r="M69" s="18">
        <f>AVERAGE(M58:M68)</f>
        <v>1832.6347410062226</v>
      </c>
      <c r="N69" s="17">
        <f t="shared" ref="N69:N83" si="40">M69/L69</f>
        <v>98.336498297894863</v>
      </c>
      <c r="O69" s="19">
        <f t="shared" ref="O69:O83" si="41">L69-I69</f>
        <v>0</v>
      </c>
      <c r="P69" s="20">
        <f t="shared" ref="P69:P83" si="42">N69-K69</f>
        <v>-6.5415504825929389</v>
      </c>
      <c r="Q69" s="21">
        <f t="shared" ref="Q69:Q83" si="43">N69/K69</f>
        <v>0.93762707679388124</v>
      </c>
      <c r="R69" s="172"/>
      <c r="S69" s="28"/>
      <c r="T69" s="28"/>
      <c r="U69" s="4"/>
      <c r="V69" s="22"/>
      <c r="W69" s="17"/>
      <c r="X69" s="17"/>
      <c r="Y69" s="31">
        <f>SUM(Y58:Y68)</f>
        <v>0</v>
      </c>
      <c r="Z69" s="31">
        <f>SUM(Z58:Z68)</f>
        <v>0</v>
      </c>
      <c r="AA69" s="168"/>
      <c r="AB69" s="168"/>
      <c r="AC69" s="31">
        <v>11</v>
      </c>
      <c r="AD69" s="31">
        <f>SUM(AD58:AD68)</f>
        <v>0</v>
      </c>
      <c r="AE69" s="19">
        <f>M69-J69</f>
        <v>-121.91071353923189</v>
      </c>
      <c r="AF69" s="21">
        <f t="shared" ref="AF69:AF83" si="44">M69/J69</f>
        <v>0.93762707679388135</v>
      </c>
      <c r="AG69" s="172"/>
    </row>
    <row r="70" spans="1:33" ht="15.75" customHeight="1">
      <c r="A70" s="178" t="s">
        <v>2032</v>
      </c>
      <c r="B70" s="4" t="s">
        <v>84</v>
      </c>
      <c r="C70" s="165" t="s">
        <v>127</v>
      </c>
      <c r="D70" s="165"/>
      <c r="E70" s="37">
        <v>26.97</v>
      </c>
      <c r="F70" s="42">
        <v>2769</v>
      </c>
      <c r="G70" s="4">
        <f t="shared" ref="G70:G75" si="45">E70*F70</f>
        <v>74679.929999999993</v>
      </c>
      <c r="H70" s="22" t="s">
        <v>139</v>
      </c>
      <c r="I70" s="16">
        <v>8</v>
      </c>
      <c r="J70" s="18">
        <v>1500</v>
      </c>
      <c r="K70" s="17">
        <f t="shared" si="39"/>
        <v>187.5</v>
      </c>
      <c r="L70" s="16">
        <v>8</v>
      </c>
      <c r="M70" s="18">
        <f t="shared" ref="M70:M75" si="46">F70/V70*60</f>
        <v>1432.2413793103447</v>
      </c>
      <c r="N70" s="17">
        <f t="shared" si="40"/>
        <v>179.03017241379308</v>
      </c>
      <c r="O70" s="19">
        <f t="shared" si="41"/>
        <v>0</v>
      </c>
      <c r="P70" s="20">
        <f t="shared" si="42"/>
        <v>-8.4698275862069181</v>
      </c>
      <c r="Q70" s="21">
        <f t="shared" si="43"/>
        <v>0.95482758620689645</v>
      </c>
      <c r="R70" s="172">
        <f>Q76</f>
        <v>0.96670919895915675</v>
      </c>
      <c r="S70" s="28">
        <v>0.20833333333333334</v>
      </c>
      <c r="T70" s="28">
        <v>0.28888888888888892</v>
      </c>
      <c r="U70" s="4"/>
      <c r="V70" s="22">
        <f t="shared" ref="V70:V75" si="47">(T70-S70)*24*60</f>
        <v>116.00000000000003</v>
      </c>
      <c r="W70" s="28"/>
      <c r="X70" s="28"/>
      <c r="Y70" s="28"/>
      <c r="Z70" s="28"/>
      <c r="AA70" s="164"/>
      <c r="AB70" s="164"/>
      <c r="AC70" s="25">
        <v>6</v>
      </c>
      <c r="AD70" s="25"/>
      <c r="AE70" s="19">
        <f t="shared" ref="AE70:AE83" si="48">M70-J70</f>
        <v>-67.758620689655345</v>
      </c>
      <c r="AF70" s="21">
        <f t="shared" si="44"/>
        <v>0.95482758620689645</v>
      </c>
      <c r="AG70" s="172">
        <f>AF76</f>
        <v>0.96670919895915675</v>
      </c>
    </row>
    <row r="71" spans="1:33" ht="15.75" customHeight="1">
      <c r="A71" s="178" t="s">
        <v>2033</v>
      </c>
      <c r="B71" s="4" t="s">
        <v>84</v>
      </c>
      <c r="C71" s="165" t="s">
        <v>128</v>
      </c>
      <c r="D71" s="165"/>
      <c r="E71" s="37">
        <v>27.4</v>
      </c>
      <c r="F71" s="42">
        <v>1059</v>
      </c>
      <c r="G71" s="4">
        <f t="shared" si="45"/>
        <v>29016.6</v>
      </c>
      <c r="H71" s="22" t="s">
        <v>139</v>
      </c>
      <c r="I71" s="16">
        <v>10</v>
      </c>
      <c r="J71" s="18">
        <v>1500</v>
      </c>
      <c r="K71" s="17">
        <f t="shared" si="39"/>
        <v>150</v>
      </c>
      <c r="L71" s="16">
        <v>10</v>
      </c>
      <c r="M71" s="18">
        <f t="shared" si="46"/>
        <v>1444.090909090909</v>
      </c>
      <c r="N71" s="17">
        <f t="shared" si="40"/>
        <v>144.40909090909091</v>
      </c>
      <c r="O71" s="19">
        <f t="shared" si="41"/>
        <v>0</v>
      </c>
      <c r="P71" s="20">
        <f t="shared" si="42"/>
        <v>-5.5909090909090935</v>
      </c>
      <c r="Q71" s="21">
        <f t="shared" si="43"/>
        <v>0.96272727272727276</v>
      </c>
      <c r="R71" s="172"/>
      <c r="S71" s="28">
        <v>0.29305555555555557</v>
      </c>
      <c r="T71" s="28">
        <v>0.32361111111111113</v>
      </c>
      <c r="U71" s="4">
        <f t="shared" ref="U71:U75" si="49">(S71-T70)*24*60</f>
        <v>5.9999999999999787</v>
      </c>
      <c r="V71" s="22">
        <f t="shared" si="47"/>
        <v>44</v>
      </c>
      <c r="W71" s="4"/>
      <c r="X71" s="4"/>
      <c r="Y71" s="4"/>
      <c r="Z71" s="4"/>
      <c r="AA71" s="164"/>
      <c r="AB71" s="164"/>
      <c r="AC71" s="25"/>
      <c r="AD71" s="25"/>
      <c r="AE71" s="19">
        <f t="shared" si="48"/>
        <v>-55.909090909090992</v>
      </c>
      <c r="AF71" s="21">
        <f t="shared" si="44"/>
        <v>0.96272727272727265</v>
      </c>
      <c r="AG71" s="172"/>
    </row>
    <row r="72" spans="1:33" ht="15.75" customHeight="1">
      <c r="A72" s="178" t="s">
        <v>2033</v>
      </c>
      <c r="B72" s="4" t="s">
        <v>111</v>
      </c>
      <c r="C72" s="165" t="s">
        <v>129</v>
      </c>
      <c r="D72" s="165"/>
      <c r="E72" s="37">
        <v>31</v>
      </c>
      <c r="F72" s="42">
        <v>687</v>
      </c>
      <c r="G72" s="4">
        <f t="shared" si="45"/>
        <v>21297</v>
      </c>
      <c r="H72" s="22" t="s">
        <v>139</v>
      </c>
      <c r="I72" s="16">
        <v>13</v>
      </c>
      <c r="J72" s="18">
        <v>2000</v>
      </c>
      <c r="K72" s="17">
        <f t="shared" si="39"/>
        <v>153.84615384615384</v>
      </c>
      <c r="L72" s="16">
        <v>13</v>
      </c>
      <c r="M72" s="18">
        <f t="shared" si="46"/>
        <v>1962.857142857142</v>
      </c>
      <c r="N72" s="17">
        <f t="shared" si="40"/>
        <v>150.98901098901092</v>
      </c>
      <c r="O72" s="19">
        <f t="shared" si="41"/>
        <v>0</v>
      </c>
      <c r="P72" s="20">
        <f t="shared" si="42"/>
        <v>-2.857142857142918</v>
      </c>
      <c r="Q72" s="21">
        <f t="shared" si="43"/>
        <v>0.98142857142857098</v>
      </c>
      <c r="R72" s="172"/>
      <c r="S72" s="28">
        <v>0.32777777777777778</v>
      </c>
      <c r="T72" s="28">
        <v>0.34236111111111112</v>
      </c>
      <c r="U72" s="4">
        <f t="shared" si="49"/>
        <v>5.9999999999999787</v>
      </c>
      <c r="V72" s="22">
        <f t="shared" si="47"/>
        <v>21.000000000000007</v>
      </c>
      <c r="W72" s="4"/>
      <c r="X72" s="4"/>
      <c r="Y72" s="4"/>
      <c r="Z72" s="4"/>
      <c r="AA72" s="164"/>
      <c r="AB72" s="164"/>
      <c r="AC72" s="25"/>
      <c r="AD72" s="25"/>
      <c r="AE72" s="19">
        <f t="shared" si="48"/>
        <v>-37.14285714285802</v>
      </c>
      <c r="AF72" s="21">
        <f t="shared" si="44"/>
        <v>0.98142857142857098</v>
      </c>
      <c r="AG72" s="172"/>
    </row>
    <row r="73" spans="1:33" ht="15.75" customHeight="1">
      <c r="A73" s="178" t="s">
        <v>2033</v>
      </c>
      <c r="B73" s="4" t="s">
        <v>111</v>
      </c>
      <c r="C73" s="165" t="s">
        <v>130</v>
      </c>
      <c r="D73" s="165"/>
      <c r="E73" s="37">
        <v>37.85</v>
      </c>
      <c r="F73" s="42">
        <v>2402</v>
      </c>
      <c r="G73" s="4">
        <f t="shared" si="45"/>
        <v>90915.7</v>
      </c>
      <c r="H73" s="22" t="s">
        <v>139</v>
      </c>
      <c r="I73" s="16">
        <v>12</v>
      </c>
      <c r="J73" s="18">
        <v>2000</v>
      </c>
      <c r="K73" s="17">
        <f t="shared" si="39"/>
        <v>166.66666666666666</v>
      </c>
      <c r="L73" s="16">
        <v>12</v>
      </c>
      <c r="M73" s="18">
        <f t="shared" si="46"/>
        <v>1921.6000000000006</v>
      </c>
      <c r="N73" s="17">
        <f t="shared" si="40"/>
        <v>160.13333333333338</v>
      </c>
      <c r="O73" s="19">
        <f t="shared" si="41"/>
        <v>0</v>
      </c>
      <c r="P73" s="20">
        <f t="shared" si="42"/>
        <v>-6.5333333333332746</v>
      </c>
      <c r="Q73" s="21">
        <f t="shared" si="43"/>
        <v>0.96080000000000032</v>
      </c>
      <c r="R73" s="172"/>
      <c r="S73" s="28">
        <v>0.34652777777777777</v>
      </c>
      <c r="T73" s="28">
        <v>0.39861111111111108</v>
      </c>
      <c r="U73" s="4">
        <f t="shared" si="49"/>
        <v>5.9999999999999787</v>
      </c>
      <c r="V73" s="22">
        <f t="shared" si="47"/>
        <v>74.999999999999972</v>
      </c>
      <c r="W73" s="4"/>
      <c r="X73" s="4"/>
      <c r="Y73" s="4"/>
      <c r="Z73" s="4"/>
      <c r="AA73" s="164"/>
      <c r="AB73" s="164"/>
      <c r="AC73" s="25"/>
      <c r="AD73" s="25"/>
      <c r="AE73" s="19">
        <f t="shared" si="48"/>
        <v>-78.399999999999409</v>
      </c>
      <c r="AF73" s="21">
        <f t="shared" si="44"/>
        <v>0.96080000000000032</v>
      </c>
      <c r="AG73" s="172"/>
    </row>
    <row r="74" spans="1:33">
      <c r="A74" s="179" t="s">
        <v>2033</v>
      </c>
      <c r="B74" s="4" t="s">
        <v>111</v>
      </c>
      <c r="C74" s="165" t="s">
        <v>131</v>
      </c>
      <c r="D74" s="165"/>
      <c r="E74" s="37">
        <v>34.36</v>
      </c>
      <c r="F74" s="42">
        <v>1955</v>
      </c>
      <c r="G74" s="4">
        <f t="shared" si="45"/>
        <v>67173.8</v>
      </c>
      <c r="H74" s="22" t="s">
        <v>139</v>
      </c>
      <c r="I74" s="16">
        <v>10</v>
      </c>
      <c r="J74" s="18">
        <v>3000</v>
      </c>
      <c r="K74" s="17">
        <f t="shared" si="39"/>
        <v>300</v>
      </c>
      <c r="L74" s="16">
        <v>10</v>
      </c>
      <c r="M74" s="18">
        <f t="shared" si="46"/>
        <v>2860.9756097560967</v>
      </c>
      <c r="N74" s="17">
        <f t="shared" si="40"/>
        <v>286.09756097560967</v>
      </c>
      <c r="O74" s="19">
        <f t="shared" si="41"/>
        <v>0</v>
      </c>
      <c r="P74" s="20">
        <f t="shared" si="42"/>
        <v>-13.902439024390333</v>
      </c>
      <c r="Q74" s="21">
        <f t="shared" si="43"/>
        <v>0.95365853658536559</v>
      </c>
      <c r="R74" s="172"/>
      <c r="S74" s="28">
        <v>0.40347222222222218</v>
      </c>
      <c r="T74" s="28">
        <v>0.43194444444444441</v>
      </c>
      <c r="U74" s="4">
        <f t="shared" si="49"/>
        <v>6.9999999999999751</v>
      </c>
      <c r="V74" s="22">
        <f t="shared" si="47"/>
        <v>41.000000000000014</v>
      </c>
      <c r="W74" s="23"/>
      <c r="X74" s="23"/>
      <c r="Y74" s="23"/>
      <c r="Z74" s="23"/>
      <c r="AA74" s="164"/>
      <c r="AB74" s="164"/>
      <c r="AC74" s="25"/>
      <c r="AD74" s="25"/>
      <c r="AE74" s="19">
        <f t="shared" si="48"/>
        <v>-139.02439024390333</v>
      </c>
      <c r="AF74" s="21">
        <f t="shared" si="44"/>
        <v>0.95365853658536559</v>
      </c>
      <c r="AG74" s="172"/>
    </row>
    <row r="75" spans="1:33" ht="15" customHeight="1">
      <c r="A75" s="179" t="s">
        <v>2033</v>
      </c>
      <c r="B75" s="4" t="s">
        <v>111</v>
      </c>
      <c r="C75" s="173" t="s">
        <v>117</v>
      </c>
      <c r="D75" s="174"/>
      <c r="E75" s="37">
        <v>44.03</v>
      </c>
      <c r="F75" s="42">
        <v>1080</v>
      </c>
      <c r="G75" s="4">
        <f t="shared" si="45"/>
        <v>47552.4</v>
      </c>
      <c r="H75" s="22" t="s">
        <v>139</v>
      </c>
      <c r="I75" s="16">
        <v>10</v>
      </c>
      <c r="J75" s="18">
        <v>3000</v>
      </c>
      <c r="K75" s="17">
        <f t="shared" si="39"/>
        <v>300</v>
      </c>
      <c r="L75" s="16">
        <v>10</v>
      </c>
      <c r="M75" s="18">
        <f t="shared" si="46"/>
        <v>2945.4545454545455</v>
      </c>
      <c r="N75" s="17">
        <f t="shared" si="40"/>
        <v>294.54545454545456</v>
      </c>
      <c r="O75" s="19">
        <f t="shared" si="41"/>
        <v>0</v>
      </c>
      <c r="P75" s="20">
        <f t="shared" si="42"/>
        <v>-5.454545454545439</v>
      </c>
      <c r="Q75" s="21">
        <f t="shared" si="43"/>
        <v>0.98181818181818192</v>
      </c>
      <c r="R75" s="172"/>
      <c r="S75" s="28">
        <v>0.43611111111111106</v>
      </c>
      <c r="T75" s="28">
        <v>0.45138888888888884</v>
      </c>
      <c r="U75" s="4">
        <f t="shared" si="49"/>
        <v>5.9999999999999787</v>
      </c>
      <c r="V75" s="22">
        <f t="shared" si="47"/>
        <v>22</v>
      </c>
      <c r="W75" s="4"/>
      <c r="X75" s="4"/>
      <c r="Y75" s="32"/>
      <c r="Z75" s="32"/>
      <c r="AA75" s="175"/>
      <c r="AB75" s="176"/>
      <c r="AC75" s="25"/>
      <c r="AD75" s="25"/>
      <c r="AE75" s="19">
        <f t="shared" si="48"/>
        <v>-54.545454545454504</v>
      </c>
      <c r="AF75" s="21">
        <f t="shared" si="44"/>
        <v>0.98181818181818181</v>
      </c>
      <c r="AG75" s="172"/>
    </row>
    <row r="76" spans="1:33">
      <c r="A76" s="179" t="s">
        <v>2033</v>
      </c>
      <c r="B76" s="37" t="s">
        <v>2034</v>
      </c>
      <c r="C76" s="177"/>
      <c r="D76" s="177"/>
      <c r="E76" s="38"/>
      <c r="F76" s="17"/>
      <c r="G76" s="17"/>
      <c r="H76" s="4"/>
      <c r="I76" s="30">
        <v>10.5</v>
      </c>
      <c r="J76" s="18">
        <v>2166.6666666666665</v>
      </c>
      <c r="K76" s="17">
        <f t="shared" si="39"/>
        <v>206.34920634920633</v>
      </c>
      <c r="L76" s="30">
        <v>10.5</v>
      </c>
      <c r="M76" s="18">
        <f>AVERAGE(M70:M75)</f>
        <v>2094.5365977448396</v>
      </c>
      <c r="N76" s="17">
        <f t="shared" si="40"/>
        <v>199.479675975699</v>
      </c>
      <c r="O76" s="19">
        <f t="shared" si="41"/>
        <v>0</v>
      </c>
      <c r="P76" s="20">
        <f t="shared" si="42"/>
        <v>-6.869530373507331</v>
      </c>
      <c r="Q76" s="21">
        <f t="shared" si="43"/>
        <v>0.96670919895915675</v>
      </c>
      <c r="R76" s="172"/>
      <c r="S76" s="28"/>
      <c r="T76" s="28"/>
      <c r="U76" s="17"/>
      <c r="V76" s="22"/>
      <c r="W76" s="17"/>
      <c r="X76" s="17"/>
      <c r="Y76" s="31">
        <f>SUM(Y70:Y75)</f>
        <v>0</v>
      </c>
      <c r="Z76" s="31">
        <f>SUM(Z70:Z75)</f>
        <v>0</v>
      </c>
      <c r="AA76" s="168"/>
      <c r="AB76" s="168"/>
      <c r="AC76" s="31">
        <v>6</v>
      </c>
      <c r="AD76" s="31">
        <f>SUM(AD70:AD75)</f>
        <v>0</v>
      </c>
      <c r="AE76" s="19">
        <f t="shared" si="48"/>
        <v>-72.130068921826933</v>
      </c>
      <c r="AF76" s="21">
        <f t="shared" si="44"/>
        <v>0.96670919895915675</v>
      </c>
      <c r="AG76" s="172"/>
    </row>
    <row r="77" spans="1:33" ht="15.75" customHeight="1">
      <c r="A77" s="169" t="s">
        <v>75</v>
      </c>
      <c r="B77" s="4" t="s">
        <v>100</v>
      </c>
      <c r="C77" s="165" t="s">
        <v>133</v>
      </c>
      <c r="D77" s="165"/>
      <c r="E77" s="37">
        <v>20.2</v>
      </c>
      <c r="F77" s="4">
        <v>2530</v>
      </c>
      <c r="G77" s="4">
        <f t="shared" ref="G77:G82" si="50">E77*F77</f>
        <v>51106</v>
      </c>
      <c r="H77" s="22" t="s">
        <v>139</v>
      </c>
      <c r="I77" s="16">
        <v>19</v>
      </c>
      <c r="J77" s="18">
        <v>2400</v>
      </c>
      <c r="K77" s="17">
        <f t="shared" si="39"/>
        <v>126.31578947368421</v>
      </c>
      <c r="L77" s="16">
        <v>19</v>
      </c>
      <c r="M77" s="18">
        <f t="shared" ref="M77:M82" si="51">F77/V77*60</f>
        <v>2300</v>
      </c>
      <c r="N77" s="17">
        <f t="shared" si="40"/>
        <v>121.05263157894737</v>
      </c>
      <c r="O77" s="19">
        <f t="shared" si="41"/>
        <v>0</v>
      </c>
      <c r="P77" s="20">
        <f t="shared" si="42"/>
        <v>-5.2631578947368354</v>
      </c>
      <c r="Q77" s="21">
        <f t="shared" si="43"/>
        <v>0.95833333333333337</v>
      </c>
      <c r="R77" s="172">
        <f>Q83</f>
        <v>0.95843324819746756</v>
      </c>
      <c r="S77" s="28">
        <v>0.125</v>
      </c>
      <c r="T77" s="28">
        <v>0.17083333333333334</v>
      </c>
      <c r="U77" s="28"/>
      <c r="V77" s="22">
        <f t="shared" ref="V77:V82" si="52">(T77-S77)*24*60</f>
        <v>66</v>
      </c>
      <c r="W77" s="23">
        <f>T77</f>
        <v>0.17083333333333334</v>
      </c>
      <c r="X77" s="23">
        <f>S78</f>
        <v>0.19236111111111112</v>
      </c>
      <c r="Y77" s="23"/>
      <c r="Z77" s="23"/>
      <c r="AA77" s="164"/>
      <c r="AB77" s="164"/>
      <c r="AC77" s="25">
        <v>6</v>
      </c>
      <c r="AD77" s="25"/>
      <c r="AE77" s="19">
        <f t="shared" si="48"/>
        <v>-100</v>
      </c>
      <c r="AF77" s="21">
        <f t="shared" si="44"/>
        <v>0.95833333333333337</v>
      </c>
      <c r="AG77" s="172">
        <f>AF83</f>
        <v>0.95843324819746767</v>
      </c>
    </row>
    <row r="78" spans="1:33" ht="15.75" customHeight="1">
      <c r="A78" s="170" t="s">
        <v>75</v>
      </c>
      <c r="B78" s="4" t="s">
        <v>100</v>
      </c>
      <c r="C78" s="165" t="s">
        <v>109</v>
      </c>
      <c r="D78" s="165"/>
      <c r="E78" s="37">
        <v>24.45</v>
      </c>
      <c r="F78" s="4">
        <v>3639</v>
      </c>
      <c r="G78" s="4">
        <f t="shared" si="50"/>
        <v>88973.55</v>
      </c>
      <c r="H78" s="22" t="s">
        <v>139</v>
      </c>
      <c r="I78" s="16">
        <v>20</v>
      </c>
      <c r="J78" s="18">
        <v>2400</v>
      </c>
      <c r="K78" s="17">
        <f t="shared" si="39"/>
        <v>120</v>
      </c>
      <c r="L78" s="16">
        <v>20</v>
      </c>
      <c r="M78" s="18">
        <f t="shared" si="51"/>
        <v>2298.3157894736837</v>
      </c>
      <c r="N78" s="17">
        <f t="shared" si="40"/>
        <v>114.91578947368419</v>
      </c>
      <c r="O78" s="19">
        <f t="shared" si="41"/>
        <v>0</v>
      </c>
      <c r="P78" s="20">
        <f t="shared" si="42"/>
        <v>-5.0842105263158146</v>
      </c>
      <c r="Q78" s="21">
        <f t="shared" si="43"/>
        <v>0.95763157894736817</v>
      </c>
      <c r="R78" s="172"/>
      <c r="S78" s="28">
        <v>0.19236111111111112</v>
      </c>
      <c r="T78" s="28">
        <v>0.25833333333333336</v>
      </c>
      <c r="U78" s="4">
        <f t="shared" ref="U78:U82" si="53">(S78-T77)*24*60</f>
        <v>31.000000000000011</v>
      </c>
      <c r="V78" s="22">
        <f t="shared" si="52"/>
        <v>95.000000000000028</v>
      </c>
      <c r="W78" s="23"/>
      <c r="X78" s="23"/>
      <c r="Y78" s="23"/>
      <c r="Z78" s="23"/>
      <c r="AA78" s="164"/>
      <c r="AB78" s="164"/>
      <c r="AC78" s="25"/>
      <c r="AD78" s="25"/>
      <c r="AE78" s="19">
        <f t="shared" si="48"/>
        <v>-101.68421052631629</v>
      </c>
      <c r="AF78" s="21">
        <f t="shared" si="44"/>
        <v>0.95763157894736817</v>
      </c>
      <c r="AG78" s="172"/>
    </row>
    <row r="79" spans="1:33" ht="15.75" customHeight="1">
      <c r="A79" s="170" t="s">
        <v>75</v>
      </c>
      <c r="B79" s="4" t="s">
        <v>100</v>
      </c>
      <c r="C79" s="165" t="s">
        <v>136</v>
      </c>
      <c r="D79" s="165"/>
      <c r="E79" s="37">
        <v>24.43</v>
      </c>
      <c r="F79" s="4">
        <v>8116</v>
      </c>
      <c r="G79" s="4">
        <f t="shared" si="50"/>
        <v>198273.88</v>
      </c>
      <c r="H79" s="22" t="s">
        <v>139</v>
      </c>
      <c r="I79" s="16">
        <v>14</v>
      </c>
      <c r="J79" s="18">
        <v>2400</v>
      </c>
      <c r="K79" s="17">
        <f t="shared" si="39"/>
        <v>171.42857142857142</v>
      </c>
      <c r="L79" s="16">
        <v>14</v>
      </c>
      <c r="M79" s="18">
        <f t="shared" si="51"/>
        <v>2286.1971830985917</v>
      </c>
      <c r="N79" s="17">
        <f t="shared" si="40"/>
        <v>163.29979879275655</v>
      </c>
      <c r="O79" s="19">
        <f t="shared" si="41"/>
        <v>0</v>
      </c>
      <c r="P79" s="20">
        <f t="shared" si="42"/>
        <v>-8.1287726358148689</v>
      </c>
      <c r="Q79" s="21">
        <f t="shared" si="43"/>
        <v>0.95258215962441328</v>
      </c>
      <c r="R79" s="172"/>
      <c r="S79" s="28">
        <v>0.26250000000000001</v>
      </c>
      <c r="T79" s="28">
        <v>0.41041666666666665</v>
      </c>
      <c r="U79" s="4">
        <f t="shared" si="53"/>
        <v>5.9999999999999787</v>
      </c>
      <c r="V79" s="22">
        <f t="shared" si="52"/>
        <v>212.99999999999997</v>
      </c>
      <c r="W79" s="23"/>
      <c r="X79" s="23"/>
      <c r="Y79" s="23"/>
      <c r="Z79" s="23"/>
      <c r="AA79" s="164"/>
      <c r="AB79" s="164"/>
      <c r="AC79" s="25"/>
      <c r="AD79" s="25"/>
      <c r="AE79" s="19">
        <f t="shared" si="48"/>
        <v>-113.80281690140828</v>
      </c>
      <c r="AF79" s="21">
        <f t="shared" si="44"/>
        <v>0.95258215962441317</v>
      </c>
      <c r="AG79" s="172"/>
    </row>
    <row r="80" spans="1:33" ht="15.75" customHeight="1">
      <c r="A80" s="170" t="s">
        <v>2035</v>
      </c>
      <c r="B80" s="4" t="s">
        <v>100</v>
      </c>
      <c r="C80" s="165" t="s">
        <v>138</v>
      </c>
      <c r="D80" s="165"/>
      <c r="E80" s="37">
        <v>22.69</v>
      </c>
      <c r="F80" s="4">
        <v>1175</v>
      </c>
      <c r="G80" s="4">
        <f t="shared" si="50"/>
        <v>26660.75</v>
      </c>
      <c r="H80" s="22" t="s">
        <v>139</v>
      </c>
      <c r="I80" s="16">
        <v>15</v>
      </c>
      <c r="J80" s="18">
        <v>2400</v>
      </c>
      <c r="K80" s="17">
        <f t="shared" si="39"/>
        <v>160</v>
      </c>
      <c r="L80" s="16">
        <v>15</v>
      </c>
      <c r="M80" s="18">
        <f t="shared" si="51"/>
        <v>2350.0000000000023</v>
      </c>
      <c r="N80" s="17">
        <f t="shared" si="40"/>
        <v>156.66666666666683</v>
      </c>
      <c r="O80" s="19">
        <f t="shared" si="41"/>
        <v>0</v>
      </c>
      <c r="P80" s="20">
        <f t="shared" si="42"/>
        <v>-3.3333333333331723</v>
      </c>
      <c r="Q80" s="21">
        <f t="shared" si="43"/>
        <v>0.97916666666666763</v>
      </c>
      <c r="R80" s="172"/>
      <c r="S80" s="28">
        <v>0.41388888888888886</v>
      </c>
      <c r="T80" s="28">
        <v>0.43472222222222218</v>
      </c>
      <c r="U80" s="4">
        <f t="shared" si="53"/>
        <v>4.9999999999999822</v>
      </c>
      <c r="V80" s="22">
        <f t="shared" si="52"/>
        <v>29.999999999999972</v>
      </c>
      <c r="W80" s="23"/>
      <c r="X80" s="23"/>
      <c r="Y80" s="23"/>
      <c r="Z80" s="23"/>
      <c r="AA80" s="164"/>
      <c r="AB80" s="164"/>
      <c r="AC80" s="25"/>
      <c r="AD80" s="25"/>
      <c r="AE80" s="19">
        <f t="shared" si="48"/>
        <v>-49.999999999997726</v>
      </c>
      <c r="AF80" s="21">
        <f t="shared" si="44"/>
        <v>0.97916666666666763</v>
      </c>
      <c r="AG80" s="172"/>
    </row>
    <row r="81" spans="1:33" ht="15.75" customHeight="1">
      <c r="A81" s="170" t="s">
        <v>75</v>
      </c>
      <c r="B81" s="4" t="s">
        <v>100</v>
      </c>
      <c r="C81" s="165" t="s">
        <v>135</v>
      </c>
      <c r="D81" s="165"/>
      <c r="E81" s="37">
        <v>19.02</v>
      </c>
      <c r="F81" s="4">
        <v>4600</v>
      </c>
      <c r="G81" s="4">
        <f t="shared" si="50"/>
        <v>87492</v>
      </c>
      <c r="H81" s="22">
        <v>2</v>
      </c>
      <c r="I81" s="16">
        <v>15</v>
      </c>
      <c r="J81" s="18">
        <v>2400</v>
      </c>
      <c r="K81" s="17">
        <f t="shared" si="39"/>
        <v>160</v>
      </c>
      <c r="L81" s="16">
        <v>15</v>
      </c>
      <c r="M81" s="18">
        <f t="shared" si="51"/>
        <v>2280.9917355371908</v>
      </c>
      <c r="N81" s="17">
        <f t="shared" si="40"/>
        <v>152.06611570247938</v>
      </c>
      <c r="O81" s="19">
        <f t="shared" si="41"/>
        <v>0</v>
      </c>
      <c r="P81" s="20">
        <f t="shared" si="42"/>
        <v>-7.9338842975206205</v>
      </c>
      <c r="Q81" s="21">
        <f t="shared" si="43"/>
        <v>0.95041322314049614</v>
      </c>
      <c r="R81" s="172"/>
      <c r="S81" s="28">
        <v>0.43958333333333327</v>
      </c>
      <c r="T81" s="28">
        <v>0.52361111111111103</v>
      </c>
      <c r="U81" s="4">
        <f t="shared" si="53"/>
        <v>6.9999999999999751</v>
      </c>
      <c r="V81" s="22">
        <f t="shared" si="52"/>
        <v>120.99999999999997</v>
      </c>
      <c r="W81" s="23">
        <f>T81</f>
        <v>0.52361111111111103</v>
      </c>
      <c r="X81" s="23">
        <f>S82</f>
        <v>0.56249999999999989</v>
      </c>
      <c r="Y81" s="23"/>
      <c r="Z81" s="23"/>
      <c r="AA81" s="164"/>
      <c r="AB81" s="164"/>
      <c r="AC81" s="25"/>
      <c r="AD81" s="25"/>
      <c r="AE81" s="19">
        <f t="shared" si="48"/>
        <v>-119.00826446280917</v>
      </c>
      <c r="AF81" s="21">
        <f t="shared" si="44"/>
        <v>0.95041322314049614</v>
      </c>
      <c r="AG81" s="172"/>
    </row>
    <row r="82" spans="1:33" ht="15.75" customHeight="1">
      <c r="A82" s="170" t="s">
        <v>2035</v>
      </c>
      <c r="B82" s="4" t="s">
        <v>100</v>
      </c>
      <c r="C82" s="165" t="s">
        <v>135</v>
      </c>
      <c r="D82" s="165"/>
      <c r="E82" s="37">
        <v>19.02</v>
      </c>
      <c r="F82" s="4">
        <v>6934</v>
      </c>
      <c r="G82" s="4">
        <f t="shared" si="50"/>
        <v>131884.68</v>
      </c>
      <c r="H82" s="22" t="s">
        <v>139</v>
      </c>
      <c r="I82" s="16">
        <v>15</v>
      </c>
      <c r="J82" s="18">
        <v>2400</v>
      </c>
      <c r="K82" s="17">
        <f t="shared" si="39"/>
        <v>160</v>
      </c>
      <c r="L82" s="16">
        <v>15</v>
      </c>
      <c r="M82" s="18">
        <f t="shared" si="51"/>
        <v>2285.934065934066</v>
      </c>
      <c r="N82" s="17">
        <f t="shared" si="40"/>
        <v>152.39560439560441</v>
      </c>
      <c r="O82" s="19">
        <f t="shared" si="41"/>
        <v>0</v>
      </c>
      <c r="P82" s="20">
        <f t="shared" si="42"/>
        <v>-7.6043956043955916</v>
      </c>
      <c r="Q82" s="21">
        <f t="shared" si="43"/>
        <v>0.95247252747252753</v>
      </c>
      <c r="R82" s="172"/>
      <c r="S82" s="28">
        <v>0.56249999999999989</v>
      </c>
      <c r="T82" s="28">
        <v>0.68888888888888877</v>
      </c>
      <c r="U82" s="4">
        <f t="shared" si="53"/>
        <v>55.999999999999957</v>
      </c>
      <c r="V82" s="22">
        <f t="shared" si="52"/>
        <v>182</v>
      </c>
      <c r="W82" s="23"/>
      <c r="X82" s="23"/>
      <c r="Y82" s="23"/>
      <c r="Z82" s="23"/>
      <c r="AA82" s="164"/>
      <c r="AB82" s="164"/>
      <c r="AC82" s="25"/>
      <c r="AD82" s="25"/>
      <c r="AE82" s="19">
        <f t="shared" si="48"/>
        <v>-114.06593406593402</v>
      </c>
      <c r="AF82" s="21">
        <f t="shared" si="44"/>
        <v>0.95247252747252753</v>
      </c>
      <c r="AG82" s="172"/>
    </row>
    <row r="83" spans="1:33" ht="16.5" customHeight="1">
      <c r="A83" s="171" t="s">
        <v>75</v>
      </c>
      <c r="B83" s="37" t="s">
        <v>2036</v>
      </c>
      <c r="C83" s="166"/>
      <c r="D83" s="167"/>
      <c r="E83" s="38"/>
      <c r="F83" s="17"/>
      <c r="G83" s="17"/>
      <c r="H83" s="4"/>
      <c r="I83" s="30">
        <v>16.333333333333332</v>
      </c>
      <c r="J83" s="18">
        <v>2400</v>
      </c>
      <c r="K83" s="17">
        <f t="shared" si="39"/>
        <v>146.9387755102041</v>
      </c>
      <c r="L83" s="30">
        <v>16.333333333333332</v>
      </c>
      <c r="M83" s="18">
        <f>AVERAGE(M77:M82)</f>
        <v>2300.2397956739223</v>
      </c>
      <c r="N83" s="17">
        <f t="shared" si="40"/>
        <v>140.83100789840341</v>
      </c>
      <c r="O83" s="19">
        <f t="shared" si="41"/>
        <v>0</v>
      </c>
      <c r="P83" s="20">
        <f t="shared" si="42"/>
        <v>-6.1077676118006821</v>
      </c>
      <c r="Q83" s="21">
        <f t="shared" si="43"/>
        <v>0.95843324819746756</v>
      </c>
      <c r="R83" s="172"/>
      <c r="S83" s="28"/>
      <c r="T83" s="28"/>
      <c r="U83" s="17"/>
      <c r="V83" s="22"/>
      <c r="W83" s="17"/>
      <c r="X83" s="17"/>
      <c r="Y83" s="31">
        <f>SUM(Y77:Y82)</f>
        <v>0</v>
      </c>
      <c r="Z83" s="31">
        <f>SUM(Z77:Z82)</f>
        <v>0</v>
      </c>
      <c r="AA83" s="168"/>
      <c r="AB83" s="168"/>
      <c r="AC83" s="31">
        <v>6</v>
      </c>
      <c r="AD83" s="31">
        <f>SUM(AD77:AD82)</f>
        <v>0</v>
      </c>
      <c r="AE83" s="19">
        <f t="shared" si="48"/>
        <v>-99.760204326077655</v>
      </c>
      <c r="AF83" s="21">
        <f t="shared" si="44"/>
        <v>0.95843324819746767</v>
      </c>
      <c r="AG83" s="172"/>
    </row>
    <row r="84" spans="1:33">
      <c r="D84" s="33"/>
      <c r="E84" s="33"/>
    </row>
  </sheetData>
  <mergeCells count="217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14:A22"/>
    <mergeCell ref="C14:D14"/>
    <mergeCell ref="R14:R22"/>
    <mergeCell ref="AA14:AB14"/>
    <mergeCell ref="AG14:AG22"/>
    <mergeCell ref="C18:D18"/>
    <mergeCell ref="AA18:AB18"/>
    <mergeCell ref="C19:D19"/>
    <mergeCell ref="AA19:AB19"/>
    <mergeCell ref="AA20:AB20"/>
    <mergeCell ref="AA21:AB21"/>
    <mergeCell ref="C15:D15"/>
    <mergeCell ref="AA15:AB15"/>
    <mergeCell ref="C16:D16"/>
    <mergeCell ref="AA16:AB16"/>
    <mergeCell ref="C17:D17"/>
    <mergeCell ref="AA17:AB17"/>
    <mergeCell ref="C22:D22"/>
    <mergeCell ref="AA22:AB22"/>
    <mergeCell ref="A23:A29"/>
    <mergeCell ref="C23:D23"/>
    <mergeCell ref="R23:R29"/>
    <mergeCell ref="AA23:AB23"/>
    <mergeCell ref="AA28:AB28"/>
    <mergeCell ref="C29:D29"/>
    <mergeCell ref="AA29:AB29"/>
    <mergeCell ref="AG30:AG37"/>
    <mergeCell ref="C31:D31"/>
    <mergeCell ref="AA31:AB31"/>
    <mergeCell ref="C32:D32"/>
    <mergeCell ref="AA32:AB32"/>
    <mergeCell ref="C33:D33"/>
    <mergeCell ref="AG23:AG29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AA33:AB33"/>
    <mergeCell ref="C34:D34"/>
    <mergeCell ref="AA34:AB34"/>
    <mergeCell ref="C35:D35"/>
    <mergeCell ref="AA35:AB35"/>
    <mergeCell ref="C36:D36"/>
    <mergeCell ref="AA36:AB36"/>
    <mergeCell ref="A30:A37"/>
    <mergeCell ref="C30:D30"/>
    <mergeCell ref="R30:R37"/>
    <mergeCell ref="AA30:AB30"/>
    <mergeCell ref="C37:D37"/>
    <mergeCell ref="AA37:AB37"/>
    <mergeCell ref="A38:A45"/>
    <mergeCell ref="C38:D38"/>
    <mergeCell ref="R38:R45"/>
    <mergeCell ref="AA38:AB38"/>
    <mergeCell ref="AA43:AB43"/>
    <mergeCell ref="C44:D44"/>
    <mergeCell ref="AA44:AB44"/>
    <mergeCell ref="C45:D45"/>
    <mergeCell ref="AA45:AB45"/>
    <mergeCell ref="A46:A57"/>
    <mergeCell ref="C46:D46"/>
    <mergeCell ref="R46:R57"/>
    <mergeCell ref="AA46:AB46"/>
    <mergeCell ref="AG46:AG57"/>
    <mergeCell ref="C47:D47"/>
    <mergeCell ref="AA47:AB47"/>
    <mergeCell ref="C48:D48"/>
    <mergeCell ref="AA48:AB48"/>
    <mergeCell ref="C52:D52"/>
    <mergeCell ref="AA52:AB52"/>
    <mergeCell ref="C53:D53"/>
    <mergeCell ref="AA53:AB53"/>
    <mergeCell ref="C54:D54"/>
    <mergeCell ref="AA54:AB54"/>
    <mergeCell ref="C49:D49"/>
    <mergeCell ref="AA49:AB49"/>
    <mergeCell ref="C50:D50"/>
    <mergeCell ref="AA50:AB50"/>
    <mergeCell ref="C51:D51"/>
    <mergeCell ref="AA51:AB51"/>
    <mergeCell ref="AG38:AG45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G58:AG69"/>
    <mergeCell ref="C59:D59"/>
    <mergeCell ref="AA59:AB59"/>
    <mergeCell ref="C60:D60"/>
    <mergeCell ref="AA60:AB60"/>
    <mergeCell ref="AA61:AB61"/>
    <mergeCell ref="C55:D55"/>
    <mergeCell ref="AA55:AB55"/>
    <mergeCell ref="C56:D56"/>
    <mergeCell ref="AA56:AB56"/>
    <mergeCell ref="C57:D57"/>
    <mergeCell ref="AA57:AB57"/>
    <mergeCell ref="C66:D66"/>
    <mergeCell ref="AA66:AB66"/>
    <mergeCell ref="C67:D67"/>
    <mergeCell ref="AA67:AB67"/>
    <mergeCell ref="C68:D68"/>
    <mergeCell ref="AA68:AB68"/>
    <mergeCell ref="AA62:AB62"/>
    <mergeCell ref="C63:D63"/>
    <mergeCell ref="AA63:AB63"/>
    <mergeCell ref="C64:D64"/>
    <mergeCell ref="AA64:AB64"/>
    <mergeCell ref="C65:D65"/>
    <mergeCell ref="AA65:AB65"/>
    <mergeCell ref="R58:R69"/>
    <mergeCell ref="AA58:AB58"/>
    <mergeCell ref="C69:D69"/>
    <mergeCell ref="AA69:AB69"/>
    <mergeCell ref="A70:A76"/>
    <mergeCell ref="C70:D70"/>
    <mergeCell ref="R70:R76"/>
    <mergeCell ref="AA70:AB70"/>
    <mergeCell ref="AA75:AB75"/>
    <mergeCell ref="C76:D76"/>
    <mergeCell ref="AA76:AB76"/>
    <mergeCell ref="A58:A69"/>
    <mergeCell ref="C58:D58"/>
    <mergeCell ref="AG70:AG76"/>
    <mergeCell ref="C71:D71"/>
    <mergeCell ref="AA71:AB71"/>
    <mergeCell ref="C72:D72"/>
    <mergeCell ref="AA72:AB72"/>
    <mergeCell ref="C73:D73"/>
    <mergeCell ref="AA73:AB73"/>
    <mergeCell ref="C74:D74"/>
    <mergeCell ref="AA74:AB74"/>
    <mergeCell ref="C75:D75"/>
    <mergeCell ref="A77:A83"/>
    <mergeCell ref="C77:D77"/>
    <mergeCell ref="R77:R83"/>
    <mergeCell ref="AA77:AB77"/>
    <mergeCell ref="AG77:AG83"/>
    <mergeCell ref="C78:D78"/>
    <mergeCell ref="AA78:AB78"/>
    <mergeCell ref="C79:D79"/>
    <mergeCell ref="AA79:AB79"/>
    <mergeCell ref="C80:D80"/>
    <mergeCell ref="AA80:AB80"/>
    <mergeCell ref="C81:D81"/>
    <mergeCell ref="AA81:AB81"/>
    <mergeCell ref="C82:D82"/>
    <mergeCell ref="AA82:AB82"/>
    <mergeCell ref="C83:D83"/>
    <mergeCell ref="AA83:AB83"/>
  </mergeCells>
  <phoneticPr fontId="3" type="noConversion"/>
  <conditionalFormatting sqref="O5:O83">
    <cfRule type="cellIs" dxfId="218" priority="1" operator="greaterThan">
      <formula>0</formula>
    </cfRule>
  </conditionalFormatting>
  <conditionalFormatting sqref="P5:P83">
    <cfRule type="cellIs" dxfId="217" priority="4" operator="lessThan">
      <formula>0</formula>
    </cfRule>
  </conditionalFormatting>
  <conditionalFormatting sqref="Q5:Q83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R5:R11 AG5:AG11">
    <cfRule type="cellIs" dxfId="214" priority="102" operator="lessThan">
      <formula>0.8</formula>
    </cfRule>
  </conditionalFormatting>
  <conditionalFormatting sqref="AE5:AE83">
    <cfRule type="cellIs" dxfId="213" priority="27" operator="lessThan">
      <formula>0</formula>
    </cfRule>
  </conditionalFormatting>
  <conditionalFormatting sqref="AF5:AF83">
    <cfRule type="cellIs" dxfId="212" priority="25" operator="greaterThan">
      <formula>1</formula>
    </cfRule>
    <cfRule type="cellIs" dxfId="211" priority="26" operator="lessThan">
      <formula>0.8</formula>
    </cfRule>
  </conditionalFormatting>
  <conditionalFormatting sqref="AG14:AG73 R14:R83">
    <cfRule type="cellIs" dxfId="210" priority="5" operator="lessThan">
      <formula>0.8</formula>
    </cfRule>
  </conditionalFormatting>
  <dataValidations count="1">
    <dataValidation type="list" allowBlank="1" showInputMessage="1" showErrorMessage="1" sqref="AB10 AA5:AB9 AB74:AB75 AA10:AA75 AB12:AB70 AA76:AB83" xr:uid="{00000000-0002-0000-0D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Q32"/>
  <sheetViews>
    <sheetView zoomScale="85" zoomScaleNormal="85" workbookViewId="0">
      <selection activeCell="Q6" sqref="Q6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1846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1847</v>
      </c>
      <c r="C3" s="153" t="str">
        <f>TEXT('0221 4度C'!A2,"yyyy.mm.ddaaaa")</f>
        <v>2026.02.21星期六</v>
      </c>
      <c r="D3" s="154"/>
      <c r="E3" s="47" t="s">
        <v>1848</v>
      </c>
      <c r="F3" s="155">
        <f>'0221 4度C'!D1</f>
        <v>139861</v>
      </c>
      <c r="G3" s="156"/>
      <c r="H3" s="47" t="s">
        <v>1849</v>
      </c>
      <c r="I3" s="157">
        <f>'0221 4度C'!F1</f>
        <v>4935350.830000001</v>
      </c>
      <c r="J3" s="158"/>
      <c r="K3" s="48"/>
      <c r="L3" s="49"/>
      <c r="M3" s="49"/>
      <c r="N3" s="49"/>
    </row>
    <row r="4" spans="2:17" ht="28.5" customHeight="1">
      <c r="B4" s="159" t="s">
        <v>1850</v>
      </c>
      <c r="C4" s="145" t="s">
        <v>1851</v>
      </c>
      <c r="D4" s="146"/>
      <c r="E4" s="162" t="s">
        <v>1852</v>
      </c>
      <c r="F4" s="163"/>
      <c r="G4" s="162" t="s">
        <v>1853</v>
      </c>
      <c r="H4" s="163"/>
      <c r="I4" s="162" t="s">
        <v>1854</v>
      </c>
      <c r="J4" s="163"/>
      <c r="K4" s="143" t="s">
        <v>1855</v>
      </c>
      <c r="L4" s="144"/>
      <c r="M4" s="144" t="s">
        <v>1856</v>
      </c>
      <c r="N4" s="144"/>
    </row>
    <row r="5" spans="2:17" ht="28.5" customHeight="1">
      <c r="B5" s="160"/>
      <c r="C5" s="145" t="s">
        <v>1857</v>
      </c>
      <c r="D5" s="146"/>
      <c r="E5" s="145" t="s">
        <v>1858</v>
      </c>
      <c r="F5" s="146"/>
      <c r="G5" s="147" t="s">
        <v>1859</v>
      </c>
      <c r="H5" s="148"/>
      <c r="I5" s="149" t="s">
        <v>1860</v>
      </c>
      <c r="J5" s="150"/>
      <c r="K5" s="50" t="s">
        <v>1861</v>
      </c>
      <c r="L5" s="51" t="s">
        <v>1862</v>
      </c>
      <c r="M5" s="50" t="s">
        <v>1861</v>
      </c>
      <c r="N5" s="51" t="s">
        <v>1863</v>
      </c>
    </row>
    <row r="6" spans="2:17" ht="28.5" customHeight="1">
      <c r="B6" s="160"/>
      <c r="C6" s="145" t="s">
        <v>158</v>
      </c>
      <c r="D6" s="146"/>
      <c r="E6" s="137">
        <f>AVERAGE(D13:M13)</f>
        <v>144.31059594245352</v>
      </c>
      <c r="F6" s="138">
        <f>AVERAGE(D31:O31,D13:J13)</f>
        <v>147.60877184123856</v>
      </c>
      <c r="G6" s="139">
        <f>AVERAGE(D13:J13)</f>
        <v>147.60877184123856</v>
      </c>
      <c r="H6" s="140"/>
      <c r="I6" s="139">
        <f>AVERAGE(K13:M13)</f>
        <v>136.61485217862165</v>
      </c>
      <c r="J6" s="140"/>
      <c r="K6" s="141">
        <f>'0221 4度C'!Y2</f>
        <v>0</v>
      </c>
      <c r="L6" s="126">
        <f>'0221 4度C'!Z2</f>
        <v>0</v>
      </c>
      <c r="M6" s="142">
        <f>'0221 4度C'!AC2</f>
        <v>61</v>
      </c>
      <c r="N6" s="126">
        <f>'0221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138.49328754913338</v>
      </c>
      <c r="F7" s="130">
        <f>AVERAGE(D32:O32,D14:J14)</f>
        <v>141.63403824525776</v>
      </c>
      <c r="G7" s="131">
        <f>AVERAGE(D14:J14)</f>
        <v>141.63403824525776</v>
      </c>
      <c r="H7" s="132"/>
      <c r="I7" s="131">
        <f>AVERAGE(K14:M14)</f>
        <v>131.16486925817654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0.9592422548561419</v>
      </c>
      <c r="F8" s="134">
        <f>AVERAGE(D15:J15,D33:O33)</f>
        <v>0.95889498064509193</v>
      </c>
      <c r="G8" s="135">
        <f>AVERAGE(D15:J15)</f>
        <v>0.95889498064509193</v>
      </c>
      <c r="H8" s="136"/>
      <c r="I8" s="135">
        <f>AVERAGE(K15:M15)</f>
        <v>0.96005256134859251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1864</v>
      </c>
      <c r="N9" s="49"/>
      <c r="O9" s="49"/>
      <c r="P9" s="49"/>
      <c r="Q9" s="49"/>
    </row>
    <row r="10" spans="2:17" ht="30" customHeight="1">
      <c r="B10" s="109" t="s">
        <v>1865</v>
      </c>
      <c r="C10" s="110"/>
      <c r="D10" s="111" t="s">
        <v>1866</v>
      </c>
      <c r="E10" s="112"/>
      <c r="F10" s="112"/>
      <c r="G10" s="112"/>
      <c r="H10" s="112"/>
      <c r="I10" s="112"/>
      <c r="J10" s="113"/>
      <c r="K10" s="114" t="s">
        <v>1867</v>
      </c>
      <c r="L10" s="115"/>
      <c r="M10" s="116"/>
      <c r="P10" s="55"/>
      <c r="Q10" s="55"/>
    </row>
    <row r="11" spans="2:17" ht="17.25" customHeight="1">
      <c r="B11" s="117" t="s">
        <v>1868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1869</v>
      </c>
      <c r="C13" s="62" t="s">
        <v>1870</v>
      </c>
      <c r="D13" s="63">
        <f>SUMIFS('0221 4度C'!$K:$K,'0221 4度C'!$A:$A,"新豐6線",'0221 4度C'!$B:$B,"平均")</f>
        <v>113.63636363636363</v>
      </c>
      <c r="E13" s="64">
        <f>SUMIFS('0221 4度C'!$K:$K,'0221 4度C'!$A:$A,"新豐2線",'0221 4度C'!$B:$B,"平均")</f>
        <v>83.333333333333329</v>
      </c>
      <c r="F13" s="65">
        <f>SUMIFS('0221 4度C'!$K:$K,'0221 4度C'!$A:$A,"新豐5線",'0221 4度C'!$B:$B,"平均")</f>
        <v>107.43801652892563</v>
      </c>
      <c r="G13" s="65">
        <f>SUMIFS('0221 4度C'!$K:$K,'0221 4度C'!$A:$A,"新豐7線",'0221 4度C'!$B:$B,"平均")</f>
        <v>129.2134831460674</v>
      </c>
      <c r="H13" s="65">
        <f>SUMIFS('0221 4度C'!$K:$K,'0221 4度C'!$A:$A,"新豐3線",'0221 4度C'!$B:$B,"平均")</f>
        <v>305.55555555555554</v>
      </c>
      <c r="I13" s="65">
        <f>SUMIFS('0221 4度C'!$K:$K,'0221 4度C'!$A:$A,"新豐1線",'0221 4度C'!$B:$B,"平均")</f>
        <v>105.4054054054054</v>
      </c>
      <c r="J13" s="66">
        <f>SUMIFS('0221 4度C'!$K:$K,'0221 4度C'!$A:$A,"新豐10線",'0221 4度C'!$B:$B,"平均")</f>
        <v>188.67924528301887</v>
      </c>
      <c r="K13" s="67">
        <f>SUMIFS('0221 4度C'!$K:$K,'0221 4度C'!$A:$A,"新豐8線",'0221 4度C'!$B:$B,"平均")</f>
        <v>130.43478260869566</v>
      </c>
      <c r="L13" s="68">
        <f>SUMIFS('0221 4度C'!$K:$K,'0221 4度C'!$A:$A,"新豐9線",'0221 4度C'!$B:$B,"平均")</f>
        <v>134.83146067415728</v>
      </c>
      <c r="M13" s="66">
        <f>SUMIFS('0221 4度C'!$K:$K,'0221 4度C'!$A:$A,"新豐4線",'0221 4度C'!$B:$B,"平均")</f>
        <v>144.57831325301203</v>
      </c>
    </row>
    <row r="14" spans="2:17" ht="39.6" customHeight="1">
      <c r="B14" s="122"/>
      <c r="C14" s="69" t="s">
        <v>1871</v>
      </c>
      <c r="D14" s="70">
        <f>SUMIFS('0221 4度C'!$N:$N,'0221 4度C'!$A:$A,"新豐6線",'0221 4度C'!$B:$B,"平均")</f>
        <v>109.99672202797214</v>
      </c>
      <c r="E14" s="71">
        <f>SUMIFS('0221 4度C'!$N:$N,'0221 4度C'!$A:$A,"新豐2線",'0221 4度C'!$B:$B,"平均")</f>
        <v>79.53152709359604</v>
      </c>
      <c r="F14" s="71">
        <f>SUMIFS('0221 4度C'!$N:$N,'0221 4度C'!$A:$A,"新豐5線",'0221 4度C'!$B:$B,"平均")</f>
        <v>103.47641688342689</v>
      </c>
      <c r="G14" s="71">
        <f>SUMIFS('0221 4度C'!$N:$N,'0221 4度C'!$A:$A,"新豐7線",'0221 4度C'!$B:$B,"平均")</f>
        <v>124.09804535183342</v>
      </c>
      <c r="H14" s="71">
        <f>SUMIFS('0221 4度C'!$N:$N,'0221 4度C'!$A:$A,"新豐3線",'0221 4度C'!$B:$B,"平均")</f>
        <v>293.29588799518831</v>
      </c>
      <c r="I14" s="71">
        <f>SUMIFS('0221 4度C'!$N:$N,'0221 4度C'!$A:$A,"新豐1線",'0221 4度C'!$B:$B,"平均")</f>
        <v>99.587343636991093</v>
      </c>
      <c r="J14" s="72">
        <f>SUMIFS('0221 4度C'!$N:$N,'0221 4度C'!$A:$A,"新豐10線",'0221 4度C'!$B:$B,"平均")</f>
        <v>181.45232472779639</v>
      </c>
      <c r="K14" s="73">
        <f>SUMIFS('0221 4度C'!$N:$N,'0221 4度C'!$A:$A,"新豐8線",'0221 4度C'!$B:$B,"平均")</f>
        <v>125.20955202725814</v>
      </c>
      <c r="L14" s="74">
        <f>SUMIFS('0221 4度C'!$N:$N,'0221 4度C'!$A:$A,"新豐9線",'0221 4度C'!$B:$B,"平均")</f>
        <v>129.15896583634074</v>
      </c>
      <c r="M14" s="72">
        <f>SUMIFS('0221 4度C'!$N:$N,'0221 4度C'!$A:$A,"新豐4線",'0221 4度C'!$B:$B,"平均")</f>
        <v>139.12608991093072</v>
      </c>
    </row>
    <row r="15" spans="2:17" ht="40.15" customHeight="1">
      <c r="B15" s="123"/>
      <c r="C15" s="75" t="s">
        <v>1872</v>
      </c>
      <c r="D15" s="76">
        <f t="shared" ref="D15:M15" si="0">D14/D13</f>
        <v>0.96797115384615495</v>
      </c>
      <c r="E15" s="77">
        <f t="shared" si="0"/>
        <v>0.95437832512315257</v>
      </c>
      <c r="F15" s="77">
        <f t="shared" si="0"/>
        <v>0.96312664945343485</v>
      </c>
      <c r="G15" s="77">
        <f t="shared" si="0"/>
        <v>0.9604109596794066</v>
      </c>
      <c r="H15" s="77">
        <f t="shared" si="0"/>
        <v>0.95987745162061633</v>
      </c>
      <c r="I15" s="77">
        <f t="shared" si="0"/>
        <v>0.94480300373555659</v>
      </c>
      <c r="J15" s="78">
        <f t="shared" si="0"/>
        <v>0.96169732105732086</v>
      </c>
      <c r="K15" s="76">
        <f t="shared" si="0"/>
        <v>0.95993989887564568</v>
      </c>
      <c r="L15" s="77">
        <f t="shared" si="0"/>
        <v>0.95792899661952735</v>
      </c>
      <c r="M15" s="78">
        <f t="shared" si="0"/>
        <v>0.96228878855060429</v>
      </c>
    </row>
    <row r="16" spans="2:17" ht="17.25" customHeight="1">
      <c r="B16" s="124" t="s">
        <v>1873</v>
      </c>
      <c r="C16" s="79" t="s">
        <v>596</v>
      </c>
      <c r="D16" s="80">
        <f>VLOOKUP("新豐6線",'0221 4度C'!$A:$T,19,0)</f>
        <v>0.70833333333333337</v>
      </c>
      <c r="E16" s="81">
        <f>VLOOKUP("新豐2線",'0221 4度C'!$A:$T,19,0)</f>
        <v>0.20833333333333334</v>
      </c>
      <c r="F16" s="81">
        <f>VLOOKUP("新豐5線",'0221 4度C'!$A:$T,19,0)</f>
        <v>0.20833333333333334</v>
      </c>
      <c r="G16" s="81">
        <f>VLOOKUP("新豐7線",'0221 4度C'!$A:$T,19,0)</f>
        <v>0.20833333333333334</v>
      </c>
      <c r="H16" s="81">
        <f>VLOOKUP("新豐3線",'0221 4度C'!$A:$T,19,0)</f>
        <v>0.20833333333333334</v>
      </c>
      <c r="I16" s="81">
        <f>VLOOKUP("新豐1線",'0221 4度C'!$A:$T,19,0)</f>
        <v>0.20833333333333334</v>
      </c>
      <c r="J16" s="82">
        <f>VLOOKUP("新豐10線",'0221 4度C'!$A:$T,19,0)</f>
        <v>0.20833333333333334</v>
      </c>
      <c r="K16" s="83">
        <f>VLOOKUP("新豐8線",'0221 4度C'!$A:$T,19,0)</f>
        <v>0.125</v>
      </c>
      <c r="L16" s="84">
        <f>VLOOKUP("新豐9線",'0221 4度C'!$A:$T,19,0)</f>
        <v>0.125</v>
      </c>
      <c r="M16" s="85">
        <f>VLOOKUP("新豐4線",'0221 4度C'!$A:$T,19,0)</f>
        <v>0.125</v>
      </c>
    </row>
    <row r="17" spans="2:13" ht="17.25" customHeight="1">
      <c r="B17" s="125"/>
      <c r="C17" s="79" t="s">
        <v>1874</v>
      </c>
      <c r="D17" s="83">
        <f>LOOKUP(2,1/(('0221 4度C'!$A:$A="新豐6線")*('0221 4度C'!$T:$T&lt;&gt;"")),'0221 4度C'!$T:$T)</f>
        <v>0.84236111111111101</v>
      </c>
      <c r="E17" s="81">
        <f>LOOKUP(2,1/(('0221 4度C'!$A:$A="新豐2線")*('0221 4度C'!$T:$T&lt;&gt;"")),'0221 4度C'!$T:$T)</f>
        <v>0.41458333333333336</v>
      </c>
      <c r="F17" s="81">
        <f>LOOKUP(2,1/(('0221 4度C'!$A:$A="新豐5線")*('0221 4度C'!$T:$T&lt;&gt;"")),'0221 4度C'!$T:$T)</f>
        <v>0.93402777777777779</v>
      </c>
      <c r="G17" s="81">
        <f>LOOKUP(2,1/(('0221 4度C'!$A:$A="新豐7線")*('0221 4度C'!$T:$T&lt;&gt;"")),'0221 4度C'!$T:$T)</f>
        <v>0.91527777777777775</v>
      </c>
      <c r="H17" s="81">
        <f>LOOKUP(2,1/(('0221 4度C'!$A:$A="新豐3線")*('0221 4度C'!$T:$T&lt;&gt;"")),'0221 4度C'!$T:$T)</f>
        <v>0.71180555555555536</v>
      </c>
      <c r="I17" s="81">
        <f>LOOKUP(2,1/(('0221 4度C'!$A:$A="新豐1線")*('0221 4度C'!$T:$T&lt;&gt;"")),'0221 4度C'!$T:$T)</f>
        <v>0.90763888888888888</v>
      </c>
      <c r="J17" s="82">
        <f>LOOKUP(2,1/(('0221 4度C'!$A:$A="新豐10線")*('0221 4度C'!$T:$T&lt;&gt;"")),'0221 4度C'!$T:$T)</f>
        <v>0.41249999999999998</v>
      </c>
      <c r="K17" s="80">
        <f>LOOKUP(2,1/(('0221 4度C'!$A:$A="新豐8線")*('0221 4度C'!$T:$T&lt;&gt;"")),'0221 4度C'!$T:$T)</f>
        <v>0.48958333333333331</v>
      </c>
      <c r="L17" s="81">
        <f>LOOKUP(2,1/(('0221 4度C'!$A:$A="新豐9線")*('0221 4度C'!$T:$T&lt;&gt;"")),'0221 4度C'!$T:$T)</f>
        <v>0.48055555555555551</v>
      </c>
      <c r="M17" s="82">
        <f>LOOKUP(2,1/(('0221 4度C'!$A:$A="新豐4線")*('0221 4度C'!$T:$T&lt;&gt;"")),'0221 4度C'!$T:$T)</f>
        <v>0.47986111111111113</v>
      </c>
    </row>
    <row r="18" spans="2:13" ht="17.25" customHeight="1">
      <c r="B18" s="103" t="s">
        <v>1875</v>
      </c>
      <c r="C18" s="86" t="s">
        <v>1876</v>
      </c>
      <c r="D18" s="87">
        <f>SUMIFS('0221 4度C'!$Y:$Y,'0221 4度C'!$A:$A,"新豐6線",'0221 4度C'!$B:$B,"平均")</f>
        <v>0</v>
      </c>
      <c r="E18" s="88">
        <f>SUMIFS('0221 4度C'!$Y:$Y,'0221 4度C'!$A:$A,"新豐2線",'0221 4度C'!$B:$B,"平均")</f>
        <v>0</v>
      </c>
      <c r="F18" s="88">
        <f>SUMIFS('0221 4度C'!$Y:$Y,'0221 4度C'!$A:$A,"新豐5線",'0221 4度C'!$B:$B,"平均")</f>
        <v>0</v>
      </c>
      <c r="G18" s="88">
        <f>SUMIFS('0221 4度C'!$Y:$Y,'0221 4度C'!$A:$A,"新豐7線",'0221 4度C'!$B:$B,"平均")</f>
        <v>0</v>
      </c>
      <c r="H18" s="88">
        <f>SUMIFS('0221 4度C'!$Y:$Y,'0221 4度C'!$A:$A,"新豐3線",'0221 4度C'!$B:$B,"平均")</f>
        <v>0</v>
      </c>
      <c r="I18" s="88">
        <f>SUMIFS('0221 4度C'!$Y:$Y,'0221 4度C'!$A:$A,"新豐1線",'0221 4度C'!$B:$B,"平均")</f>
        <v>0</v>
      </c>
      <c r="J18" s="89">
        <f>SUMIFS('0221 4度C'!$Y:$Y,'0221 4度C'!$A:$A,"新豐10線",'0221 4度C'!$B:$B,"平均")</f>
        <v>0</v>
      </c>
      <c r="K18" s="90">
        <f>SUMIFS('0221 4度C'!$Y:$Y,'0221 4度C'!$A:$A,"新豐8線",'0221 4度C'!$B:$B,"平均")</f>
        <v>0</v>
      </c>
      <c r="L18" s="88">
        <f>SUMIFS('0221 4度C'!$Y:$Y,'0221 4度C'!$A:$A,"新豐9線",'0221 4度C'!$B:$B,"平均")</f>
        <v>0</v>
      </c>
      <c r="M18" s="89">
        <f>SUMIFS('0221 4度C'!$Y:$Y,'0221 4度C'!$A:$A,"新豐4線",'0221 4度C'!$B:$B,"平均")</f>
        <v>0</v>
      </c>
    </row>
    <row r="19" spans="2:13" ht="17.25" customHeight="1">
      <c r="B19" s="104"/>
      <c r="C19" s="86" t="s">
        <v>1877</v>
      </c>
      <c r="D19" s="87">
        <f>SUMIFS('0221 4度C'!$Z:$Z,'0221 4度C'!$A:$A,"新豐6線",'0221 4度C'!$B:$B,"平均")</f>
        <v>0</v>
      </c>
      <c r="E19" s="88">
        <f>SUMIFS('0221 4度C'!$Z:$Z,'0221 4度C'!$A:$A,"新豐2線",'0221 4度C'!$B:$B,"平均")</f>
        <v>0</v>
      </c>
      <c r="F19" s="88">
        <f>SUMIFS('0221 4度C'!$Z:$Z,'0221 4度C'!$A:$A,"新豐5線",'0221 4度C'!$B:$B,"平均")</f>
        <v>0</v>
      </c>
      <c r="G19" s="88">
        <f>SUMIFS('0221 4度C'!$Z:$Z,'0221 4度C'!$A:$A,"新豐7線",'0221 4度C'!$B:$B,"平均")</f>
        <v>0</v>
      </c>
      <c r="H19" s="88">
        <f>SUMIFS('0221 4度C'!$Z:$Z,'0221 4度C'!$A:$A,"新豐3線",'0221 4度C'!$B:$B,"平均")</f>
        <v>0</v>
      </c>
      <c r="I19" s="88">
        <f>SUMIFS('0221 4度C'!$Z:$Z,'0221 4度C'!$A:$A,"新豐1線",'0221 4度C'!$B:$B,"平均")</f>
        <v>0</v>
      </c>
      <c r="J19" s="89">
        <f>SUMIFS('0221 4度C'!$Z:$Z,'0221 4度C'!$A:$A,"新豐10線",'0221 4度C'!$B:$B,"平均")</f>
        <v>0</v>
      </c>
      <c r="K19" s="90">
        <f>SUMIFS('0221 4度C'!$Z:$Z,'0221 4度C'!$A:$A,"新豐8線",'0221 4度C'!$B:$B,"平均")</f>
        <v>0</v>
      </c>
      <c r="L19" s="88">
        <f>SUMIFS('0221 4度C'!$Z:$Z,'0221 4度C'!$A:$A,"新豐9線",'0221 4度C'!$B:$B,"平均")</f>
        <v>0</v>
      </c>
      <c r="M19" s="89">
        <f>SUMIFS('0221 4度C'!$Z:$Z,'0221 4度C'!$A:$A,"新豐4線",'0221 4度C'!$B:$B,"平均")</f>
        <v>0</v>
      </c>
    </row>
    <row r="20" spans="2:13" ht="17.25" customHeight="1">
      <c r="B20" s="103" t="s">
        <v>1878</v>
      </c>
      <c r="C20" s="86" t="s">
        <v>1876</v>
      </c>
      <c r="D20" s="87">
        <f>SUMIFS('0221 4度C'!$AC:$AC,'0221 4度C'!$A:$A,"新豐6線",'0221 4度C'!$B:$B,"平均")</f>
        <v>5</v>
      </c>
      <c r="E20" s="88">
        <f>SUMIFS('0221 4度C'!$AC:$AC,'0221 4度C'!$A:$A,"新豐2線",'0221 4度C'!$B:$B,"平均")</f>
        <v>2</v>
      </c>
      <c r="F20" s="88">
        <f>SUMIFS('0221 4度C'!$AC:$AC,'0221 4度C'!$A:$A,"新豐5線",'0221 4度C'!$B:$B,"平均")</f>
        <v>7</v>
      </c>
      <c r="G20" s="88">
        <f>SUMIFS('0221 4度C'!$AC:$AC,'0221 4度C'!$A:$A,"新豐7線",'0221 4度C'!$B:$B,"平均")</f>
        <v>6</v>
      </c>
      <c r="H20" s="88">
        <f>SUMIFS('0221 4度C'!$AC:$AC,'0221 4度C'!$A:$A,"新豐3線",'0221 4度C'!$B:$B,"平均")</f>
        <v>11</v>
      </c>
      <c r="I20" s="88">
        <f>SUMIFS('0221 4度C'!$AC:$AC,'0221 4度C'!$A:$A,"新豐1線",'0221 4度C'!$B:$B,"平均")</f>
        <v>10</v>
      </c>
      <c r="J20" s="89">
        <f>SUMIFS('0221 4度C'!$AC:$AC,'0221 4度C'!$A:$A,"新豐10線",'0221 4度C'!$B:$B,"平均")</f>
        <v>5</v>
      </c>
      <c r="K20" s="90">
        <f>SUMIFS('0221 4度C'!$AC:$AC,'0221 4度C'!$A:$A,"新豐8線",'0221 4度C'!$B:$B,"平均")</f>
        <v>5</v>
      </c>
      <c r="L20" s="88">
        <f>SUMIFS('0221 4度C'!$AC:$AC,'0221 4度C'!$A:$A,"新豐9線",'0221 4度C'!$B:$B,"平均")</f>
        <v>5</v>
      </c>
      <c r="M20" s="89">
        <f>SUMIFS('0221 4度C'!$AC:$AC,'0221 4度C'!$A:$A,"新豐4線",'0221 4度C'!$B:$B,"平均")</f>
        <v>5</v>
      </c>
    </row>
    <row r="21" spans="2:13" ht="17.25" customHeight="1">
      <c r="B21" s="104"/>
      <c r="C21" s="86" t="s">
        <v>188</v>
      </c>
      <c r="D21" s="87">
        <f>SUMIFS('0221 4度C'!$AD:$AD,'0221 4度C'!$A:$A,"新豐6線",'0221 4度C'!$B:$B,"平均")</f>
        <v>0</v>
      </c>
      <c r="E21" s="88">
        <f>SUMIFS('0221 4度C'!$AD:$AD,'0221 4度C'!$A:$A,"新豐2線",'0221 4度C'!$B:$B,"平均")</f>
        <v>0</v>
      </c>
      <c r="F21" s="88">
        <f>SUMIFS('0221 4度C'!$AD:$AD,'0221 4度C'!$A:$A,"新豐5線",'0221 4度C'!$B:$B,"平均")</f>
        <v>0</v>
      </c>
      <c r="G21" s="88">
        <f>SUMIFS('0221 4度C'!$AD:$AD,'0221 4度C'!$A:$A,"新豐7線",'0221 4度C'!$B:$B,"平均")</f>
        <v>0</v>
      </c>
      <c r="H21" s="88">
        <f>SUMIFS('0221 4度C'!$AD:$AD,'0221 4度C'!$A:$A,"新豐3線",'0221 4度C'!$B:$B,"平均")</f>
        <v>0</v>
      </c>
      <c r="I21" s="88">
        <f>SUMIFS('0221 4度C'!$AD:$AD,'0221 4度C'!$A:$A,"新豐1線",'0221 4度C'!$B:$B,"平均")</f>
        <v>0</v>
      </c>
      <c r="J21" s="89">
        <f>SUMIFS('0221 4度C'!$AD:$AD,'0221 4度C'!$A:$A,"新豐10線",'0221 4度C'!$B:$B,"平均")</f>
        <v>0</v>
      </c>
      <c r="K21" s="90">
        <f>SUMIFS('0221 4度C'!$AD:$AD,'0221 4度C'!$A:$A,"新豐8線",'0221 4度C'!$B:$B,"平均")</f>
        <v>0</v>
      </c>
      <c r="L21" s="88">
        <f>SUMIFS('0221 4度C'!$AD:$AD,'0221 4度C'!$A:$A,"新豐9線",'0221 4度C'!$B:$B,"平均")</f>
        <v>0</v>
      </c>
      <c r="M21" s="89">
        <f>SUMIFS('0221 4度C'!$AD:$AD,'0221 4度C'!$A:$A,"新豐4線",'0221 4度C'!$B:$B,"平均")</f>
        <v>0</v>
      </c>
    </row>
    <row r="22" spans="2:13" ht="17.25" customHeight="1">
      <c r="B22" s="105" t="s">
        <v>189</v>
      </c>
      <c r="C22" s="106"/>
      <c r="D22" s="91">
        <f>SUMIFS('0221 4度C'!$I:$I,'0221 4度C'!$A:$A,"新豐6線",'0221 4度C'!$B:$B,"平均")</f>
        <v>17.600000000000001</v>
      </c>
      <c r="E22" s="92">
        <f>SUMIFS('0221 4度C'!$I:$I,'0221 4度C'!$A:$A,"新豐2線",'0221 4度C'!$B:$B,"平均")</f>
        <v>18</v>
      </c>
      <c r="F22" s="92">
        <f>SUMIFS('0221 4度C'!$I:$I,'0221 4度C'!$A:$A,"新豐5線",'0221 4度C'!$B:$B,"平均")</f>
        <v>17.285714285714285</v>
      </c>
      <c r="G22" s="92">
        <f>SUMIFS('0221 4度C'!$I:$I,'0221 4度C'!$A:$A,"新豐7線",'0221 4度C'!$B:$B,"平均")</f>
        <v>14.833333333333334</v>
      </c>
      <c r="H22" s="92">
        <f>SUMIFS('0221 4度C'!$I:$I,'0221 4度C'!$A:$A,"新豐3線",'0221 4度C'!$B:$B,"平均")</f>
        <v>9.8181818181818183</v>
      </c>
      <c r="I22" s="92">
        <f>SUMIFS('0221 4度C'!$I:$I,'0221 4度C'!$A:$A,"新豐1線",'0221 4度C'!$B:$B,"平均")</f>
        <v>18.5</v>
      </c>
      <c r="J22" s="93">
        <f>SUMIFS('0221 4度C'!$I:$I,'0221 4度C'!$A:$A,"新豐10線",'0221 4度C'!$B:$B,"平均")</f>
        <v>10.6</v>
      </c>
      <c r="K22" s="91">
        <f>SUMIFS('0221 4度C'!$I:$I,'0221 4度C'!$A:$A,"新豐8線",'0221 4度C'!$B:$B,"平均")</f>
        <v>18.399999999999999</v>
      </c>
      <c r="L22" s="92">
        <f>SUMIFS('0221 4度C'!$I:$I,'0221 4度C'!$A:$A,"新豐9線",'0221 4度C'!$B:$B,"平均")</f>
        <v>17.8</v>
      </c>
      <c r="M22" s="93">
        <f>SUMIFS('0221 4度C'!$I:$I,'0221 4度C'!$A:$A,"新豐4線",'0221 4度C'!$B:$B,"平均")</f>
        <v>16.600000000000001</v>
      </c>
    </row>
    <row r="23" spans="2:13" ht="17.25" customHeight="1">
      <c r="B23" s="105" t="s">
        <v>1879</v>
      </c>
      <c r="C23" s="106"/>
      <c r="D23" s="94" t="s">
        <v>191</v>
      </c>
      <c r="E23" s="95" t="s">
        <v>192</v>
      </c>
      <c r="F23" s="95" t="s">
        <v>1880</v>
      </c>
      <c r="G23" s="95" t="s">
        <v>1880</v>
      </c>
      <c r="H23" s="95" t="s">
        <v>194</v>
      </c>
      <c r="I23" s="95" t="s">
        <v>191</v>
      </c>
      <c r="J23" s="96" t="s">
        <v>194</v>
      </c>
      <c r="K23" s="94" t="s">
        <v>1881</v>
      </c>
      <c r="L23" s="95" t="s">
        <v>1881</v>
      </c>
      <c r="M23" s="96" t="s">
        <v>1881</v>
      </c>
    </row>
    <row r="24" spans="2:13" ht="17.25" customHeight="1">
      <c r="B24" s="105" t="s">
        <v>1882</v>
      </c>
      <c r="C24" s="106"/>
      <c r="D24" s="94"/>
      <c r="E24" s="95"/>
      <c r="F24" s="95" t="s">
        <v>1883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1884</v>
      </c>
      <c r="C25" s="108"/>
      <c r="D25" s="97"/>
      <c r="E25" s="98" t="s">
        <v>1885</v>
      </c>
      <c r="F25" s="101" t="s">
        <v>1886</v>
      </c>
      <c r="G25" s="102"/>
      <c r="H25" s="98" t="s">
        <v>1887</v>
      </c>
      <c r="I25" s="98" t="s">
        <v>1888</v>
      </c>
      <c r="J25" s="99" t="s">
        <v>1887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0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3">
    <pageSetUpPr fitToPage="1"/>
  </sheetPr>
  <dimension ref="A1:AG76"/>
  <sheetViews>
    <sheetView zoomScale="80" zoomScaleNormal="80" workbookViewId="0">
      <pane ySplit="4" topLeftCell="A41" activePane="bottomLeft" state="frozen"/>
      <selection activeCell="P13" sqref="P13"/>
      <selection pane="bottomLeft" activeCell="P13" sqref="P13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SUM(F5:F75)</f>
        <v>139861</v>
      </c>
      <c r="E1" s="4" t="s">
        <v>2</v>
      </c>
      <c r="F1" s="1">
        <f>SUM(G5:G75)</f>
        <v>4935350.830000001</v>
      </c>
      <c r="G1" s="1" t="s">
        <v>3</v>
      </c>
      <c r="H1" s="5">
        <f>L10+L13+L52+L63+L21+L69+L34+L40+L28+L75</f>
        <v>159.43722943722946</v>
      </c>
      <c r="I1" s="214" t="s">
        <v>4</v>
      </c>
      <c r="J1" s="214"/>
      <c r="K1" s="214"/>
      <c r="L1" s="214" t="s">
        <v>5</v>
      </c>
      <c r="M1" s="214"/>
      <c r="N1" s="214"/>
      <c r="O1" s="214" t="s">
        <v>6</v>
      </c>
      <c r="P1" s="214"/>
      <c r="Q1" s="214"/>
      <c r="R1" s="214"/>
      <c r="S1" s="214" t="s">
        <v>616</v>
      </c>
      <c r="T1" s="214"/>
      <c r="U1" s="214"/>
      <c r="V1" s="214"/>
      <c r="W1" s="214"/>
      <c r="X1" s="214"/>
      <c r="Y1" s="6" t="s">
        <v>8</v>
      </c>
      <c r="Z1" s="7" t="s">
        <v>9</v>
      </c>
      <c r="AA1" s="215" t="s">
        <v>356</v>
      </c>
      <c r="AB1" s="215"/>
      <c r="AC1" s="8" t="s">
        <v>8</v>
      </c>
      <c r="AD1" s="7" t="s">
        <v>357</v>
      </c>
      <c r="AE1" s="214" t="s">
        <v>12</v>
      </c>
      <c r="AF1" s="216"/>
      <c r="AG1" s="216"/>
    </row>
    <row r="2" spans="1:33" ht="26.25" customHeight="1">
      <c r="A2" s="35">
        <v>46074</v>
      </c>
      <c r="B2" s="36" t="s">
        <v>687</v>
      </c>
      <c r="C2" s="2" t="s">
        <v>13</v>
      </c>
      <c r="D2" s="10">
        <f>AVERAGE(N10,N13,N52,N63,N21,N69,N28,N34,N40,N75)</f>
        <v>138.49328754913338</v>
      </c>
      <c r="E2" s="11" t="s">
        <v>14</v>
      </c>
      <c r="F2" s="12">
        <f>F1/D1</f>
        <v>35.287541416120298</v>
      </c>
      <c r="G2" s="1" t="s">
        <v>881</v>
      </c>
      <c r="H2" s="13">
        <f>COUNT(H5:H75)</f>
        <v>7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SUM(Y10+Y13+Y21+Y28+Y34+Y40+Y52+Y63+Y69+Y75)</f>
        <v>0</v>
      </c>
      <c r="Z2" s="14">
        <f>SUM(Z10+Z13+Z21+Z28+Z34+Z40+Z52+Z63+Z69+Z75)</f>
        <v>0</v>
      </c>
      <c r="AA2" s="215"/>
      <c r="AB2" s="215"/>
      <c r="AC2" s="14">
        <v>61</v>
      </c>
      <c r="AD2" s="14">
        <f>SUM(AD10+AD13+AD21+AD28+AD34+AD40+AD52+AD63+AD69+AD75)</f>
        <v>0</v>
      </c>
      <c r="AE2" s="216"/>
      <c r="AF2" s="216"/>
      <c r="AG2" s="216"/>
    </row>
    <row r="3" spans="1:33" ht="40.5" customHeight="1">
      <c r="A3" s="164" t="s">
        <v>16</v>
      </c>
      <c r="B3" s="164" t="s">
        <v>363</v>
      </c>
      <c r="C3" s="164" t="s">
        <v>364</v>
      </c>
      <c r="D3" s="164"/>
      <c r="E3" s="212" t="s">
        <v>365</v>
      </c>
      <c r="F3" s="164" t="s">
        <v>20</v>
      </c>
      <c r="G3" s="212" t="s">
        <v>21</v>
      </c>
      <c r="H3" s="206" t="s">
        <v>368</v>
      </c>
      <c r="I3" s="204" t="s">
        <v>26</v>
      </c>
      <c r="J3" s="201" t="s">
        <v>24</v>
      </c>
      <c r="K3" s="211" t="s">
        <v>13</v>
      </c>
      <c r="L3" s="204" t="s">
        <v>26</v>
      </c>
      <c r="M3" s="201" t="s">
        <v>24</v>
      </c>
      <c r="N3" s="211" t="s">
        <v>13</v>
      </c>
      <c r="O3" s="204" t="s">
        <v>26</v>
      </c>
      <c r="P3" s="211" t="s">
        <v>13</v>
      </c>
      <c r="Q3" s="202" t="s">
        <v>28</v>
      </c>
      <c r="R3" s="182" t="s">
        <v>373</v>
      </c>
      <c r="S3" s="164" t="s">
        <v>30</v>
      </c>
      <c r="T3" s="164"/>
      <c r="U3" s="206" t="s">
        <v>31</v>
      </c>
      <c r="V3" s="206" t="s">
        <v>32</v>
      </c>
      <c r="W3" s="164" t="s">
        <v>547</v>
      </c>
      <c r="X3" s="164"/>
      <c r="Y3" s="207" t="s">
        <v>34</v>
      </c>
      <c r="Z3" s="168"/>
      <c r="AA3" s="208" t="s">
        <v>35</v>
      </c>
      <c r="AB3" s="209"/>
      <c r="AC3" s="207" t="s">
        <v>36</v>
      </c>
      <c r="AD3" s="168"/>
      <c r="AE3" s="201" t="s">
        <v>24</v>
      </c>
      <c r="AF3" s="202" t="s">
        <v>28</v>
      </c>
      <c r="AG3" s="182" t="s">
        <v>373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379</v>
      </c>
      <c r="X4" s="4" t="s">
        <v>41</v>
      </c>
      <c r="Y4" s="15" t="s">
        <v>1889</v>
      </c>
      <c r="Z4" s="15" t="s">
        <v>382</v>
      </c>
      <c r="AA4" s="210"/>
      <c r="AB4" s="209"/>
      <c r="AC4" s="15" t="s">
        <v>44</v>
      </c>
      <c r="AD4" s="15" t="s">
        <v>1890</v>
      </c>
      <c r="AE4" s="201"/>
      <c r="AF4" s="202"/>
      <c r="AG4" s="182"/>
    </row>
    <row r="5" spans="1:33">
      <c r="A5" s="203" t="s">
        <v>1891</v>
      </c>
      <c r="B5" s="37" t="s">
        <v>78</v>
      </c>
      <c r="C5" s="205" t="s">
        <v>79</v>
      </c>
      <c r="D5" s="205"/>
      <c r="E5" s="37">
        <v>50.67</v>
      </c>
      <c r="F5" s="4">
        <v>1545</v>
      </c>
      <c r="G5" s="4">
        <f t="shared" ref="G5:G9" si="0">E5*F5</f>
        <v>78285.150000000009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9" si="2">F5/V5*60</f>
        <v>1931.2500000000005</v>
      </c>
      <c r="N5" s="17">
        <f t="shared" ref="N5:N68" si="3">M5/L5</f>
        <v>113.60294117647061</v>
      </c>
      <c r="O5" s="19">
        <f t="shared" ref="O5:O68" si="4">L5-I5</f>
        <v>0</v>
      </c>
      <c r="P5" s="20">
        <f t="shared" ref="P5:P68" si="5">N5-K5</f>
        <v>-4.0441176470587976</v>
      </c>
      <c r="Q5" s="21">
        <f t="shared" ref="Q5:Q68" si="6">N5/K5</f>
        <v>0.96562500000000018</v>
      </c>
      <c r="R5" s="172">
        <f>Q10</f>
        <v>0.96797115384615495</v>
      </c>
      <c r="S5" s="28">
        <v>0.70833333333333337</v>
      </c>
      <c r="T5" s="28">
        <v>0.7416666666666667</v>
      </c>
      <c r="U5" s="4"/>
      <c r="V5" s="22">
        <f t="shared" ref="V5:V9" si="7">(T5-S5)*24*60</f>
        <v>47.999999999999986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62" si="8">M5-J5</f>
        <v>-68.749999999999545</v>
      </c>
      <c r="AF5" s="21">
        <f t="shared" ref="AF5:AF68" si="9">M5/J5</f>
        <v>0.96562500000000018</v>
      </c>
      <c r="AG5" s="172">
        <f>AF10</f>
        <v>0.96797115384615495</v>
      </c>
    </row>
    <row r="6" spans="1:33">
      <c r="A6" s="204" t="s">
        <v>46</v>
      </c>
      <c r="B6" s="37" t="s">
        <v>78</v>
      </c>
      <c r="C6" s="205" t="s">
        <v>80</v>
      </c>
      <c r="D6" s="205"/>
      <c r="E6" s="37">
        <v>54.09</v>
      </c>
      <c r="F6" s="4">
        <v>1260</v>
      </c>
      <c r="G6" s="4">
        <f t="shared" si="0"/>
        <v>68153.400000000009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1938.4615384615377</v>
      </c>
      <c r="N6" s="17">
        <f t="shared" si="3"/>
        <v>102.02429149797567</v>
      </c>
      <c r="O6" s="19">
        <f t="shared" si="4"/>
        <v>0</v>
      </c>
      <c r="P6" s="20">
        <f t="shared" si="5"/>
        <v>-3.2388663967611677</v>
      </c>
      <c r="Q6" s="21">
        <f t="shared" si="6"/>
        <v>0.9692307692307689</v>
      </c>
      <c r="R6" s="172"/>
      <c r="S6" s="28">
        <v>0.74652777777777779</v>
      </c>
      <c r="T6" s="28">
        <v>0.77361111111111114</v>
      </c>
      <c r="U6" s="4">
        <f t="shared" ref="U6:U9" si="10">IF(S6=TIME(17,0,0),"",(S6-T5)*24*60)</f>
        <v>6.9999999999999751</v>
      </c>
      <c r="V6" s="22">
        <f t="shared" si="7"/>
        <v>39.000000000000021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-61.538461538462343</v>
      </c>
      <c r="AF6" s="21">
        <f t="shared" si="9"/>
        <v>0.96923076923076878</v>
      </c>
      <c r="AG6" s="172"/>
    </row>
    <row r="7" spans="1:33">
      <c r="A7" s="204" t="s">
        <v>1891</v>
      </c>
      <c r="B7" s="37" t="s">
        <v>78</v>
      </c>
      <c r="C7" s="196" t="s">
        <v>81</v>
      </c>
      <c r="D7" s="197"/>
      <c r="E7" s="37">
        <v>50.29</v>
      </c>
      <c r="F7" s="4">
        <v>594</v>
      </c>
      <c r="G7" s="4">
        <f t="shared" si="0"/>
        <v>29872.26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1980.0000000000068</v>
      </c>
      <c r="N7" s="17">
        <f t="shared" si="3"/>
        <v>123.75000000000043</v>
      </c>
      <c r="O7" s="19">
        <f t="shared" si="4"/>
        <v>0</v>
      </c>
      <c r="P7" s="20">
        <f t="shared" si="5"/>
        <v>-1.2499999999995737</v>
      </c>
      <c r="Q7" s="21">
        <f t="shared" si="6"/>
        <v>0.99000000000000343</v>
      </c>
      <c r="R7" s="172"/>
      <c r="S7" s="28">
        <v>0.77708333333333335</v>
      </c>
      <c r="T7" s="28">
        <v>0.7895833333333333</v>
      </c>
      <c r="U7" s="4">
        <f t="shared" si="10"/>
        <v>4.9999999999999822</v>
      </c>
      <c r="V7" s="22">
        <f t="shared" si="7"/>
        <v>17.999999999999936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-19.999999999993179</v>
      </c>
      <c r="AF7" s="21">
        <f t="shared" si="9"/>
        <v>0.99000000000000343</v>
      </c>
      <c r="AG7" s="172"/>
    </row>
    <row r="8" spans="1:33">
      <c r="A8" s="204" t="s">
        <v>46</v>
      </c>
      <c r="B8" s="37" t="s">
        <v>78</v>
      </c>
      <c r="C8" s="196" t="s">
        <v>82</v>
      </c>
      <c r="D8" s="197"/>
      <c r="E8" s="37">
        <v>57.3</v>
      </c>
      <c r="F8" s="4">
        <v>1341</v>
      </c>
      <c r="G8" s="4">
        <f t="shared" si="0"/>
        <v>76839.3</v>
      </c>
      <c r="H8" s="22" t="s">
        <v>139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1915.7142857142849</v>
      </c>
      <c r="N8" s="17">
        <f t="shared" si="3"/>
        <v>127.71428571428565</v>
      </c>
      <c r="O8" s="19">
        <f t="shared" si="4"/>
        <v>0</v>
      </c>
      <c r="P8" s="20">
        <f t="shared" si="5"/>
        <v>-5.6190476190476915</v>
      </c>
      <c r="Q8" s="21">
        <f t="shared" si="6"/>
        <v>0.9578571428571423</v>
      </c>
      <c r="R8" s="172"/>
      <c r="S8" s="28">
        <v>0.79305555555555551</v>
      </c>
      <c r="T8" s="28">
        <v>0.82222222222222219</v>
      </c>
      <c r="U8" s="4">
        <f t="shared" si="10"/>
        <v>4.9999999999999822</v>
      </c>
      <c r="V8" s="22">
        <f t="shared" si="7"/>
        <v>42.000000000000014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-84.28571428571513</v>
      </c>
      <c r="AF8" s="21">
        <f t="shared" si="9"/>
        <v>0.95785714285714241</v>
      </c>
      <c r="AG8" s="172"/>
    </row>
    <row r="9" spans="1:33">
      <c r="A9" s="204" t="s">
        <v>46</v>
      </c>
      <c r="B9" s="37" t="s">
        <v>78</v>
      </c>
      <c r="C9" s="196" t="s">
        <v>83</v>
      </c>
      <c r="D9" s="197"/>
      <c r="E9" s="37">
        <v>50.67</v>
      </c>
      <c r="F9" s="4">
        <v>670</v>
      </c>
      <c r="G9" s="4">
        <f t="shared" si="0"/>
        <v>33948.9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1914.285714285721</v>
      </c>
      <c r="N9" s="17">
        <f t="shared" si="3"/>
        <v>91.156462585034333</v>
      </c>
      <c r="O9" s="19">
        <f t="shared" si="4"/>
        <v>0</v>
      </c>
      <c r="P9" s="20">
        <f t="shared" si="5"/>
        <v>-4.0816326530609075</v>
      </c>
      <c r="Q9" s="21">
        <f t="shared" si="6"/>
        <v>0.95714285714286051</v>
      </c>
      <c r="R9" s="172"/>
      <c r="S9" s="28">
        <v>0.82777777777777772</v>
      </c>
      <c r="T9" s="28">
        <v>0.84236111111111101</v>
      </c>
      <c r="U9" s="4">
        <f t="shared" si="10"/>
        <v>7.9999999999999716</v>
      </c>
      <c r="V9" s="22">
        <f t="shared" si="7"/>
        <v>20.999999999999925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-85.714285714278958</v>
      </c>
      <c r="AF9" s="21">
        <f t="shared" si="9"/>
        <v>0.95714285714286051</v>
      </c>
      <c r="AG9" s="172"/>
    </row>
    <row r="10" spans="1:33">
      <c r="A10" s="204" t="s">
        <v>46</v>
      </c>
      <c r="B10" s="37" t="s">
        <v>48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1"/>
        <v>113.63636363636363</v>
      </c>
      <c r="L10" s="30">
        <v>17.600000000000001</v>
      </c>
      <c r="M10" s="18">
        <f>AVERAGE(M5:M9)</f>
        <v>1935.9423076923099</v>
      </c>
      <c r="N10" s="17">
        <f t="shared" si="3"/>
        <v>109.99672202797214</v>
      </c>
      <c r="O10" s="19">
        <f t="shared" si="4"/>
        <v>0</v>
      </c>
      <c r="P10" s="20">
        <f t="shared" si="5"/>
        <v>-3.6396416083914858</v>
      </c>
      <c r="Q10" s="21">
        <f t="shared" si="6"/>
        <v>0.96797115384615495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8"/>
        <v>-64.057692307690104</v>
      </c>
      <c r="AF10" s="21">
        <f t="shared" si="9"/>
        <v>0.96797115384615495</v>
      </c>
      <c r="AG10" s="172"/>
    </row>
    <row r="11" spans="1:33" ht="15.75" customHeight="1">
      <c r="A11" s="200" t="s">
        <v>49</v>
      </c>
      <c r="B11" s="37" t="s">
        <v>84</v>
      </c>
      <c r="C11" s="196" t="s">
        <v>85</v>
      </c>
      <c r="D11" s="197"/>
      <c r="E11" s="37">
        <v>39.619999999999997</v>
      </c>
      <c r="F11" s="4">
        <v>2762</v>
      </c>
      <c r="G11" s="4">
        <f t="shared" ref="G11:G12" si="11">E11*F11</f>
        <v>109430.43999999999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1428.6206896551719</v>
      </c>
      <c r="N11" s="17">
        <f t="shared" si="3"/>
        <v>75.190562613430103</v>
      </c>
      <c r="O11" s="19">
        <f t="shared" si="4"/>
        <v>0</v>
      </c>
      <c r="P11" s="20">
        <f t="shared" si="5"/>
        <v>-3.756805807622527</v>
      </c>
      <c r="Q11" s="21">
        <f t="shared" si="6"/>
        <v>0.95241379310344798</v>
      </c>
      <c r="R11" s="172">
        <f>Q13</f>
        <v>0.95437832512315257</v>
      </c>
      <c r="S11" s="28">
        <v>0.20833333333333334</v>
      </c>
      <c r="T11" s="28">
        <v>0.28888888888888892</v>
      </c>
      <c r="U11" s="4"/>
      <c r="V11" s="22">
        <f t="shared" ref="V11:V12" si="13">(T11-S11)*24*60</f>
        <v>116.00000000000003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-71.379310344828127</v>
      </c>
      <c r="AF11" s="21">
        <f t="shared" si="9"/>
        <v>0.95241379310344787</v>
      </c>
      <c r="AG11" s="172">
        <f>AF13</f>
        <v>0.95437832512315257</v>
      </c>
    </row>
    <row r="12" spans="1:33" ht="15.75" customHeight="1">
      <c r="A12" s="200" t="s">
        <v>49</v>
      </c>
      <c r="B12" s="37" t="s">
        <v>84</v>
      </c>
      <c r="C12" s="196" t="s">
        <v>86</v>
      </c>
      <c r="D12" s="197"/>
      <c r="E12" s="37">
        <v>39.799999999999997</v>
      </c>
      <c r="F12" s="4">
        <v>4184</v>
      </c>
      <c r="G12" s="4">
        <f t="shared" si="11"/>
        <v>166523.19999999998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1434.5142857142855</v>
      </c>
      <c r="N12" s="17">
        <f t="shared" si="3"/>
        <v>84.383193277310909</v>
      </c>
      <c r="O12" s="19">
        <f t="shared" si="4"/>
        <v>0</v>
      </c>
      <c r="P12" s="20">
        <f t="shared" si="5"/>
        <v>-3.8521008403361492</v>
      </c>
      <c r="Q12" s="21">
        <f t="shared" si="6"/>
        <v>0.95634285714285694</v>
      </c>
      <c r="R12" s="172"/>
      <c r="S12" s="28">
        <v>0.29305555555555557</v>
      </c>
      <c r="T12" s="28">
        <v>0.41458333333333336</v>
      </c>
      <c r="U12" s="4">
        <f t="shared" ref="U12" si="14">IF(S12=TIME(17,0,0),"",(S12-T11)*24*60)</f>
        <v>5.9999999999999787</v>
      </c>
      <c r="V12" s="22">
        <f t="shared" si="13"/>
        <v>175.00000000000003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-65.485714285714494</v>
      </c>
      <c r="AF12" s="21">
        <f t="shared" si="9"/>
        <v>0.95634285714285705</v>
      </c>
      <c r="AG12" s="172"/>
    </row>
    <row r="13" spans="1:33" ht="16.5" customHeight="1">
      <c r="A13" s="200" t="s">
        <v>49</v>
      </c>
      <c r="B13" s="37" t="s">
        <v>1892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1431.5674876847288</v>
      </c>
      <c r="N13" s="17">
        <f t="shared" si="3"/>
        <v>79.53152709359604</v>
      </c>
      <c r="O13" s="19">
        <f t="shared" si="4"/>
        <v>0</v>
      </c>
      <c r="P13" s="20">
        <f t="shared" si="5"/>
        <v>-3.8018062397372887</v>
      </c>
      <c r="Q13" s="21">
        <f t="shared" si="6"/>
        <v>0.95437832512315257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8"/>
        <v>-68.432512315271197</v>
      </c>
      <c r="AF13" s="21">
        <f t="shared" si="9"/>
        <v>0.95437832512315257</v>
      </c>
      <c r="AG13" s="172"/>
    </row>
    <row r="14" spans="1:33" ht="16.5" customHeight="1">
      <c r="A14" s="198" t="s">
        <v>54</v>
      </c>
      <c r="B14" s="4" t="s">
        <v>87</v>
      </c>
      <c r="C14" s="190" t="s">
        <v>88</v>
      </c>
      <c r="D14" s="190"/>
      <c r="E14" s="37">
        <v>41</v>
      </c>
      <c r="F14" s="4">
        <v>2848</v>
      </c>
      <c r="G14" s="4">
        <f t="shared" ref="G14:G20" si="15">E14*F14</f>
        <v>116768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20" si="16">F14/V14*60</f>
        <v>1435.9663865546217</v>
      </c>
      <c r="N14" s="17">
        <f t="shared" si="3"/>
        <v>55.22947640594699</v>
      </c>
      <c r="O14" s="19">
        <f t="shared" si="4"/>
        <v>0</v>
      </c>
      <c r="P14" s="20">
        <f t="shared" si="5"/>
        <v>-2.4628312863607036</v>
      </c>
      <c r="Q14" s="21">
        <f t="shared" si="6"/>
        <v>0.95731092436974785</v>
      </c>
      <c r="R14" s="172">
        <f>Q21</f>
        <v>0.96312664945343485</v>
      </c>
      <c r="S14" s="28">
        <v>0.20833333333333334</v>
      </c>
      <c r="T14" s="28">
        <v>0.29097222222222224</v>
      </c>
      <c r="U14" s="4"/>
      <c r="V14" s="22">
        <f t="shared" ref="V14:V20" si="17">(T14-S14)*24*60</f>
        <v>119.00000000000001</v>
      </c>
      <c r="W14" s="28"/>
      <c r="X14" s="28"/>
      <c r="Y14" s="28"/>
      <c r="Z14" s="28"/>
      <c r="AA14" s="164"/>
      <c r="AB14" s="164"/>
      <c r="AC14" s="25">
        <v>7</v>
      </c>
      <c r="AD14" s="25"/>
      <c r="AE14" s="19">
        <f t="shared" si="8"/>
        <v>-64.033613445378251</v>
      </c>
      <c r="AF14" s="21">
        <f t="shared" si="9"/>
        <v>0.95731092436974785</v>
      </c>
      <c r="AG14" s="172">
        <f>AF21</f>
        <v>0.96312664945343485</v>
      </c>
    </row>
    <row r="15" spans="1:33" ht="16.5" customHeight="1">
      <c r="A15" s="199" t="s">
        <v>54</v>
      </c>
      <c r="B15" s="4" t="s">
        <v>89</v>
      </c>
      <c r="C15" s="190" t="s">
        <v>90</v>
      </c>
      <c r="D15" s="190"/>
      <c r="E15" s="37">
        <v>72.400000000000006</v>
      </c>
      <c r="F15" s="4">
        <v>779</v>
      </c>
      <c r="G15" s="4">
        <f t="shared" si="15"/>
        <v>56399.600000000006</v>
      </c>
      <c r="H15" s="22" t="s">
        <v>139</v>
      </c>
      <c r="I15" s="16">
        <v>18</v>
      </c>
      <c r="J15" s="18">
        <v>1500</v>
      </c>
      <c r="K15" s="17">
        <f t="shared" si="1"/>
        <v>83.333333333333329</v>
      </c>
      <c r="L15" s="16">
        <v>18</v>
      </c>
      <c r="M15" s="18">
        <f t="shared" si="16"/>
        <v>1460.6250000000018</v>
      </c>
      <c r="N15" s="17">
        <f t="shared" si="3"/>
        <v>81.145833333333428</v>
      </c>
      <c r="O15" s="19">
        <f t="shared" si="4"/>
        <v>0</v>
      </c>
      <c r="P15" s="20">
        <f t="shared" si="5"/>
        <v>-2.1874999999999005</v>
      </c>
      <c r="Q15" s="21">
        <f t="shared" si="6"/>
        <v>0.97375000000000123</v>
      </c>
      <c r="R15" s="172"/>
      <c r="S15" s="28">
        <v>0.29652777777777778</v>
      </c>
      <c r="T15" s="28">
        <v>0.31874999999999998</v>
      </c>
      <c r="U15" s="4">
        <f t="shared" ref="U15:U20" si="18">IF(S15=TIME(17,0,0),"",(S15-T14)*24*60)</f>
        <v>7.9999999999999716</v>
      </c>
      <c r="V15" s="22">
        <f t="shared" si="17"/>
        <v>31.999999999999964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-39.374999999998181</v>
      </c>
      <c r="AF15" s="21">
        <f t="shared" si="9"/>
        <v>0.97375000000000123</v>
      </c>
      <c r="AG15" s="172"/>
    </row>
    <row r="16" spans="1:33" ht="16.5" customHeight="1">
      <c r="A16" s="199" t="s">
        <v>54</v>
      </c>
      <c r="B16" s="4" t="s">
        <v>78</v>
      </c>
      <c r="C16" s="190" t="s">
        <v>91</v>
      </c>
      <c r="D16" s="190"/>
      <c r="E16" s="37">
        <v>50.98</v>
      </c>
      <c r="F16" s="4">
        <v>2611</v>
      </c>
      <c r="G16" s="4">
        <f t="shared" si="15"/>
        <v>133108.78</v>
      </c>
      <c r="H16" s="22" t="s">
        <v>139</v>
      </c>
      <c r="I16" s="16">
        <v>16</v>
      </c>
      <c r="J16" s="18">
        <v>2000</v>
      </c>
      <c r="K16" s="17">
        <f t="shared" si="1"/>
        <v>125</v>
      </c>
      <c r="L16" s="16">
        <v>16</v>
      </c>
      <c r="M16" s="18">
        <f t="shared" si="16"/>
        <v>1910.4878048780481</v>
      </c>
      <c r="N16" s="17">
        <f t="shared" si="3"/>
        <v>119.40548780487801</v>
      </c>
      <c r="O16" s="19">
        <f t="shared" si="4"/>
        <v>0</v>
      </c>
      <c r="P16" s="20">
        <f t="shared" si="5"/>
        <v>-5.5945121951219932</v>
      </c>
      <c r="Q16" s="21">
        <f t="shared" si="6"/>
        <v>0.95524390243902402</v>
      </c>
      <c r="R16" s="172"/>
      <c r="S16" s="28">
        <v>0.70833333333333337</v>
      </c>
      <c r="T16" s="28">
        <v>0.76527777777777783</v>
      </c>
      <c r="U16" s="4" t="str">
        <f t="shared" si="18"/>
        <v/>
      </c>
      <c r="V16" s="22">
        <f t="shared" si="17"/>
        <v>82.000000000000028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-89.512195121951891</v>
      </c>
      <c r="AF16" s="21">
        <f t="shared" si="9"/>
        <v>0.95524390243902402</v>
      </c>
      <c r="AG16" s="172"/>
    </row>
    <row r="17" spans="1:33" ht="16.5" customHeight="1">
      <c r="A17" s="199" t="s">
        <v>54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f t="shared" si="15"/>
        <v>40736</v>
      </c>
      <c r="H17" s="22">
        <v>2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1919.9999999999945</v>
      </c>
      <c r="N17" s="17">
        <f t="shared" si="3"/>
        <v>127.99999999999963</v>
      </c>
      <c r="O17" s="19">
        <f t="shared" si="4"/>
        <v>0</v>
      </c>
      <c r="P17" s="20">
        <f t="shared" si="5"/>
        <v>-5.3333333333337123</v>
      </c>
      <c r="Q17" s="21">
        <f t="shared" si="6"/>
        <v>0.95999999999999719</v>
      </c>
      <c r="R17" s="172"/>
      <c r="S17" s="28">
        <v>0.76944444444444449</v>
      </c>
      <c r="T17" s="28">
        <v>0.78680555555555565</v>
      </c>
      <c r="U17" s="4">
        <f t="shared" si="18"/>
        <v>5.9999999999999787</v>
      </c>
      <c r="V17" s="22">
        <f t="shared" si="17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-80.000000000005457</v>
      </c>
      <c r="AF17" s="21">
        <f t="shared" si="9"/>
        <v>0.9599999999999973</v>
      </c>
      <c r="AG17" s="172"/>
    </row>
    <row r="18" spans="1:33" ht="16.5" customHeight="1">
      <c r="A18" s="199" t="s">
        <v>54</v>
      </c>
      <c r="B18" s="4" t="s">
        <v>78</v>
      </c>
      <c r="C18" s="190" t="s">
        <v>93</v>
      </c>
      <c r="D18" s="190"/>
      <c r="E18" s="37">
        <v>50.67</v>
      </c>
      <c r="F18" s="4">
        <v>1792</v>
      </c>
      <c r="G18" s="4">
        <f t="shared" si="15"/>
        <v>90800.639999999999</v>
      </c>
      <c r="H18" s="22" t="s">
        <v>139</v>
      </c>
      <c r="I18" s="16">
        <v>15</v>
      </c>
      <c r="J18" s="18">
        <v>2000</v>
      </c>
      <c r="K18" s="17">
        <f t="shared" si="1"/>
        <v>133.33333333333334</v>
      </c>
      <c r="L18" s="16">
        <v>15</v>
      </c>
      <c r="M18" s="18">
        <f t="shared" si="16"/>
        <v>1920.0000000000014</v>
      </c>
      <c r="N18" s="17">
        <f t="shared" si="3"/>
        <v>128.00000000000009</v>
      </c>
      <c r="O18" s="19">
        <f t="shared" si="4"/>
        <v>0</v>
      </c>
      <c r="P18" s="20">
        <f t="shared" si="5"/>
        <v>-5.3333333333332575</v>
      </c>
      <c r="Q18" s="21">
        <f t="shared" si="6"/>
        <v>0.96000000000000052</v>
      </c>
      <c r="R18" s="172"/>
      <c r="S18" s="28">
        <v>0.7909722222222223</v>
      </c>
      <c r="T18" s="28">
        <v>0.82986111111111116</v>
      </c>
      <c r="U18" s="4">
        <f t="shared" si="18"/>
        <v>5.9999999999999787</v>
      </c>
      <c r="V18" s="22">
        <f t="shared" si="17"/>
        <v>55.999999999999957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-79.999999999998636</v>
      </c>
      <c r="AF18" s="21">
        <f t="shared" si="9"/>
        <v>0.96000000000000063</v>
      </c>
      <c r="AG18" s="172"/>
    </row>
    <row r="19" spans="1:33" ht="16.5" customHeight="1">
      <c r="A19" s="199" t="s">
        <v>54</v>
      </c>
      <c r="B19" s="4" t="s">
        <v>78</v>
      </c>
      <c r="C19" s="217" t="s">
        <v>98</v>
      </c>
      <c r="D19" s="218"/>
      <c r="E19" s="37">
        <v>50.67</v>
      </c>
      <c r="F19" s="4">
        <v>881</v>
      </c>
      <c r="G19" s="4">
        <f t="shared" si="15"/>
        <v>44640.270000000004</v>
      </c>
      <c r="H19" s="22" t="s">
        <v>139</v>
      </c>
      <c r="I19" s="16">
        <v>16</v>
      </c>
      <c r="J19" s="18">
        <v>2000</v>
      </c>
      <c r="K19" s="17">
        <f t="shared" si="1"/>
        <v>125</v>
      </c>
      <c r="L19" s="16">
        <v>16</v>
      </c>
      <c r="M19" s="18">
        <f t="shared" si="16"/>
        <v>1957.7777777777733</v>
      </c>
      <c r="N19" s="17">
        <f t="shared" si="3"/>
        <v>122.36111111111083</v>
      </c>
      <c r="O19" s="19">
        <f t="shared" si="4"/>
        <v>0</v>
      </c>
      <c r="P19" s="20">
        <f t="shared" si="5"/>
        <v>-2.6388888888891699</v>
      </c>
      <c r="Q19" s="21">
        <f t="shared" si="6"/>
        <v>0.97888888888888659</v>
      </c>
      <c r="R19" s="172"/>
      <c r="S19" s="28">
        <v>0.8354166666666667</v>
      </c>
      <c r="T19" s="28">
        <v>0.85416666666666674</v>
      </c>
      <c r="U19" s="4">
        <f t="shared" si="18"/>
        <v>7.9999999999999716</v>
      </c>
      <c r="V19" s="22">
        <f t="shared" si="17"/>
        <v>27.000000000000064</v>
      </c>
      <c r="W19" s="23">
        <f>T19</f>
        <v>0.85416666666666674</v>
      </c>
      <c r="X19" s="23">
        <f>S20</f>
        <v>0.89444444444444449</v>
      </c>
      <c r="Y19" s="26"/>
      <c r="Z19" s="26"/>
      <c r="AA19" s="175"/>
      <c r="AB19" s="176"/>
      <c r="AC19" s="25"/>
      <c r="AD19" s="25"/>
      <c r="AE19" s="19">
        <f t="shared" si="8"/>
        <v>-42.222222222226719</v>
      </c>
      <c r="AF19" s="21">
        <f t="shared" si="9"/>
        <v>0.97888888888888659</v>
      </c>
      <c r="AG19" s="172"/>
    </row>
    <row r="20" spans="1:33" ht="16.5" customHeight="1">
      <c r="A20" s="199" t="s">
        <v>54</v>
      </c>
      <c r="B20" s="4" t="s">
        <v>78</v>
      </c>
      <c r="C20" s="39" t="s">
        <v>92</v>
      </c>
      <c r="D20" s="40"/>
      <c r="E20" s="37">
        <v>50.92</v>
      </c>
      <c r="F20" s="4">
        <v>1820</v>
      </c>
      <c r="G20" s="4">
        <f t="shared" si="15"/>
        <v>92674.400000000009</v>
      </c>
      <c r="H20" s="22" t="s">
        <v>139</v>
      </c>
      <c r="I20" s="16">
        <v>15</v>
      </c>
      <c r="J20" s="18">
        <v>2000</v>
      </c>
      <c r="K20" s="17">
        <f t="shared" si="1"/>
        <v>133.33333333333334</v>
      </c>
      <c r="L20" s="16">
        <v>15</v>
      </c>
      <c r="M20" s="18">
        <f t="shared" si="16"/>
        <v>1915.789473684212</v>
      </c>
      <c r="N20" s="17">
        <f t="shared" si="3"/>
        <v>127.71929824561413</v>
      </c>
      <c r="O20" s="19">
        <f t="shared" si="4"/>
        <v>0</v>
      </c>
      <c r="P20" s="20">
        <f t="shared" si="5"/>
        <v>-5.6140350877192162</v>
      </c>
      <c r="Q20" s="21">
        <f t="shared" si="6"/>
        <v>0.95789473684210591</v>
      </c>
      <c r="R20" s="172"/>
      <c r="S20" s="28">
        <v>0.89444444444444449</v>
      </c>
      <c r="T20" s="28">
        <v>0.93402777777777779</v>
      </c>
      <c r="U20" s="4">
        <f t="shared" si="18"/>
        <v>57.999999999999957</v>
      </c>
      <c r="V20" s="22">
        <f t="shared" si="17"/>
        <v>56.999999999999957</v>
      </c>
      <c r="W20" s="23"/>
      <c r="X20" s="23"/>
      <c r="Y20" s="26"/>
      <c r="Z20" s="26"/>
      <c r="AA20" s="175"/>
      <c r="AB20" s="176"/>
      <c r="AC20" s="25"/>
      <c r="AD20" s="25"/>
      <c r="AE20" s="19">
        <f t="shared" si="8"/>
        <v>-84.210526315788002</v>
      </c>
      <c r="AF20" s="21">
        <f t="shared" si="9"/>
        <v>0.95789473684210602</v>
      </c>
      <c r="AG20" s="172"/>
    </row>
    <row r="21" spans="1:33" ht="16.5" customHeight="1">
      <c r="A21" s="199" t="s">
        <v>54</v>
      </c>
      <c r="B21" s="37" t="s">
        <v>48</v>
      </c>
      <c r="C21" s="177"/>
      <c r="D21" s="177"/>
      <c r="E21" s="38"/>
      <c r="F21" s="17"/>
      <c r="G21" s="17"/>
      <c r="H21" s="4"/>
      <c r="I21" s="30">
        <v>17.285714285714285</v>
      </c>
      <c r="J21" s="18">
        <v>1857.1428571428571</v>
      </c>
      <c r="K21" s="17">
        <f t="shared" si="1"/>
        <v>107.43801652892563</v>
      </c>
      <c r="L21" s="30">
        <v>17.285714285714285</v>
      </c>
      <c r="M21" s="18">
        <f>AVERAGE(M14:M20)</f>
        <v>1788.663777556379</v>
      </c>
      <c r="N21" s="17">
        <f t="shared" si="3"/>
        <v>103.47641688342689</v>
      </c>
      <c r="O21" s="19">
        <f t="shared" si="4"/>
        <v>0</v>
      </c>
      <c r="P21" s="20">
        <f t="shared" si="5"/>
        <v>-3.9615996454987368</v>
      </c>
      <c r="Q21" s="21">
        <f t="shared" si="6"/>
        <v>0.96312664945343485</v>
      </c>
      <c r="R21" s="172"/>
      <c r="S21" s="28"/>
      <c r="T21" s="28"/>
      <c r="U21" s="4"/>
      <c r="V21" s="22"/>
      <c r="W21" s="17"/>
      <c r="X21" s="17"/>
      <c r="Y21" s="31">
        <f>SUM(Y14:Y20)</f>
        <v>0</v>
      </c>
      <c r="Z21" s="31">
        <f>SUM(Z14:Z20)</f>
        <v>0</v>
      </c>
      <c r="AA21" s="168"/>
      <c r="AB21" s="168"/>
      <c r="AC21" s="31">
        <v>7</v>
      </c>
      <c r="AD21" s="31">
        <f>SUM(AD14:AD20)</f>
        <v>0</v>
      </c>
      <c r="AE21" s="19">
        <f t="shared" si="8"/>
        <v>-68.479079586478065</v>
      </c>
      <c r="AF21" s="21">
        <f t="shared" si="9"/>
        <v>0.96312664945343485</v>
      </c>
      <c r="AG21" s="172"/>
    </row>
    <row r="22" spans="1:33" ht="15.75" customHeight="1">
      <c r="A22" s="194" t="s">
        <v>58</v>
      </c>
      <c r="B22" s="37" t="s">
        <v>78</v>
      </c>
      <c r="C22" s="190" t="s">
        <v>95</v>
      </c>
      <c r="D22" s="190"/>
      <c r="E22" s="37">
        <v>57.73</v>
      </c>
      <c r="F22" s="4">
        <v>2437</v>
      </c>
      <c r="G22" s="4">
        <f t="shared" ref="G22:G27" si="19">E22*F22</f>
        <v>140688.00999999998</v>
      </c>
      <c r="H22" s="22" t="s">
        <v>139</v>
      </c>
      <c r="I22" s="16">
        <v>14</v>
      </c>
      <c r="J22" s="18">
        <v>2000</v>
      </c>
      <c r="K22" s="17">
        <f t="shared" si="1"/>
        <v>142.85714285714286</v>
      </c>
      <c r="L22" s="16">
        <v>14</v>
      </c>
      <c r="M22" s="18">
        <f t="shared" ref="M22:M27" si="20">F22/V22*60</f>
        <v>1923.9473684210523</v>
      </c>
      <c r="N22" s="17">
        <f t="shared" si="3"/>
        <v>137.42481203007517</v>
      </c>
      <c r="O22" s="19">
        <f t="shared" si="4"/>
        <v>0</v>
      </c>
      <c r="P22" s="20">
        <f t="shared" si="5"/>
        <v>-5.4323308270676876</v>
      </c>
      <c r="Q22" s="21">
        <f t="shared" si="6"/>
        <v>0.9619736842105262</v>
      </c>
      <c r="R22" s="172">
        <f>Q28</f>
        <v>0.9604109596794066</v>
      </c>
      <c r="S22" s="28">
        <v>0.20833333333333334</v>
      </c>
      <c r="T22" s="28">
        <v>0.26111111111111113</v>
      </c>
      <c r="U22" s="4"/>
      <c r="V22" s="22">
        <f t="shared" ref="V22:V27" si="21">(T22-S22)*24*60</f>
        <v>76.000000000000014</v>
      </c>
      <c r="W22" s="28"/>
      <c r="X22" s="28"/>
      <c r="Y22" s="28"/>
      <c r="Z22" s="28"/>
      <c r="AA22" s="164"/>
      <c r="AB22" s="164"/>
      <c r="AC22" s="25">
        <v>6</v>
      </c>
      <c r="AD22" s="25"/>
      <c r="AE22" s="19">
        <f t="shared" si="8"/>
        <v>-76.052631578947739</v>
      </c>
      <c r="AF22" s="21">
        <f t="shared" si="9"/>
        <v>0.96197368421052609</v>
      </c>
      <c r="AG22" s="172">
        <f>AF28</f>
        <v>0.96041095967940648</v>
      </c>
    </row>
    <row r="23" spans="1:33" ht="15.75" customHeight="1">
      <c r="A23" s="195" t="s">
        <v>1893</v>
      </c>
      <c r="B23" s="37" t="s">
        <v>78</v>
      </c>
      <c r="C23" s="190" t="s">
        <v>96</v>
      </c>
      <c r="D23" s="190"/>
      <c r="E23" s="37">
        <v>53.68</v>
      </c>
      <c r="F23" s="4">
        <v>1588</v>
      </c>
      <c r="G23" s="4">
        <f t="shared" si="19"/>
        <v>85243.839999999997</v>
      </c>
      <c r="H23" s="22" t="s">
        <v>139</v>
      </c>
      <c r="I23" s="16">
        <v>16</v>
      </c>
      <c r="J23" s="18">
        <v>2000</v>
      </c>
      <c r="K23" s="17">
        <f t="shared" si="1"/>
        <v>125</v>
      </c>
      <c r="L23" s="16">
        <v>16</v>
      </c>
      <c r="M23" s="18">
        <f t="shared" si="20"/>
        <v>1905.6000000000006</v>
      </c>
      <c r="N23" s="17">
        <f t="shared" si="3"/>
        <v>119.10000000000004</v>
      </c>
      <c r="O23" s="19">
        <f t="shared" si="4"/>
        <v>0</v>
      </c>
      <c r="P23" s="20">
        <f t="shared" si="5"/>
        <v>-5.8999999999999631</v>
      </c>
      <c r="Q23" s="21">
        <f t="shared" si="6"/>
        <v>0.95280000000000031</v>
      </c>
      <c r="R23" s="172"/>
      <c r="S23" s="28">
        <v>0.26458333333333334</v>
      </c>
      <c r="T23" s="28">
        <v>0.29930555555555555</v>
      </c>
      <c r="U23" s="4">
        <f t="shared" ref="U23:U27" si="22">IF(S23=TIME(17,0,0),"",(S23-T22)*24*60)</f>
        <v>4.9999999999999822</v>
      </c>
      <c r="V23" s="22">
        <f t="shared" si="21"/>
        <v>49.999999999999986</v>
      </c>
      <c r="W23" s="23"/>
      <c r="X23" s="4"/>
      <c r="Y23" s="4"/>
      <c r="Z23" s="4"/>
      <c r="AA23" s="164"/>
      <c r="AB23" s="164"/>
      <c r="AC23" s="25"/>
      <c r="AD23" s="25"/>
      <c r="AE23" s="19">
        <f t="shared" si="8"/>
        <v>-94.399999999999409</v>
      </c>
      <c r="AF23" s="21">
        <f t="shared" si="9"/>
        <v>0.95280000000000031</v>
      </c>
      <c r="AG23" s="172"/>
    </row>
    <row r="24" spans="1:33" ht="15.75" customHeight="1">
      <c r="A24" s="195" t="s">
        <v>58</v>
      </c>
      <c r="B24" s="37" t="s">
        <v>78</v>
      </c>
      <c r="C24" s="190" t="s">
        <v>97</v>
      </c>
      <c r="D24" s="190"/>
      <c r="E24" s="37">
        <v>50.49</v>
      </c>
      <c r="F24" s="4">
        <v>1000</v>
      </c>
      <c r="G24" s="4">
        <f t="shared" si="19"/>
        <v>50490</v>
      </c>
      <c r="H24" s="22">
        <v>2</v>
      </c>
      <c r="I24" s="16">
        <v>15</v>
      </c>
      <c r="J24" s="18">
        <v>2000</v>
      </c>
      <c r="K24" s="17">
        <f t="shared" si="1"/>
        <v>133.33333333333334</v>
      </c>
      <c r="L24" s="16">
        <v>15</v>
      </c>
      <c r="M24" s="18">
        <f t="shared" si="20"/>
        <v>1935.483870967739</v>
      </c>
      <c r="N24" s="17">
        <f t="shared" si="3"/>
        <v>129.03225806451593</v>
      </c>
      <c r="O24" s="19">
        <f t="shared" si="4"/>
        <v>0</v>
      </c>
      <c r="P24" s="20">
        <f t="shared" si="5"/>
        <v>-4.3010752688174136</v>
      </c>
      <c r="Q24" s="21">
        <f t="shared" si="6"/>
        <v>0.96774193548386944</v>
      </c>
      <c r="R24" s="172"/>
      <c r="S24" s="28">
        <v>0.70833333333333337</v>
      </c>
      <c r="T24" s="28">
        <v>0.72986111111111118</v>
      </c>
      <c r="U24" s="4" t="str">
        <f t="shared" si="22"/>
        <v/>
      </c>
      <c r="V24" s="22">
        <f t="shared" si="21"/>
        <v>31.00000000000005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-64.516129032261006</v>
      </c>
      <c r="AF24" s="21">
        <f t="shared" si="9"/>
        <v>0.96774193548386944</v>
      </c>
      <c r="AG24" s="172"/>
    </row>
    <row r="25" spans="1:33" ht="15.75" customHeight="1">
      <c r="A25" s="195" t="s">
        <v>1893</v>
      </c>
      <c r="B25" s="37" t="s">
        <v>78</v>
      </c>
      <c r="C25" s="190" t="s">
        <v>94</v>
      </c>
      <c r="D25" s="190"/>
      <c r="E25" s="37">
        <v>57.3</v>
      </c>
      <c r="F25" s="4">
        <v>2174</v>
      </c>
      <c r="G25" s="4">
        <f t="shared" si="19"/>
        <v>124570.2</v>
      </c>
      <c r="H25" s="22" t="s">
        <v>139</v>
      </c>
      <c r="I25" s="16">
        <v>13</v>
      </c>
      <c r="J25" s="18">
        <v>2000</v>
      </c>
      <c r="K25" s="17">
        <f t="shared" si="1"/>
        <v>153.84615384615384</v>
      </c>
      <c r="L25" s="16">
        <v>13</v>
      </c>
      <c r="M25" s="18">
        <f t="shared" si="20"/>
        <v>1918.2352941176496</v>
      </c>
      <c r="N25" s="17">
        <f t="shared" si="3"/>
        <v>147.55656108597304</v>
      </c>
      <c r="O25" s="19">
        <f t="shared" si="4"/>
        <v>0</v>
      </c>
      <c r="P25" s="20">
        <f t="shared" si="5"/>
        <v>-6.2895927601807955</v>
      </c>
      <c r="Q25" s="21">
        <f t="shared" si="6"/>
        <v>0.95911764705882485</v>
      </c>
      <c r="R25" s="172"/>
      <c r="S25" s="28">
        <v>0.73402777777777783</v>
      </c>
      <c r="T25" s="28">
        <v>0.78125</v>
      </c>
      <c r="U25" s="4">
        <f t="shared" si="22"/>
        <v>5.9999999999999787</v>
      </c>
      <c r="V25" s="22">
        <f t="shared" si="21"/>
        <v>67.999999999999915</v>
      </c>
      <c r="W25" s="23"/>
      <c r="X25" s="4"/>
      <c r="Y25" s="4"/>
      <c r="Z25" s="4"/>
      <c r="AA25" s="164"/>
      <c r="AB25" s="164"/>
      <c r="AC25" s="25"/>
      <c r="AD25" s="25"/>
      <c r="AE25" s="19">
        <f t="shared" si="8"/>
        <v>-81.764705882350427</v>
      </c>
      <c r="AF25" s="21">
        <f t="shared" si="9"/>
        <v>0.95911764705882474</v>
      </c>
      <c r="AG25" s="172"/>
    </row>
    <row r="26" spans="1:33" ht="15.75" customHeight="1">
      <c r="A26" s="195" t="s">
        <v>1893</v>
      </c>
      <c r="B26" s="37" t="s">
        <v>78</v>
      </c>
      <c r="C26" s="190" t="s">
        <v>99</v>
      </c>
      <c r="D26" s="190"/>
      <c r="E26" s="37">
        <v>53.68</v>
      </c>
      <c r="F26" s="4">
        <v>2080</v>
      </c>
      <c r="G26" s="4">
        <f t="shared" si="19"/>
        <v>111654.39999999999</v>
      </c>
      <c r="H26" s="22" t="s">
        <v>139</v>
      </c>
      <c r="I26" s="16">
        <v>16</v>
      </c>
      <c r="J26" s="18">
        <v>1500</v>
      </c>
      <c r="K26" s="17">
        <f t="shared" si="1"/>
        <v>93.75</v>
      </c>
      <c r="L26" s="16">
        <v>16</v>
      </c>
      <c r="M26" s="18">
        <f t="shared" si="20"/>
        <v>1434.4827586206893</v>
      </c>
      <c r="N26" s="17">
        <f t="shared" si="3"/>
        <v>89.655172413793082</v>
      </c>
      <c r="O26" s="19">
        <f t="shared" si="4"/>
        <v>0</v>
      </c>
      <c r="P26" s="20">
        <f t="shared" si="5"/>
        <v>-4.0948275862069181</v>
      </c>
      <c r="Q26" s="21">
        <f t="shared" si="6"/>
        <v>0.95632183908045953</v>
      </c>
      <c r="R26" s="172"/>
      <c r="S26" s="28">
        <v>0.78611111111111109</v>
      </c>
      <c r="T26" s="28">
        <v>0.84652777777777777</v>
      </c>
      <c r="U26" s="4">
        <f t="shared" si="22"/>
        <v>6.9999999999999751</v>
      </c>
      <c r="V26" s="22">
        <f t="shared" si="21"/>
        <v>87.000000000000014</v>
      </c>
      <c r="W26" s="23">
        <f>T26</f>
        <v>0.84652777777777777</v>
      </c>
      <c r="X26" s="23">
        <f>S27</f>
        <v>0.88541666666666663</v>
      </c>
      <c r="Y26" s="4"/>
      <c r="Z26" s="4"/>
      <c r="AA26" s="164"/>
      <c r="AB26" s="164"/>
      <c r="AC26" s="25"/>
      <c r="AD26" s="25"/>
      <c r="AE26" s="19">
        <f t="shared" si="8"/>
        <v>-65.51724137931069</v>
      </c>
      <c r="AF26" s="21">
        <f t="shared" si="9"/>
        <v>0.95632183908045953</v>
      </c>
      <c r="AG26" s="172"/>
    </row>
    <row r="27" spans="1:33" ht="15.75" customHeight="1">
      <c r="A27" s="195" t="s">
        <v>58</v>
      </c>
      <c r="B27" s="37" t="s">
        <v>78</v>
      </c>
      <c r="C27" s="190" t="s">
        <v>97</v>
      </c>
      <c r="D27" s="190"/>
      <c r="E27" s="37">
        <v>50.49</v>
      </c>
      <c r="F27" s="4">
        <v>1381</v>
      </c>
      <c r="G27" s="4">
        <f t="shared" si="19"/>
        <v>69726.69</v>
      </c>
      <c r="H27" s="22" t="s">
        <v>139</v>
      </c>
      <c r="I27" s="16">
        <v>15</v>
      </c>
      <c r="J27" s="18">
        <v>2000</v>
      </c>
      <c r="K27" s="17">
        <f t="shared" si="1"/>
        <v>133.33333333333334</v>
      </c>
      <c r="L27" s="16">
        <v>15</v>
      </c>
      <c r="M27" s="18">
        <f t="shared" si="20"/>
        <v>1926.9767441860463</v>
      </c>
      <c r="N27" s="17">
        <f t="shared" si="3"/>
        <v>128.46511627906975</v>
      </c>
      <c r="O27" s="19">
        <f t="shared" si="4"/>
        <v>0</v>
      </c>
      <c r="P27" s="20">
        <f t="shared" si="5"/>
        <v>-4.8682170542635959</v>
      </c>
      <c r="Q27" s="21">
        <f t="shared" si="6"/>
        <v>0.96348837209302307</v>
      </c>
      <c r="R27" s="172"/>
      <c r="S27" s="28">
        <v>0.88541666666666663</v>
      </c>
      <c r="T27" s="28">
        <v>0.91527777777777775</v>
      </c>
      <c r="U27" s="4">
        <f t="shared" si="22"/>
        <v>55.999999999999957</v>
      </c>
      <c r="V27" s="22">
        <f t="shared" si="21"/>
        <v>43.000000000000007</v>
      </c>
      <c r="W27" s="23"/>
      <c r="X27" s="28"/>
      <c r="Y27" s="28"/>
      <c r="Z27" s="28"/>
      <c r="AA27" s="164"/>
      <c r="AB27" s="164"/>
      <c r="AC27" s="25"/>
      <c r="AD27" s="25"/>
      <c r="AE27" s="19">
        <f t="shared" si="8"/>
        <v>-73.02325581395371</v>
      </c>
      <c r="AF27" s="21">
        <f t="shared" si="9"/>
        <v>0.96348837209302318</v>
      </c>
      <c r="AG27" s="172"/>
    </row>
    <row r="28" spans="1:33" ht="15.75" customHeight="1">
      <c r="A28" s="195" t="s">
        <v>58</v>
      </c>
      <c r="B28" s="37" t="s">
        <v>48</v>
      </c>
      <c r="C28" s="177"/>
      <c r="D28" s="177"/>
      <c r="E28" s="38"/>
      <c r="F28" s="4"/>
      <c r="G28" s="4"/>
      <c r="H28" s="4"/>
      <c r="I28" s="30">
        <v>14.833333333333334</v>
      </c>
      <c r="J28" s="18">
        <v>1916.6666666666667</v>
      </c>
      <c r="K28" s="17">
        <f t="shared" si="1"/>
        <v>129.2134831460674</v>
      </c>
      <c r="L28" s="30">
        <v>14.833333333333334</v>
      </c>
      <c r="M28" s="18">
        <f>AVERAGE(M22:M27)</f>
        <v>1840.7876727188625</v>
      </c>
      <c r="N28" s="17">
        <f t="shared" si="3"/>
        <v>124.09804535183342</v>
      </c>
      <c r="O28" s="19">
        <f t="shared" si="4"/>
        <v>0</v>
      </c>
      <c r="P28" s="20">
        <f t="shared" si="5"/>
        <v>-5.1154377942339835</v>
      </c>
      <c r="Q28" s="21">
        <f t="shared" si="6"/>
        <v>0.9604109596794066</v>
      </c>
      <c r="R28" s="172"/>
      <c r="S28" s="28"/>
      <c r="T28" s="28"/>
      <c r="U28" s="17"/>
      <c r="V28" s="22"/>
      <c r="W28" s="17"/>
      <c r="X28" s="17"/>
      <c r="Y28" s="31">
        <f>SUM(Y22:Y27)</f>
        <v>0</v>
      </c>
      <c r="Z28" s="31">
        <f>SUM(Z22:Z27)</f>
        <v>0</v>
      </c>
      <c r="AA28" s="168"/>
      <c r="AB28" s="168"/>
      <c r="AC28" s="31">
        <v>6</v>
      </c>
      <c r="AD28" s="31">
        <f>SUM(AD22:AD27)</f>
        <v>0</v>
      </c>
      <c r="AE28" s="19">
        <f t="shared" si="8"/>
        <v>-75.878993947804247</v>
      </c>
      <c r="AF28" s="21">
        <f t="shared" si="9"/>
        <v>0.96041095967940648</v>
      </c>
      <c r="AG28" s="172"/>
    </row>
    <row r="29" spans="1:33" ht="15.75" customHeight="1">
      <c r="A29" s="193" t="s">
        <v>61</v>
      </c>
      <c r="B29" s="37" t="s">
        <v>100</v>
      </c>
      <c r="C29" s="190" t="s">
        <v>101</v>
      </c>
      <c r="D29" s="190"/>
      <c r="E29" s="37">
        <v>31.29</v>
      </c>
      <c r="F29" s="4">
        <v>7268</v>
      </c>
      <c r="G29" s="4">
        <f t="shared" ref="G29:G33" si="23">E29*F29</f>
        <v>227415.72</v>
      </c>
      <c r="H29" s="22" t="s">
        <v>139</v>
      </c>
      <c r="I29" s="16">
        <v>18</v>
      </c>
      <c r="J29" s="18">
        <v>2400</v>
      </c>
      <c r="K29" s="17">
        <f t="shared" si="1"/>
        <v>133.33333333333334</v>
      </c>
      <c r="L29" s="16">
        <v>18</v>
      </c>
      <c r="M29" s="18">
        <f t="shared" ref="M29:M33" si="24">F29/V29*60</f>
        <v>2283.1413612565448</v>
      </c>
      <c r="N29" s="17">
        <f t="shared" si="3"/>
        <v>126.84118673647471</v>
      </c>
      <c r="O29" s="19">
        <f t="shared" si="4"/>
        <v>0</v>
      </c>
      <c r="P29" s="20">
        <f t="shared" si="5"/>
        <v>-6.4921465968586318</v>
      </c>
      <c r="Q29" s="21">
        <f t="shared" si="6"/>
        <v>0.95130890052356032</v>
      </c>
      <c r="R29" s="172">
        <f>Q34</f>
        <v>0.95993989887564568</v>
      </c>
      <c r="S29" s="28">
        <v>0.125</v>
      </c>
      <c r="T29" s="28">
        <v>0.25763888888888886</v>
      </c>
      <c r="U29" s="4"/>
      <c r="V29" s="22">
        <f t="shared" ref="V29:V33" si="25">(T29-S29)*24*60</f>
        <v>190.99999999999997</v>
      </c>
      <c r="W29" s="23">
        <f>T29</f>
        <v>0.25763888888888886</v>
      </c>
      <c r="X29" s="23">
        <f>S30</f>
        <v>0.27499999999999997</v>
      </c>
      <c r="Y29" s="23"/>
      <c r="Z29" s="23"/>
      <c r="AA29" s="164"/>
      <c r="AB29" s="164"/>
      <c r="AC29" s="25">
        <v>5</v>
      </c>
      <c r="AD29" s="25"/>
      <c r="AE29" s="19">
        <f t="shared" si="8"/>
        <v>-116.85863874345523</v>
      </c>
      <c r="AF29" s="21">
        <f t="shared" si="9"/>
        <v>0.95130890052356032</v>
      </c>
      <c r="AG29" s="172">
        <f>AF34</f>
        <v>0.95993989887564568</v>
      </c>
    </row>
    <row r="30" spans="1:33" ht="15.75" customHeight="1">
      <c r="A30" s="193" t="s">
        <v>61</v>
      </c>
      <c r="B30" s="37" t="s">
        <v>100</v>
      </c>
      <c r="C30" s="190" t="s">
        <v>105</v>
      </c>
      <c r="D30" s="190"/>
      <c r="E30" s="37">
        <v>25.98</v>
      </c>
      <c r="F30" s="4">
        <v>2273</v>
      </c>
      <c r="G30" s="4">
        <f t="shared" si="23"/>
        <v>59052.54</v>
      </c>
      <c r="H30" s="22" t="s">
        <v>139</v>
      </c>
      <c r="I30" s="16">
        <v>21</v>
      </c>
      <c r="J30" s="18">
        <v>2400</v>
      </c>
      <c r="K30" s="17">
        <f t="shared" si="1"/>
        <v>114.28571428571429</v>
      </c>
      <c r="L30" s="16">
        <v>21</v>
      </c>
      <c r="M30" s="18">
        <f t="shared" si="24"/>
        <v>2311.5254237288127</v>
      </c>
      <c r="N30" s="17">
        <f t="shared" si="3"/>
        <v>110.07263922518156</v>
      </c>
      <c r="O30" s="19">
        <f t="shared" si="4"/>
        <v>0</v>
      </c>
      <c r="P30" s="20">
        <f t="shared" si="5"/>
        <v>-4.2130750605327307</v>
      </c>
      <c r="Q30" s="21">
        <f t="shared" si="6"/>
        <v>0.96313559322033859</v>
      </c>
      <c r="R30" s="172"/>
      <c r="S30" s="28">
        <v>0.27499999999999997</v>
      </c>
      <c r="T30" s="28">
        <v>0.31597222222222221</v>
      </c>
      <c r="U30" s="4">
        <f t="shared" ref="U30:U33" si="26">(S30-T29)*24*60</f>
        <v>24.999999999999993</v>
      </c>
      <c r="V30" s="22">
        <f t="shared" si="25"/>
        <v>59.000000000000028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8"/>
        <v>-88.474576271187289</v>
      </c>
      <c r="AF30" s="21">
        <f t="shared" si="9"/>
        <v>0.96313559322033859</v>
      </c>
      <c r="AG30" s="172"/>
    </row>
    <row r="31" spans="1:33" ht="15.75" customHeight="1">
      <c r="A31" s="193" t="s">
        <v>61</v>
      </c>
      <c r="B31" s="37" t="s">
        <v>100</v>
      </c>
      <c r="C31" s="190" t="s">
        <v>102</v>
      </c>
      <c r="D31" s="190"/>
      <c r="E31" s="37">
        <v>26.2</v>
      </c>
      <c r="F31" s="4">
        <v>4076</v>
      </c>
      <c r="G31" s="4">
        <f t="shared" si="23"/>
        <v>106791.2</v>
      </c>
      <c r="H31" s="22" t="s">
        <v>139</v>
      </c>
      <c r="I31" s="16">
        <v>20</v>
      </c>
      <c r="J31" s="18">
        <v>2400</v>
      </c>
      <c r="K31" s="17">
        <f t="shared" si="1"/>
        <v>120</v>
      </c>
      <c r="L31" s="16">
        <v>20</v>
      </c>
      <c r="M31" s="18">
        <f t="shared" si="24"/>
        <v>2285.6074766355136</v>
      </c>
      <c r="N31" s="17">
        <f t="shared" si="3"/>
        <v>114.28037383177568</v>
      </c>
      <c r="O31" s="19">
        <f t="shared" si="4"/>
        <v>0</v>
      </c>
      <c r="P31" s="20">
        <f t="shared" si="5"/>
        <v>-5.7196261682243232</v>
      </c>
      <c r="Q31" s="21">
        <f t="shared" si="6"/>
        <v>0.9523364485981306</v>
      </c>
      <c r="R31" s="172"/>
      <c r="S31" s="28">
        <v>0.32013888888888886</v>
      </c>
      <c r="T31" s="28">
        <v>0.39444444444444443</v>
      </c>
      <c r="U31" s="4">
        <f t="shared" si="26"/>
        <v>5.9999999999999787</v>
      </c>
      <c r="V31" s="22">
        <f t="shared" si="25"/>
        <v>107.00000000000001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8"/>
        <v>-114.39252336448635</v>
      </c>
      <c r="AF31" s="21">
        <f t="shared" si="9"/>
        <v>0.95233644859813071</v>
      </c>
      <c r="AG31" s="172"/>
    </row>
    <row r="32" spans="1:33" ht="15.75" customHeight="1">
      <c r="A32" s="193" t="s">
        <v>61</v>
      </c>
      <c r="B32" s="37" t="s">
        <v>100</v>
      </c>
      <c r="C32" s="190" t="s">
        <v>103</v>
      </c>
      <c r="D32" s="190"/>
      <c r="E32" s="37">
        <v>25.99</v>
      </c>
      <c r="F32" s="4">
        <v>3270</v>
      </c>
      <c r="G32" s="4">
        <f t="shared" si="23"/>
        <v>84987.299999999988</v>
      </c>
      <c r="H32" s="22" t="s">
        <v>139</v>
      </c>
      <c r="I32" s="16">
        <v>14</v>
      </c>
      <c r="J32" s="18">
        <v>2400</v>
      </c>
      <c r="K32" s="17">
        <f t="shared" si="1"/>
        <v>171.42857142857142</v>
      </c>
      <c r="L32" s="16">
        <v>14</v>
      </c>
      <c r="M32" s="18">
        <f t="shared" si="24"/>
        <v>2308.2352941176464</v>
      </c>
      <c r="N32" s="17">
        <f t="shared" si="3"/>
        <v>164.87394957983187</v>
      </c>
      <c r="O32" s="19">
        <f t="shared" si="4"/>
        <v>0</v>
      </c>
      <c r="P32" s="20">
        <f t="shared" si="5"/>
        <v>-6.5546218487395436</v>
      </c>
      <c r="Q32" s="21">
        <f t="shared" si="6"/>
        <v>0.96176470588235263</v>
      </c>
      <c r="R32" s="172"/>
      <c r="S32" s="28">
        <v>0.39930555555555552</v>
      </c>
      <c r="T32" s="28">
        <v>0.45833333333333331</v>
      </c>
      <c r="U32" s="4">
        <f t="shared" si="26"/>
        <v>6.9999999999999751</v>
      </c>
      <c r="V32" s="22">
        <f t="shared" si="25"/>
        <v>85.000000000000014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8"/>
        <v>-91.76470588235361</v>
      </c>
      <c r="AF32" s="21">
        <f t="shared" si="9"/>
        <v>0.96176470588235263</v>
      </c>
      <c r="AG32" s="172"/>
    </row>
    <row r="33" spans="1:33" ht="15.75" customHeight="1">
      <c r="A33" s="193" t="s">
        <v>61</v>
      </c>
      <c r="B33" s="37" t="s">
        <v>100</v>
      </c>
      <c r="C33" s="190" t="s">
        <v>107</v>
      </c>
      <c r="D33" s="190"/>
      <c r="E33" s="37">
        <v>26.18</v>
      </c>
      <c r="F33" s="4">
        <v>1515</v>
      </c>
      <c r="G33" s="4">
        <f t="shared" si="23"/>
        <v>39662.699999999997</v>
      </c>
      <c r="H33" s="22" t="s">
        <v>139</v>
      </c>
      <c r="I33" s="16">
        <v>19</v>
      </c>
      <c r="J33" s="18">
        <v>2400</v>
      </c>
      <c r="K33" s="17">
        <f t="shared" si="1"/>
        <v>126.31578947368421</v>
      </c>
      <c r="L33" s="16">
        <v>19</v>
      </c>
      <c r="M33" s="18">
        <f t="shared" si="24"/>
        <v>2330.7692307692296</v>
      </c>
      <c r="N33" s="17">
        <f t="shared" si="3"/>
        <v>122.67206477732788</v>
      </c>
      <c r="O33" s="19">
        <f t="shared" si="4"/>
        <v>0</v>
      </c>
      <c r="P33" s="20">
        <f t="shared" si="5"/>
        <v>-3.6437246963563297</v>
      </c>
      <c r="Q33" s="21">
        <f t="shared" si="6"/>
        <v>0.9711538461538457</v>
      </c>
      <c r="R33" s="172"/>
      <c r="S33" s="28">
        <v>0.46249999999999997</v>
      </c>
      <c r="T33" s="28">
        <v>0.48958333333333331</v>
      </c>
      <c r="U33" s="4">
        <f t="shared" si="26"/>
        <v>5.9999999999999787</v>
      </c>
      <c r="V33" s="22">
        <f t="shared" si="25"/>
        <v>39.000000000000021</v>
      </c>
      <c r="W33" s="23"/>
      <c r="X33" s="23"/>
      <c r="Y33" s="23"/>
      <c r="Z33" s="23"/>
      <c r="AA33" s="164"/>
      <c r="AB33" s="164"/>
      <c r="AC33" s="25"/>
      <c r="AD33" s="25"/>
      <c r="AE33" s="19">
        <f t="shared" si="8"/>
        <v>-69.23076923077042</v>
      </c>
      <c r="AF33" s="21">
        <f t="shared" si="9"/>
        <v>0.9711538461538457</v>
      </c>
      <c r="AG33" s="172"/>
    </row>
    <row r="34" spans="1:33" ht="15.75" customHeight="1">
      <c r="A34" s="193" t="s">
        <v>61</v>
      </c>
      <c r="B34" s="37" t="s">
        <v>48</v>
      </c>
      <c r="C34" s="177"/>
      <c r="D34" s="177"/>
      <c r="E34" s="38"/>
      <c r="F34" s="4"/>
      <c r="G34" s="4"/>
      <c r="H34" s="4"/>
      <c r="I34" s="30">
        <v>18.399999999999999</v>
      </c>
      <c r="J34" s="18">
        <v>2400</v>
      </c>
      <c r="K34" s="17">
        <f t="shared" si="1"/>
        <v>130.43478260869566</v>
      </c>
      <c r="L34" s="30">
        <v>18.399999999999999</v>
      </c>
      <c r="M34" s="18">
        <f>AVERAGE(M29:M33)</f>
        <v>2303.8557573015496</v>
      </c>
      <c r="N34" s="17">
        <f t="shared" si="3"/>
        <v>125.20955202725814</v>
      </c>
      <c r="O34" s="19">
        <f t="shared" si="4"/>
        <v>0</v>
      </c>
      <c r="P34" s="20">
        <f t="shared" si="5"/>
        <v>-5.2252305814375148</v>
      </c>
      <c r="Q34" s="21">
        <f t="shared" si="6"/>
        <v>0.95993989887564568</v>
      </c>
      <c r="R34" s="172"/>
      <c r="S34" s="28"/>
      <c r="T34" s="28"/>
      <c r="U34" s="4"/>
      <c r="V34" s="22"/>
      <c r="W34" s="4"/>
      <c r="X34" s="4"/>
      <c r="Y34" s="31">
        <f>SUM(Y29:Y33)</f>
        <v>0</v>
      </c>
      <c r="Z34" s="31">
        <f>SUM(Z29:Z33)</f>
        <v>0</v>
      </c>
      <c r="AA34" s="168"/>
      <c r="AB34" s="168"/>
      <c r="AC34" s="31">
        <v>5</v>
      </c>
      <c r="AD34" s="31">
        <f>SUM(AD29:AD33)</f>
        <v>0</v>
      </c>
      <c r="AE34" s="19">
        <f t="shared" si="8"/>
        <v>-96.144242698450398</v>
      </c>
      <c r="AF34" s="21">
        <f t="shared" si="9"/>
        <v>0.95993989887564568</v>
      </c>
      <c r="AG34" s="172"/>
    </row>
    <row r="35" spans="1:33" ht="15.75" customHeight="1">
      <c r="A35" s="191" t="s">
        <v>64</v>
      </c>
      <c r="B35" s="37" t="s">
        <v>100</v>
      </c>
      <c r="C35" s="165" t="s">
        <v>106</v>
      </c>
      <c r="D35" s="165"/>
      <c r="E35" s="37">
        <v>26.2</v>
      </c>
      <c r="F35" s="4">
        <v>5341</v>
      </c>
      <c r="G35" s="4">
        <f t="shared" ref="G35:G39" si="27">E35*F35</f>
        <v>139934.19999999998</v>
      </c>
      <c r="H35" s="22" t="s">
        <v>139</v>
      </c>
      <c r="I35" s="16">
        <v>18</v>
      </c>
      <c r="J35" s="18">
        <v>2400</v>
      </c>
      <c r="K35" s="17">
        <f t="shared" si="1"/>
        <v>133.33333333333334</v>
      </c>
      <c r="L35" s="16">
        <v>18</v>
      </c>
      <c r="M35" s="18">
        <f t="shared" ref="M35:M39" si="28">F35/V35*60</f>
        <v>2289.0000000000005</v>
      </c>
      <c r="N35" s="17">
        <f t="shared" si="3"/>
        <v>127.16666666666669</v>
      </c>
      <c r="O35" s="19">
        <f t="shared" si="4"/>
        <v>0</v>
      </c>
      <c r="P35" s="20">
        <f t="shared" si="5"/>
        <v>-6.1666666666666572</v>
      </c>
      <c r="Q35" s="21">
        <f t="shared" si="6"/>
        <v>0.9537500000000001</v>
      </c>
      <c r="R35" s="172">
        <f>Q40</f>
        <v>0.95792899661952735</v>
      </c>
      <c r="S35" s="28">
        <v>0.125</v>
      </c>
      <c r="T35" s="28">
        <v>0.22222222222222221</v>
      </c>
      <c r="U35" s="4"/>
      <c r="V35" s="22">
        <f t="shared" ref="V35:V39" si="29">(T35-S35)*24*60</f>
        <v>139.99999999999997</v>
      </c>
      <c r="W35" s="28">
        <f>T35</f>
        <v>0.22222222222222221</v>
      </c>
      <c r="X35" s="28">
        <f>S36</f>
        <v>0.24305555555555555</v>
      </c>
      <c r="Y35" s="28"/>
      <c r="Z35" s="28"/>
      <c r="AA35" s="164"/>
      <c r="AB35" s="164"/>
      <c r="AC35" s="25">
        <v>5</v>
      </c>
      <c r="AD35" s="25"/>
      <c r="AE35" s="19">
        <f t="shared" si="8"/>
        <v>-110.99999999999955</v>
      </c>
      <c r="AF35" s="21">
        <f t="shared" si="9"/>
        <v>0.95375000000000021</v>
      </c>
      <c r="AG35" s="172">
        <f>AF40</f>
        <v>0.95792899661952713</v>
      </c>
    </row>
    <row r="36" spans="1:33" ht="15.75" customHeight="1">
      <c r="A36" s="191" t="s">
        <v>64</v>
      </c>
      <c r="B36" s="37" t="s">
        <v>100</v>
      </c>
      <c r="C36" s="165" t="s">
        <v>104</v>
      </c>
      <c r="D36" s="165"/>
      <c r="E36" s="37">
        <v>20.52</v>
      </c>
      <c r="F36" s="4">
        <v>2884</v>
      </c>
      <c r="G36" s="4">
        <f t="shared" si="27"/>
        <v>59179.68</v>
      </c>
      <c r="H36" s="22" t="s">
        <v>139</v>
      </c>
      <c r="I36" s="16">
        <v>18</v>
      </c>
      <c r="J36" s="18">
        <v>2400</v>
      </c>
      <c r="K36" s="17">
        <f t="shared" si="1"/>
        <v>133.33333333333334</v>
      </c>
      <c r="L36" s="16">
        <v>18</v>
      </c>
      <c r="M36" s="18">
        <f t="shared" si="28"/>
        <v>2307.1999999999994</v>
      </c>
      <c r="N36" s="17">
        <f t="shared" si="3"/>
        <v>128.17777777777775</v>
      </c>
      <c r="O36" s="19">
        <f t="shared" si="4"/>
        <v>0</v>
      </c>
      <c r="P36" s="20">
        <f t="shared" si="5"/>
        <v>-5.1555555555555941</v>
      </c>
      <c r="Q36" s="21">
        <f t="shared" si="6"/>
        <v>0.96133333333333304</v>
      </c>
      <c r="R36" s="172"/>
      <c r="S36" s="28">
        <v>0.24305555555555555</v>
      </c>
      <c r="T36" s="28">
        <v>0.2951388888888889</v>
      </c>
      <c r="U36" s="4">
        <f t="shared" ref="U36:U39" si="30">(S36-T35)*24*60</f>
        <v>30.000000000000014</v>
      </c>
      <c r="V36" s="22">
        <f t="shared" si="29"/>
        <v>75.000000000000014</v>
      </c>
      <c r="W36" s="4"/>
      <c r="X36" s="4"/>
      <c r="Y36" s="4"/>
      <c r="Z36" s="4"/>
      <c r="AA36" s="164"/>
      <c r="AB36" s="164"/>
      <c r="AC36" s="25"/>
      <c r="AD36" s="25"/>
      <c r="AE36" s="19">
        <f t="shared" si="8"/>
        <v>-92.800000000000637</v>
      </c>
      <c r="AF36" s="21">
        <f t="shared" si="9"/>
        <v>0.96133333333333304</v>
      </c>
      <c r="AG36" s="172"/>
    </row>
    <row r="37" spans="1:33">
      <c r="A37" s="192" t="s">
        <v>64</v>
      </c>
      <c r="B37" s="37" t="s">
        <v>100</v>
      </c>
      <c r="C37" s="165" t="s">
        <v>108</v>
      </c>
      <c r="D37" s="165"/>
      <c r="E37" s="37">
        <v>26.39</v>
      </c>
      <c r="F37" s="4">
        <v>4504</v>
      </c>
      <c r="G37" s="4">
        <f t="shared" si="27"/>
        <v>118860.56</v>
      </c>
      <c r="H37" s="22" t="s">
        <v>139</v>
      </c>
      <c r="I37" s="16">
        <v>19</v>
      </c>
      <c r="J37" s="18">
        <v>2400</v>
      </c>
      <c r="K37" s="17">
        <f t="shared" si="1"/>
        <v>126.31578947368421</v>
      </c>
      <c r="L37" s="16">
        <v>19</v>
      </c>
      <c r="M37" s="18">
        <f t="shared" si="28"/>
        <v>2290.1694915254238</v>
      </c>
      <c r="N37" s="17">
        <f t="shared" si="3"/>
        <v>120.53523639607494</v>
      </c>
      <c r="O37" s="19">
        <f t="shared" si="4"/>
        <v>0</v>
      </c>
      <c r="P37" s="20">
        <f t="shared" si="5"/>
        <v>-5.7805530776092695</v>
      </c>
      <c r="Q37" s="21">
        <f t="shared" si="6"/>
        <v>0.95423728813559328</v>
      </c>
      <c r="R37" s="172"/>
      <c r="S37" s="28">
        <v>0.29930555555555555</v>
      </c>
      <c r="T37" s="28">
        <v>0.38124999999999998</v>
      </c>
      <c r="U37" s="4">
        <f t="shared" si="30"/>
        <v>5.9999999999999787</v>
      </c>
      <c r="V37" s="22">
        <f t="shared" si="29"/>
        <v>117.99999999999999</v>
      </c>
      <c r="W37" s="4"/>
      <c r="X37" s="4"/>
      <c r="Y37" s="4"/>
      <c r="Z37" s="4"/>
      <c r="AA37" s="164"/>
      <c r="AB37" s="164"/>
      <c r="AC37" s="25"/>
      <c r="AD37" s="25"/>
      <c r="AE37" s="19">
        <f t="shared" si="8"/>
        <v>-109.83050847457616</v>
      </c>
      <c r="AF37" s="21">
        <f t="shared" si="9"/>
        <v>0.95423728813559328</v>
      </c>
      <c r="AG37" s="172"/>
    </row>
    <row r="38" spans="1:33">
      <c r="A38" s="192" t="s">
        <v>64</v>
      </c>
      <c r="B38" s="37" t="s">
        <v>100</v>
      </c>
      <c r="C38" s="165" t="s">
        <v>137</v>
      </c>
      <c r="D38" s="165"/>
      <c r="E38" s="37">
        <v>20.21</v>
      </c>
      <c r="F38" s="4">
        <v>2654</v>
      </c>
      <c r="G38" s="4">
        <f t="shared" si="27"/>
        <v>53637.340000000004</v>
      </c>
      <c r="H38" s="22" t="s">
        <v>139</v>
      </c>
      <c r="I38" s="16">
        <v>16</v>
      </c>
      <c r="J38" s="18">
        <v>2400</v>
      </c>
      <c r="K38" s="17">
        <f t="shared" si="1"/>
        <v>150</v>
      </c>
      <c r="L38" s="16">
        <v>16</v>
      </c>
      <c r="M38" s="18">
        <f t="shared" si="28"/>
        <v>2307.826086956522</v>
      </c>
      <c r="N38" s="17">
        <f t="shared" si="3"/>
        <v>144.23913043478262</v>
      </c>
      <c r="O38" s="19">
        <f t="shared" si="4"/>
        <v>0</v>
      </c>
      <c r="P38" s="20">
        <f t="shared" si="5"/>
        <v>-5.7608695652173765</v>
      </c>
      <c r="Q38" s="21">
        <f t="shared" si="6"/>
        <v>0.9615942028985508</v>
      </c>
      <c r="R38" s="172"/>
      <c r="S38" s="28">
        <v>0.38472222222222219</v>
      </c>
      <c r="T38" s="28">
        <v>0.43263888888888885</v>
      </c>
      <c r="U38" s="4">
        <f t="shared" si="30"/>
        <v>4.9999999999999822</v>
      </c>
      <c r="V38" s="22">
        <f t="shared" si="29"/>
        <v>69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8"/>
        <v>-92.173913043478024</v>
      </c>
      <c r="AF38" s="21">
        <f t="shared" si="9"/>
        <v>0.9615942028985508</v>
      </c>
      <c r="AG38" s="172"/>
    </row>
    <row r="39" spans="1:33">
      <c r="A39" s="192" t="s">
        <v>64</v>
      </c>
      <c r="B39" s="37" t="s">
        <v>100</v>
      </c>
      <c r="C39" s="165" t="s">
        <v>134</v>
      </c>
      <c r="D39" s="165"/>
      <c r="E39" s="37">
        <v>20.52</v>
      </c>
      <c r="F39" s="4">
        <v>2416</v>
      </c>
      <c r="G39" s="4">
        <f t="shared" si="27"/>
        <v>49576.32</v>
      </c>
      <c r="H39" s="22" t="s">
        <v>139</v>
      </c>
      <c r="I39" s="16">
        <v>18</v>
      </c>
      <c r="J39" s="18">
        <v>2400</v>
      </c>
      <c r="K39" s="17">
        <f t="shared" si="1"/>
        <v>133.33333333333334</v>
      </c>
      <c r="L39" s="16">
        <v>18</v>
      </c>
      <c r="M39" s="18">
        <f t="shared" si="28"/>
        <v>2300.9523809523803</v>
      </c>
      <c r="N39" s="17">
        <f t="shared" si="3"/>
        <v>127.83068783068779</v>
      </c>
      <c r="O39" s="19">
        <f t="shared" si="4"/>
        <v>0</v>
      </c>
      <c r="P39" s="20">
        <f t="shared" si="5"/>
        <v>-5.5026455026455494</v>
      </c>
      <c r="Q39" s="21">
        <f t="shared" si="6"/>
        <v>0.95873015873015843</v>
      </c>
      <c r="R39" s="172"/>
      <c r="S39" s="28">
        <v>0.4368055555555555</v>
      </c>
      <c r="T39" s="28">
        <v>0.48055555555555551</v>
      </c>
      <c r="U39" s="4">
        <f t="shared" si="30"/>
        <v>5.9999999999999787</v>
      </c>
      <c r="V39" s="22">
        <f t="shared" si="29"/>
        <v>63.000000000000014</v>
      </c>
      <c r="W39" s="23"/>
      <c r="X39" s="23"/>
      <c r="Y39" s="23"/>
      <c r="Z39" s="23"/>
      <c r="AA39" s="164"/>
      <c r="AB39" s="164"/>
      <c r="AC39" s="25"/>
      <c r="AD39" s="25"/>
      <c r="AE39" s="19">
        <f t="shared" si="8"/>
        <v>-99.047619047619719</v>
      </c>
      <c r="AF39" s="21">
        <f t="shared" si="9"/>
        <v>0.95873015873015843</v>
      </c>
      <c r="AG39" s="172"/>
    </row>
    <row r="40" spans="1:33">
      <c r="A40" s="192" t="s">
        <v>64</v>
      </c>
      <c r="B40" s="17" t="s">
        <v>48</v>
      </c>
      <c r="C40" s="177"/>
      <c r="D40" s="177"/>
      <c r="E40" s="38"/>
      <c r="F40" s="17"/>
      <c r="G40" s="17"/>
      <c r="H40" s="4"/>
      <c r="I40" s="30">
        <v>17.8</v>
      </c>
      <c r="J40" s="18">
        <v>2400</v>
      </c>
      <c r="K40" s="17">
        <f t="shared" si="1"/>
        <v>134.83146067415728</v>
      </c>
      <c r="L40" s="30">
        <v>17.8</v>
      </c>
      <c r="M40" s="18">
        <f>AVERAGE(M35:M39)</f>
        <v>2299.0295918868651</v>
      </c>
      <c r="N40" s="17">
        <f t="shared" si="3"/>
        <v>129.15896583634074</v>
      </c>
      <c r="O40" s="19">
        <f t="shared" si="4"/>
        <v>0</v>
      </c>
      <c r="P40" s="20">
        <f t="shared" si="5"/>
        <v>-5.6724948378165436</v>
      </c>
      <c r="Q40" s="21">
        <f t="shared" si="6"/>
        <v>0.95792899661952735</v>
      </c>
      <c r="R40" s="172"/>
      <c r="S40" s="28"/>
      <c r="T40" s="28"/>
      <c r="U40" s="17"/>
      <c r="V40" s="22"/>
      <c r="W40" s="17"/>
      <c r="X40" s="17"/>
      <c r="Y40" s="31">
        <f>SUM(Y35:Y39)</f>
        <v>0</v>
      </c>
      <c r="Z40" s="31">
        <f>SUM(Z35:Z39)</f>
        <v>0</v>
      </c>
      <c r="AA40" s="168"/>
      <c r="AB40" s="168"/>
      <c r="AC40" s="31">
        <v>5</v>
      </c>
      <c r="AD40" s="31">
        <f>SUM(AD35:AD39)</f>
        <v>0</v>
      </c>
      <c r="AE40" s="19">
        <f t="shared" si="8"/>
        <v>-100.97040811313491</v>
      </c>
      <c r="AF40" s="21">
        <f t="shared" si="9"/>
        <v>0.95792899661952713</v>
      </c>
      <c r="AG40" s="172"/>
    </row>
    <row r="41" spans="1:33" ht="15.75" customHeight="1">
      <c r="A41" s="184" t="s">
        <v>68</v>
      </c>
      <c r="B41" s="37" t="s">
        <v>111</v>
      </c>
      <c r="C41" s="173" t="s">
        <v>403</v>
      </c>
      <c r="D41" s="174"/>
      <c r="E41" s="37">
        <v>34.36</v>
      </c>
      <c r="F41" s="4">
        <v>3155</v>
      </c>
      <c r="G41" s="4">
        <f t="shared" ref="G41:G51" si="31">E41*F41</f>
        <v>108405.8</v>
      </c>
      <c r="H41" s="22" t="s">
        <v>139</v>
      </c>
      <c r="I41" s="16">
        <v>10</v>
      </c>
      <c r="J41" s="18">
        <v>3000</v>
      </c>
      <c r="K41" s="17">
        <f t="shared" si="1"/>
        <v>300</v>
      </c>
      <c r="L41" s="16">
        <v>10</v>
      </c>
      <c r="M41" s="18">
        <f t="shared" ref="M41:M51" si="32">F41/V41*60</f>
        <v>2868.1818181818194</v>
      </c>
      <c r="N41" s="18">
        <f t="shared" si="3"/>
        <v>286.81818181818193</v>
      </c>
      <c r="O41" s="19">
        <f t="shared" si="4"/>
        <v>0</v>
      </c>
      <c r="P41" s="20">
        <f t="shared" si="5"/>
        <v>-13.181818181818073</v>
      </c>
      <c r="Q41" s="21">
        <f t="shared" si="6"/>
        <v>0.95606060606060639</v>
      </c>
      <c r="R41" s="187">
        <f>Q52</f>
        <v>0.95987745162061633</v>
      </c>
      <c r="S41" s="28">
        <v>0.20833333333333334</v>
      </c>
      <c r="T41" s="28">
        <v>0.25416666666666665</v>
      </c>
      <c r="U41" s="28"/>
      <c r="V41" s="22">
        <f t="shared" ref="V41:V51" si="33">(T41-S41)*24*60</f>
        <v>65.999999999999972</v>
      </c>
      <c r="W41" s="23"/>
      <c r="X41" s="23"/>
      <c r="Y41" s="26"/>
      <c r="Z41" s="26"/>
      <c r="AA41" s="175"/>
      <c r="AB41" s="176"/>
      <c r="AC41" s="25">
        <v>11</v>
      </c>
      <c r="AD41" s="25"/>
      <c r="AE41" s="19">
        <f t="shared" si="8"/>
        <v>-131.81818181818062</v>
      </c>
      <c r="AF41" s="21">
        <f t="shared" si="9"/>
        <v>0.9560606060606065</v>
      </c>
      <c r="AG41" s="187">
        <f>AF52</f>
        <v>0.95987745162061633</v>
      </c>
    </row>
    <row r="42" spans="1:33" ht="15.75" customHeight="1">
      <c r="A42" s="185" t="s">
        <v>68</v>
      </c>
      <c r="B42" s="37" t="s">
        <v>111</v>
      </c>
      <c r="C42" s="173" t="s">
        <v>114</v>
      </c>
      <c r="D42" s="174"/>
      <c r="E42" s="37">
        <v>35.119999999999997</v>
      </c>
      <c r="F42" s="4">
        <v>3300</v>
      </c>
      <c r="G42" s="4">
        <f t="shared" si="31"/>
        <v>115895.99999999999</v>
      </c>
      <c r="H42" s="22">
        <v>2</v>
      </c>
      <c r="I42" s="16">
        <v>10</v>
      </c>
      <c r="J42" s="18">
        <v>3000</v>
      </c>
      <c r="K42" s="17">
        <f t="shared" si="1"/>
        <v>300</v>
      </c>
      <c r="L42" s="16">
        <v>10</v>
      </c>
      <c r="M42" s="18">
        <f t="shared" si="32"/>
        <v>2869.5652173913045</v>
      </c>
      <c r="N42" s="18">
        <f t="shared" si="3"/>
        <v>286.95652173913044</v>
      </c>
      <c r="O42" s="19">
        <f t="shared" si="4"/>
        <v>0</v>
      </c>
      <c r="P42" s="20">
        <f t="shared" si="5"/>
        <v>-13.043478260869563</v>
      </c>
      <c r="Q42" s="21">
        <f t="shared" si="6"/>
        <v>0.95652173913043481</v>
      </c>
      <c r="R42" s="188"/>
      <c r="S42" s="28">
        <v>0.25972222222222219</v>
      </c>
      <c r="T42" s="28">
        <v>0.30763888888888885</v>
      </c>
      <c r="U42" s="4">
        <f t="shared" ref="U42:U51" si="34">(S42-T41)*24*60</f>
        <v>7.9999999999999716</v>
      </c>
      <c r="V42" s="22">
        <f t="shared" si="33"/>
        <v>69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8"/>
        <v>-130.43478260869551</v>
      </c>
      <c r="AF42" s="21">
        <f t="shared" si="9"/>
        <v>0.95652173913043481</v>
      </c>
      <c r="AG42" s="188"/>
    </row>
    <row r="43" spans="1:33" ht="15.75" customHeight="1">
      <c r="A43" s="185" t="s">
        <v>68</v>
      </c>
      <c r="B43" s="37" t="s">
        <v>111</v>
      </c>
      <c r="C43" s="173" t="s">
        <v>115</v>
      </c>
      <c r="D43" s="174"/>
      <c r="E43" s="37">
        <v>26.78</v>
      </c>
      <c r="F43" s="4">
        <v>3025</v>
      </c>
      <c r="G43" s="4">
        <f t="shared" si="31"/>
        <v>81009.5</v>
      </c>
      <c r="H43" s="22" t="s">
        <v>139</v>
      </c>
      <c r="I43" s="16">
        <v>10</v>
      </c>
      <c r="J43" s="18">
        <v>3000</v>
      </c>
      <c r="K43" s="17">
        <f t="shared" si="1"/>
        <v>300</v>
      </c>
      <c r="L43" s="16">
        <v>10</v>
      </c>
      <c r="M43" s="18">
        <f t="shared" si="32"/>
        <v>2880.9523809523803</v>
      </c>
      <c r="N43" s="18">
        <f t="shared" si="3"/>
        <v>288.09523809523802</v>
      </c>
      <c r="O43" s="19">
        <f t="shared" si="4"/>
        <v>0</v>
      </c>
      <c r="P43" s="20">
        <f t="shared" si="5"/>
        <v>-11.904761904761983</v>
      </c>
      <c r="Q43" s="21">
        <f t="shared" si="6"/>
        <v>0.96031746031746001</v>
      </c>
      <c r="R43" s="188"/>
      <c r="S43" s="28">
        <v>0.31111111111111106</v>
      </c>
      <c r="T43" s="28">
        <v>0.35486111111111107</v>
      </c>
      <c r="U43" s="4">
        <f t="shared" si="34"/>
        <v>4.9999999999999822</v>
      </c>
      <c r="V43" s="22">
        <f t="shared" si="33"/>
        <v>63.000000000000014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8"/>
        <v>-119.04761904761972</v>
      </c>
      <c r="AF43" s="21">
        <f t="shared" si="9"/>
        <v>0.96031746031746013</v>
      </c>
      <c r="AG43" s="188"/>
    </row>
    <row r="44" spans="1:33" ht="15.75" customHeight="1">
      <c r="A44" s="185" t="s">
        <v>68</v>
      </c>
      <c r="B44" s="37" t="s">
        <v>111</v>
      </c>
      <c r="C44" s="173" t="s">
        <v>117</v>
      </c>
      <c r="D44" s="174"/>
      <c r="E44" s="37">
        <v>44.03</v>
      </c>
      <c r="F44" s="4">
        <v>1322</v>
      </c>
      <c r="G44" s="4">
        <f t="shared" si="31"/>
        <v>58207.66</v>
      </c>
      <c r="H44" s="22" t="s">
        <v>139</v>
      </c>
      <c r="I44" s="16">
        <v>10</v>
      </c>
      <c r="J44" s="18">
        <v>3000</v>
      </c>
      <c r="K44" s="17">
        <f t="shared" si="1"/>
        <v>300</v>
      </c>
      <c r="L44" s="16">
        <v>10</v>
      </c>
      <c r="M44" s="18">
        <f t="shared" si="32"/>
        <v>2937.7777777777792</v>
      </c>
      <c r="N44" s="18">
        <f t="shared" si="3"/>
        <v>293.77777777777794</v>
      </c>
      <c r="O44" s="19">
        <f t="shared" si="4"/>
        <v>0</v>
      </c>
      <c r="P44" s="20">
        <f t="shared" si="5"/>
        <v>-6.222222222222058</v>
      </c>
      <c r="Q44" s="21">
        <f t="shared" si="6"/>
        <v>0.97925925925925983</v>
      </c>
      <c r="R44" s="188"/>
      <c r="S44" s="28">
        <v>0.35972222222222217</v>
      </c>
      <c r="T44" s="28">
        <v>0.37847222222222215</v>
      </c>
      <c r="U44" s="4">
        <f t="shared" si="34"/>
        <v>6.9999999999999751</v>
      </c>
      <c r="V44" s="22">
        <f t="shared" si="33"/>
        <v>26.999999999999986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-62.222222222220807</v>
      </c>
      <c r="AF44" s="21">
        <f t="shared" si="9"/>
        <v>0.97925925925925972</v>
      </c>
      <c r="AG44" s="188"/>
    </row>
    <row r="45" spans="1:33" ht="15.75" customHeight="1">
      <c r="A45" s="185" t="s">
        <v>68</v>
      </c>
      <c r="B45" s="37" t="s">
        <v>111</v>
      </c>
      <c r="C45" s="173" t="s">
        <v>112</v>
      </c>
      <c r="D45" s="174"/>
      <c r="E45" s="37">
        <v>21.13</v>
      </c>
      <c r="F45" s="4">
        <v>3000</v>
      </c>
      <c r="G45" s="4">
        <f t="shared" si="31"/>
        <v>63390</v>
      </c>
      <c r="H45" s="22">
        <v>2</v>
      </c>
      <c r="I45" s="16">
        <v>10</v>
      </c>
      <c r="J45" s="18">
        <v>3000</v>
      </c>
      <c r="K45" s="17">
        <f t="shared" si="1"/>
        <v>300</v>
      </c>
      <c r="L45" s="16">
        <v>10</v>
      </c>
      <c r="M45" s="18">
        <f t="shared" si="32"/>
        <v>2857.1428571428564</v>
      </c>
      <c r="N45" s="18">
        <f t="shared" si="3"/>
        <v>285.71428571428567</v>
      </c>
      <c r="O45" s="19">
        <f t="shared" si="4"/>
        <v>0</v>
      </c>
      <c r="P45" s="20">
        <f t="shared" si="5"/>
        <v>-14.285714285714334</v>
      </c>
      <c r="Q45" s="21">
        <f t="shared" si="6"/>
        <v>0.95238095238095222</v>
      </c>
      <c r="R45" s="188"/>
      <c r="S45" s="28">
        <v>0.38333333333333325</v>
      </c>
      <c r="T45" s="28">
        <v>0.42708333333333326</v>
      </c>
      <c r="U45" s="4">
        <f t="shared" si="34"/>
        <v>6.9999999999999751</v>
      </c>
      <c r="V45" s="22">
        <f t="shared" si="33"/>
        <v>63.000000000000014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8"/>
        <v>-142.85714285714357</v>
      </c>
      <c r="AF45" s="21">
        <f t="shared" si="9"/>
        <v>0.95238095238095211</v>
      </c>
      <c r="AG45" s="188"/>
    </row>
    <row r="46" spans="1:33" ht="15.75" customHeight="1">
      <c r="A46" s="185" t="s">
        <v>68</v>
      </c>
      <c r="B46" s="37" t="s">
        <v>111</v>
      </c>
      <c r="C46" s="173" t="s">
        <v>113</v>
      </c>
      <c r="D46" s="174"/>
      <c r="E46" s="37">
        <v>27.17</v>
      </c>
      <c r="F46" s="4">
        <v>4100</v>
      </c>
      <c r="G46" s="4">
        <f t="shared" si="31"/>
        <v>111397</v>
      </c>
      <c r="H46" s="22">
        <v>2</v>
      </c>
      <c r="I46" s="16">
        <v>10</v>
      </c>
      <c r="J46" s="18">
        <v>3000</v>
      </c>
      <c r="K46" s="17">
        <f t="shared" si="1"/>
        <v>300</v>
      </c>
      <c r="L46" s="16">
        <v>10</v>
      </c>
      <c r="M46" s="18">
        <f t="shared" si="32"/>
        <v>2860.4651162790692</v>
      </c>
      <c r="N46" s="18">
        <f t="shared" si="3"/>
        <v>286.04651162790691</v>
      </c>
      <c r="O46" s="19">
        <f t="shared" si="4"/>
        <v>0</v>
      </c>
      <c r="P46" s="20">
        <f t="shared" si="5"/>
        <v>-13.953488372093091</v>
      </c>
      <c r="Q46" s="21">
        <f t="shared" si="6"/>
        <v>0.95348837209302306</v>
      </c>
      <c r="R46" s="188"/>
      <c r="S46" s="28">
        <v>0.43055555555555547</v>
      </c>
      <c r="T46" s="28">
        <v>0.4902777777777777</v>
      </c>
      <c r="U46" s="4">
        <f t="shared" si="34"/>
        <v>4.9999999999999822</v>
      </c>
      <c r="V46" s="22">
        <f t="shared" si="33"/>
        <v>86.000000000000014</v>
      </c>
      <c r="W46" s="23"/>
      <c r="X46" s="23"/>
      <c r="Y46" s="26"/>
      <c r="Z46" s="26"/>
      <c r="AA46" s="175"/>
      <c r="AB46" s="176"/>
      <c r="AC46" s="25"/>
      <c r="AD46" s="25"/>
      <c r="AE46" s="19">
        <f t="shared" si="8"/>
        <v>-139.53488372093079</v>
      </c>
      <c r="AF46" s="21">
        <f t="shared" si="9"/>
        <v>0.95348837209302306</v>
      </c>
      <c r="AG46" s="188"/>
    </row>
    <row r="47" spans="1:33" ht="15.75" customHeight="1">
      <c r="A47" s="185" t="s">
        <v>68</v>
      </c>
      <c r="B47" s="37" t="s">
        <v>111</v>
      </c>
      <c r="C47" s="173" t="s">
        <v>116</v>
      </c>
      <c r="D47" s="174"/>
      <c r="E47" s="37">
        <v>35.869999999999997</v>
      </c>
      <c r="F47" s="4">
        <v>2100</v>
      </c>
      <c r="G47" s="4">
        <f t="shared" si="31"/>
        <v>75327</v>
      </c>
      <c r="H47" s="22">
        <v>2</v>
      </c>
      <c r="I47" s="16">
        <v>9</v>
      </c>
      <c r="J47" s="18">
        <v>3000</v>
      </c>
      <c r="K47" s="17">
        <f t="shared" si="1"/>
        <v>333.33333333333331</v>
      </c>
      <c r="L47" s="16">
        <v>9</v>
      </c>
      <c r="M47" s="18">
        <f t="shared" si="32"/>
        <v>2863.6363636363635</v>
      </c>
      <c r="N47" s="18">
        <f t="shared" si="3"/>
        <v>318.18181818181819</v>
      </c>
      <c r="O47" s="19">
        <f t="shared" si="4"/>
        <v>0</v>
      </c>
      <c r="P47" s="20">
        <f t="shared" si="5"/>
        <v>-15.151515151515127</v>
      </c>
      <c r="Q47" s="21">
        <f t="shared" si="6"/>
        <v>0.95454545454545459</v>
      </c>
      <c r="R47" s="188"/>
      <c r="S47" s="28">
        <v>0.4951388888888888</v>
      </c>
      <c r="T47" s="28">
        <v>0.52569444444444435</v>
      </c>
      <c r="U47" s="4">
        <f t="shared" si="34"/>
        <v>6.9999999999999751</v>
      </c>
      <c r="V47" s="22">
        <f t="shared" si="33"/>
        <v>44</v>
      </c>
      <c r="W47" s="23">
        <f>T47</f>
        <v>0.52569444444444435</v>
      </c>
      <c r="X47" s="23">
        <f>S48</f>
        <v>0.56458333333333321</v>
      </c>
      <c r="Y47" s="26"/>
      <c r="Z47" s="26"/>
      <c r="AA47" s="175"/>
      <c r="AB47" s="176"/>
      <c r="AC47" s="25"/>
      <c r="AD47" s="25"/>
      <c r="AE47" s="19">
        <f t="shared" si="8"/>
        <v>-136.36363636363649</v>
      </c>
      <c r="AF47" s="21">
        <f t="shared" si="9"/>
        <v>0.95454545454545447</v>
      </c>
      <c r="AG47" s="188"/>
    </row>
    <row r="48" spans="1:33" ht="15.75" customHeight="1">
      <c r="A48" s="185" t="s">
        <v>68</v>
      </c>
      <c r="B48" s="37" t="s">
        <v>111</v>
      </c>
      <c r="C48" s="173" t="s">
        <v>116</v>
      </c>
      <c r="D48" s="174"/>
      <c r="E48" s="37">
        <v>35.869999999999997</v>
      </c>
      <c r="F48" s="4">
        <v>2128</v>
      </c>
      <c r="G48" s="4">
        <f t="shared" si="31"/>
        <v>76331.360000000001</v>
      </c>
      <c r="H48" s="22" t="s">
        <v>139</v>
      </c>
      <c r="I48" s="16">
        <v>9</v>
      </c>
      <c r="J48" s="18">
        <v>3000</v>
      </c>
      <c r="K48" s="17">
        <f t="shared" si="1"/>
        <v>333.33333333333331</v>
      </c>
      <c r="L48" s="16">
        <v>9</v>
      </c>
      <c r="M48" s="18">
        <f t="shared" si="32"/>
        <v>2901.818181818182</v>
      </c>
      <c r="N48" s="18">
        <f t="shared" si="3"/>
        <v>322.42424242424244</v>
      </c>
      <c r="O48" s="19">
        <f t="shared" si="4"/>
        <v>0</v>
      </c>
      <c r="P48" s="20">
        <f t="shared" si="5"/>
        <v>-10.909090909090878</v>
      </c>
      <c r="Q48" s="21">
        <f t="shared" si="6"/>
        <v>0.9672727272727274</v>
      </c>
      <c r="R48" s="188"/>
      <c r="S48" s="28">
        <v>0.56458333333333321</v>
      </c>
      <c r="T48" s="28">
        <v>0.59513888888888877</v>
      </c>
      <c r="U48" s="4">
        <f t="shared" si="34"/>
        <v>55.999999999999957</v>
      </c>
      <c r="V48" s="22">
        <f t="shared" si="33"/>
        <v>44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-98.181818181818016</v>
      </c>
      <c r="AF48" s="21">
        <f t="shared" si="9"/>
        <v>0.96727272727272728</v>
      </c>
      <c r="AG48" s="188"/>
    </row>
    <row r="49" spans="1:33" ht="15.75" customHeight="1">
      <c r="A49" s="185" t="s">
        <v>68</v>
      </c>
      <c r="B49" s="37" t="s">
        <v>111</v>
      </c>
      <c r="C49" s="173" t="s">
        <v>112</v>
      </c>
      <c r="D49" s="174"/>
      <c r="E49" s="37">
        <v>21.13</v>
      </c>
      <c r="F49" s="4">
        <v>2109</v>
      </c>
      <c r="G49" s="4">
        <f t="shared" si="31"/>
        <v>44563.17</v>
      </c>
      <c r="H49" s="22" t="s">
        <v>139</v>
      </c>
      <c r="I49" s="16">
        <v>10</v>
      </c>
      <c r="J49" s="18">
        <v>3000</v>
      </c>
      <c r="K49" s="17">
        <f t="shared" si="1"/>
        <v>300</v>
      </c>
      <c r="L49" s="16">
        <v>10</v>
      </c>
      <c r="M49" s="18">
        <f t="shared" si="32"/>
        <v>2875.909090909091</v>
      </c>
      <c r="N49" s="18">
        <f t="shared" si="3"/>
        <v>287.59090909090912</v>
      </c>
      <c r="O49" s="19">
        <f t="shared" si="4"/>
        <v>0</v>
      </c>
      <c r="P49" s="20">
        <f t="shared" si="5"/>
        <v>-12.409090909090878</v>
      </c>
      <c r="Q49" s="21">
        <f t="shared" si="6"/>
        <v>0.95863636363636373</v>
      </c>
      <c r="R49" s="188"/>
      <c r="S49" s="28">
        <v>0.59861111111111098</v>
      </c>
      <c r="T49" s="28">
        <v>0.62916666666666654</v>
      </c>
      <c r="U49" s="4">
        <f t="shared" si="34"/>
        <v>4.9999999999999822</v>
      </c>
      <c r="V49" s="22">
        <f t="shared" si="33"/>
        <v>44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-124.09090909090901</v>
      </c>
      <c r="AF49" s="21">
        <f t="shared" si="9"/>
        <v>0.95863636363636362</v>
      </c>
      <c r="AG49" s="188"/>
    </row>
    <row r="50" spans="1:33" ht="15.75" customHeight="1">
      <c r="A50" s="185" t="s">
        <v>68</v>
      </c>
      <c r="B50" s="37" t="s">
        <v>111</v>
      </c>
      <c r="C50" s="173" t="s">
        <v>113</v>
      </c>
      <c r="D50" s="174"/>
      <c r="E50" s="37">
        <v>27.17</v>
      </c>
      <c r="F50" s="4">
        <v>2797</v>
      </c>
      <c r="G50" s="4">
        <f t="shared" si="31"/>
        <v>75994.490000000005</v>
      </c>
      <c r="H50" s="22" t="s">
        <v>139</v>
      </c>
      <c r="I50" s="16">
        <v>10</v>
      </c>
      <c r="J50" s="18">
        <v>3000</v>
      </c>
      <c r="K50" s="17">
        <f t="shared" si="1"/>
        <v>300</v>
      </c>
      <c r="L50" s="16">
        <v>10</v>
      </c>
      <c r="M50" s="18">
        <f t="shared" si="32"/>
        <v>2893.4482758620711</v>
      </c>
      <c r="N50" s="18">
        <f t="shared" si="3"/>
        <v>289.34482758620709</v>
      </c>
      <c r="O50" s="19">
        <f t="shared" si="4"/>
        <v>0</v>
      </c>
      <c r="P50" s="20">
        <f t="shared" si="5"/>
        <v>-10.655172413792911</v>
      </c>
      <c r="Q50" s="21">
        <f t="shared" si="6"/>
        <v>0.96448275862069033</v>
      </c>
      <c r="R50" s="188"/>
      <c r="S50" s="28">
        <v>0.63263888888888875</v>
      </c>
      <c r="T50" s="28">
        <v>0.6729166666666665</v>
      </c>
      <c r="U50" s="4">
        <f t="shared" si="34"/>
        <v>4.9999999999999822</v>
      </c>
      <c r="V50" s="22">
        <f t="shared" si="33"/>
        <v>57.999999999999957</v>
      </c>
      <c r="W50" s="23"/>
      <c r="X50" s="23"/>
      <c r="Y50" s="26"/>
      <c r="Z50" s="26"/>
      <c r="AA50" s="175"/>
      <c r="AB50" s="176"/>
      <c r="AC50" s="25"/>
      <c r="AD50" s="25"/>
      <c r="AE50" s="19">
        <f t="shared" si="8"/>
        <v>-106.55172413792889</v>
      </c>
      <c r="AF50" s="21">
        <f t="shared" si="9"/>
        <v>0.96448275862069033</v>
      </c>
      <c r="AG50" s="188"/>
    </row>
    <row r="51" spans="1:33" ht="15.75" customHeight="1">
      <c r="A51" s="185" t="s">
        <v>68</v>
      </c>
      <c r="B51" s="37" t="s">
        <v>111</v>
      </c>
      <c r="C51" s="173" t="s">
        <v>114</v>
      </c>
      <c r="D51" s="174"/>
      <c r="E51" s="37">
        <v>35.119999999999997</v>
      </c>
      <c r="F51" s="4">
        <v>2437</v>
      </c>
      <c r="G51" s="4">
        <f t="shared" si="31"/>
        <v>85587.439999999988</v>
      </c>
      <c r="H51" s="22" t="s">
        <v>139</v>
      </c>
      <c r="I51" s="16">
        <v>10</v>
      </c>
      <c r="J51" s="18">
        <v>3000</v>
      </c>
      <c r="K51" s="17">
        <f t="shared" si="1"/>
        <v>300</v>
      </c>
      <c r="L51" s="16">
        <v>10</v>
      </c>
      <c r="M51" s="18">
        <f t="shared" si="32"/>
        <v>2867.0588235294131</v>
      </c>
      <c r="N51" s="18">
        <f t="shared" si="3"/>
        <v>286.70588235294133</v>
      </c>
      <c r="O51" s="19">
        <f t="shared" si="4"/>
        <v>0</v>
      </c>
      <c r="P51" s="20">
        <f t="shared" si="5"/>
        <v>-13.29411764705867</v>
      </c>
      <c r="Q51" s="21">
        <f t="shared" si="6"/>
        <v>0.95568627450980448</v>
      </c>
      <c r="R51" s="188"/>
      <c r="S51" s="28">
        <v>0.67638888888888871</v>
      </c>
      <c r="T51" s="28">
        <v>0.71180555555555536</v>
      </c>
      <c r="U51" s="4">
        <f t="shared" si="34"/>
        <v>4.9999999999999822</v>
      </c>
      <c r="V51" s="22">
        <f t="shared" si="33"/>
        <v>50.999999999999979</v>
      </c>
      <c r="W51" s="23"/>
      <c r="X51" s="23"/>
      <c r="Y51" s="26"/>
      <c r="Z51" s="26"/>
      <c r="AA51" s="175"/>
      <c r="AB51" s="176"/>
      <c r="AC51" s="25"/>
      <c r="AD51" s="25"/>
      <c r="AE51" s="19">
        <f t="shared" si="8"/>
        <v>-132.94117647058692</v>
      </c>
      <c r="AF51" s="21">
        <f t="shared" si="9"/>
        <v>0.95568627450980437</v>
      </c>
      <c r="AG51" s="188"/>
    </row>
    <row r="52" spans="1:33" ht="15.75" customHeight="1">
      <c r="A52" s="186" t="s">
        <v>68</v>
      </c>
      <c r="B52" s="37" t="s">
        <v>48</v>
      </c>
      <c r="C52" s="166"/>
      <c r="D52" s="167"/>
      <c r="E52" s="41"/>
      <c r="F52" s="4"/>
      <c r="G52" s="4"/>
      <c r="H52" s="4"/>
      <c r="I52" s="30">
        <v>9.8181818181818183</v>
      </c>
      <c r="J52" s="18">
        <v>3000</v>
      </c>
      <c r="K52" s="17">
        <f t="shared" si="1"/>
        <v>305.55555555555554</v>
      </c>
      <c r="L52" s="30">
        <v>9.8181818181818183</v>
      </c>
      <c r="M52" s="18">
        <f>AVERAGE(M41:M51)</f>
        <v>2879.6323548618489</v>
      </c>
      <c r="N52" s="17">
        <f t="shared" si="3"/>
        <v>293.29588799518831</v>
      </c>
      <c r="O52" s="19">
        <f t="shared" si="4"/>
        <v>0</v>
      </c>
      <c r="P52" s="20">
        <f t="shared" si="5"/>
        <v>-12.259667560367234</v>
      </c>
      <c r="Q52" s="21">
        <f t="shared" si="6"/>
        <v>0.95987745162061633</v>
      </c>
      <c r="R52" s="189"/>
      <c r="S52" s="28"/>
      <c r="T52" s="28"/>
      <c r="U52" s="4"/>
      <c r="V52" s="22"/>
      <c r="W52" s="23"/>
      <c r="X52" s="23"/>
      <c r="Y52" s="31">
        <f>SUM(Y41:Y51)</f>
        <v>0</v>
      </c>
      <c r="Z52" s="31">
        <f>SUM(Z41:Z51)</f>
        <v>0</v>
      </c>
      <c r="AA52" s="180"/>
      <c r="AB52" s="181"/>
      <c r="AC52" s="31">
        <v>11</v>
      </c>
      <c r="AD52" s="31">
        <f>SUM(AD41:AD51)</f>
        <v>0</v>
      </c>
      <c r="AE52" s="19">
        <f t="shared" si="8"/>
        <v>-120.36764513815115</v>
      </c>
      <c r="AF52" s="21">
        <f t="shared" si="9"/>
        <v>0.95987745162061633</v>
      </c>
      <c r="AG52" s="189"/>
    </row>
    <row r="53" spans="1:33" ht="15.75" customHeight="1">
      <c r="A53" s="182" t="s">
        <v>72</v>
      </c>
      <c r="B53" s="37" t="s">
        <v>84</v>
      </c>
      <c r="C53" s="165" t="s">
        <v>118</v>
      </c>
      <c r="D53" s="165"/>
      <c r="E53" s="37">
        <v>46</v>
      </c>
      <c r="F53" s="42">
        <v>1226</v>
      </c>
      <c r="G53" s="4">
        <f t="shared" ref="G53:G62" si="35">E53*F53</f>
        <v>56396</v>
      </c>
      <c r="H53" s="22" t="s">
        <v>139</v>
      </c>
      <c r="I53" s="16">
        <v>17</v>
      </c>
      <c r="J53" s="18">
        <v>2000</v>
      </c>
      <c r="K53" s="17">
        <f t="shared" si="1"/>
        <v>117.64705882352941</v>
      </c>
      <c r="L53" s="16">
        <v>17</v>
      </c>
      <c r="M53" s="18">
        <f t="shared" ref="M53:M62" si="36">F53/V53*60</f>
        <v>1935.7894736842113</v>
      </c>
      <c r="N53" s="18">
        <f t="shared" si="3"/>
        <v>113.86996904024772</v>
      </c>
      <c r="O53" s="19">
        <f t="shared" si="4"/>
        <v>0</v>
      </c>
      <c r="P53" s="20">
        <f t="shared" si="5"/>
        <v>-3.7770897832816814</v>
      </c>
      <c r="Q53" s="21">
        <f t="shared" si="6"/>
        <v>0.9678947368421057</v>
      </c>
      <c r="R53" s="172">
        <f>Q63</f>
        <v>0.94480300373555659</v>
      </c>
      <c r="S53" s="28">
        <v>0.20833333333333334</v>
      </c>
      <c r="T53" s="28">
        <v>0.23472222222222222</v>
      </c>
      <c r="U53" s="28"/>
      <c r="V53" s="22">
        <f t="shared" ref="V53:V62" si="37">(T53-S53)*24*60</f>
        <v>37.999999999999986</v>
      </c>
      <c r="W53" s="28"/>
      <c r="X53" s="28"/>
      <c r="Y53" s="28"/>
      <c r="Z53" s="28"/>
      <c r="AA53" s="164"/>
      <c r="AB53" s="164"/>
      <c r="AC53" s="25">
        <v>10</v>
      </c>
      <c r="AD53" s="25"/>
      <c r="AE53" s="19">
        <f t="shared" si="8"/>
        <v>-64.210526315788684</v>
      </c>
      <c r="AF53" s="21">
        <f t="shared" si="9"/>
        <v>0.9678947368421057</v>
      </c>
      <c r="AG53" s="172">
        <f>AF63</f>
        <v>0.94480300373555659</v>
      </c>
    </row>
    <row r="54" spans="1:33" ht="15.75" customHeight="1">
      <c r="A54" s="182" t="s">
        <v>72</v>
      </c>
      <c r="B54" s="37" t="s">
        <v>84</v>
      </c>
      <c r="C54" s="165" t="s">
        <v>119</v>
      </c>
      <c r="D54" s="165"/>
      <c r="E54" s="37">
        <v>46</v>
      </c>
      <c r="F54" s="42">
        <v>1401</v>
      </c>
      <c r="G54" s="4">
        <f t="shared" si="35"/>
        <v>64446</v>
      </c>
      <c r="H54" s="22" t="s">
        <v>139</v>
      </c>
      <c r="I54" s="16">
        <v>17</v>
      </c>
      <c r="J54" s="18">
        <v>2000</v>
      </c>
      <c r="K54" s="17">
        <f t="shared" si="1"/>
        <v>117.64705882352941</v>
      </c>
      <c r="L54" s="16">
        <v>17</v>
      </c>
      <c r="M54" s="18">
        <f t="shared" si="36"/>
        <v>1910.4545454545471</v>
      </c>
      <c r="N54" s="18">
        <f t="shared" si="3"/>
        <v>112.37967914438512</v>
      </c>
      <c r="O54" s="19">
        <f t="shared" si="4"/>
        <v>0</v>
      </c>
      <c r="P54" s="20">
        <f t="shared" si="5"/>
        <v>-5.267379679144284</v>
      </c>
      <c r="Q54" s="21">
        <f t="shared" si="6"/>
        <v>0.95522727272727359</v>
      </c>
      <c r="R54" s="172"/>
      <c r="S54" s="28">
        <v>0.24027777777777778</v>
      </c>
      <c r="T54" s="28">
        <v>0.27083333333333331</v>
      </c>
      <c r="U54" s="4">
        <f t="shared" ref="U54:U62" si="38">IF(S54=TIME(17,0,0),"",(S54-T53)*24*60)</f>
        <v>8.0000000000000107</v>
      </c>
      <c r="V54" s="22">
        <f t="shared" si="37"/>
        <v>43.999999999999964</v>
      </c>
      <c r="W54" s="23"/>
      <c r="X54" s="23"/>
      <c r="Y54" s="23"/>
      <c r="Z54" s="23"/>
      <c r="AA54" s="164"/>
      <c r="AB54" s="164"/>
      <c r="AC54" s="25"/>
      <c r="AD54" s="25"/>
      <c r="AE54" s="19">
        <f t="shared" si="8"/>
        <v>-89.545454545452912</v>
      </c>
      <c r="AF54" s="21">
        <f t="shared" si="9"/>
        <v>0.95522727272727359</v>
      </c>
      <c r="AG54" s="172"/>
    </row>
    <row r="55" spans="1:33" ht="15.75" customHeight="1">
      <c r="A55" s="182" t="s">
        <v>72</v>
      </c>
      <c r="B55" s="37" t="s">
        <v>78</v>
      </c>
      <c r="C55" s="173" t="s">
        <v>120</v>
      </c>
      <c r="D55" s="174"/>
      <c r="E55" s="37">
        <v>56.43</v>
      </c>
      <c r="F55" s="42">
        <v>1920</v>
      </c>
      <c r="G55" s="4">
        <f t="shared" si="35"/>
        <v>108345.60000000001</v>
      </c>
      <c r="H55" s="22" t="s">
        <v>139</v>
      </c>
      <c r="I55" s="16">
        <v>22</v>
      </c>
      <c r="J55" s="18">
        <v>2000</v>
      </c>
      <c r="K55" s="17">
        <f t="shared" si="1"/>
        <v>90.909090909090907</v>
      </c>
      <c r="L55" s="16">
        <v>22</v>
      </c>
      <c r="M55" s="18">
        <f t="shared" si="36"/>
        <v>1772.3076923076919</v>
      </c>
      <c r="N55" s="18">
        <f t="shared" si="3"/>
        <v>80.559440559440546</v>
      </c>
      <c r="O55" s="19">
        <f t="shared" si="4"/>
        <v>0</v>
      </c>
      <c r="P55" s="20">
        <f t="shared" si="5"/>
        <v>-10.349650349650361</v>
      </c>
      <c r="Q55" s="21">
        <f t="shared" si="6"/>
        <v>0.88615384615384607</v>
      </c>
      <c r="R55" s="172"/>
      <c r="S55" s="28">
        <v>0.27499999999999997</v>
      </c>
      <c r="T55" s="28">
        <v>0.32013888888888886</v>
      </c>
      <c r="U55" s="4">
        <f t="shared" si="38"/>
        <v>5.9999999999999787</v>
      </c>
      <c r="V55" s="22">
        <f t="shared" si="37"/>
        <v>65.000000000000014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8"/>
        <v>-227.69230769230808</v>
      </c>
      <c r="AF55" s="21">
        <f t="shared" si="9"/>
        <v>0.88615384615384596</v>
      </c>
      <c r="AG55" s="172"/>
    </row>
    <row r="56" spans="1:33" ht="15.75" customHeight="1">
      <c r="A56" s="182" t="s">
        <v>72</v>
      </c>
      <c r="B56" s="37" t="s">
        <v>78</v>
      </c>
      <c r="C56" s="43" t="s">
        <v>121</v>
      </c>
      <c r="D56" s="44"/>
      <c r="E56" s="37">
        <v>51.75</v>
      </c>
      <c r="F56" s="42">
        <v>1679</v>
      </c>
      <c r="G56" s="4">
        <f t="shared" si="35"/>
        <v>86888.25</v>
      </c>
      <c r="H56" s="22" t="s">
        <v>139</v>
      </c>
      <c r="I56" s="16">
        <v>25</v>
      </c>
      <c r="J56" s="18">
        <v>2000</v>
      </c>
      <c r="K56" s="17">
        <f t="shared" si="1"/>
        <v>80</v>
      </c>
      <c r="L56" s="16">
        <v>25</v>
      </c>
      <c r="M56" s="18">
        <f t="shared" si="36"/>
        <v>1707.4576271186434</v>
      </c>
      <c r="N56" s="18">
        <f t="shared" si="3"/>
        <v>68.298305084745735</v>
      </c>
      <c r="O56" s="19">
        <f t="shared" si="4"/>
        <v>0</v>
      </c>
      <c r="P56" s="20">
        <f t="shared" si="5"/>
        <v>-11.701694915254265</v>
      </c>
      <c r="Q56" s="21">
        <f t="shared" si="6"/>
        <v>0.85372881355932173</v>
      </c>
      <c r="R56" s="172"/>
      <c r="S56" s="28">
        <v>0.32361111111111107</v>
      </c>
      <c r="T56" s="28">
        <v>0.36458333333333331</v>
      </c>
      <c r="U56" s="4">
        <f t="shared" si="38"/>
        <v>4.9999999999999822</v>
      </c>
      <c r="V56" s="22">
        <f t="shared" si="37"/>
        <v>59.000000000000028</v>
      </c>
      <c r="W56" s="23"/>
      <c r="X56" s="23"/>
      <c r="Y56" s="26"/>
      <c r="Z56" s="26"/>
      <c r="AA56" s="164"/>
      <c r="AB56" s="164"/>
      <c r="AC56" s="25"/>
      <c r="AD56" s="25"/>
      <c r="AE56" s="19">
        <f t="shared" si="8"/>
        <v>-292.54237288135664</v>
      </c>
      <c r="AF56" s="21">
        <f t="shared" si="9"/>
        <v>0.85372881355932173</v>
      </c>
      <c r="AG56" s="172"/>
    </row>
    <row r="57" spans="1:33" ht="15.75" customHeight="1">
      <c r="A57" s="182" t="s">
        <v>72</v>
      </c>
      <c r="B57" s="37" t="s">
        <v>78</v>
      </c>
      <c r="C57" s="43" t="s">
        <v>122</v>
      </c>
      <c r="D57" s="44"/>
      <c r="E57" s="37">
        <v>54.09</v>
      </c>
      <c r="F57" s="42">
        <v>1258</v>
      </c>
      <c r="G57" s="4">
        <f t="shared" si="35"/>
        <v>68045.22</v>
      </c>
      <c r="H57" s="22" t="s">
        <v>139</v>
      </c>
      <c r="I57" s="16">
        <v>19</v>
      </c>
      <c r="J57" s="18">
        <v>2000</v>
      </c>
      <c r="K57" s="17">
        <f t="shared" si="1"/>
        <v>105.26315789473684</v>
      </c>
      <c r="L57" s="16">
        <v>19</v>
      </c>
      <c r="M57" s="18">
        <f t="shared" si="36"/>
        <v>1886.9999999999993</v>
      </c>
      <c r="N57" s="18">
        <f t="shared" si="3"/>
        <v>99.315789473684177</v>
      </c>
      <c r="O57" s="19">
        <f t="shared" si="4"/>
        <v>0</v>
      </c>
      <c r="P57" s="20">
        <f t="shared" si="5"/>
        <v>-5.9473684210526585</v>
      </c>
      <c r="Q57" s="21">
        <f t="shared" si="6"/>
        <v>0.94349999999999978</v>
      </c>
      <c r="R57" s="172"/>
      <c r="S57" s="28">
        <v>0.36805555555555552</v>
      </c>
      <c r="T57" s="28">
        <v>0.39583333333333331</v>
      </c>
      <c r="U57" s="4">
        <f t="shared" si="38"/>
        <v>4.9999999999999822</v>
      </c>
      <c r="V57" s="22">
        <f t="shared" si="37"/>
        <v>40.000000000000014</v>
      </c>
      <c r="W57" s="23"/>
      <c r="X57" s="23"/>
      <c r="Y57" s="26"/>
      <c r="Z57" s="26"/>
      <c r="AA57" s="164"/>
      <c r="AB57" s="164"/>
      <c r="AC57" s="25"/>
      <c r="AD57" s="25"/>
      <c r="AE57" s="19">
        <f t="shared" si="8"/>
        <v>-113.00000000000068</v>
      </c>
      <c r="AF57" s="21">
        <f t="shared" si="9"/>
        <v>0.94349999999999967</v>
      </c>
      <c r="AG57" s="172"/>
    </row>
    <row r="58" spans="1:33" ht="15.75" customHeight="1">
      <c r="A58" s="182" t="s">
        <v>72</v>
      </c>
      <c r="B58" s="37" t="s">
        <v>78</v>
      </c>
      <c r="C58" s="173" t="s">
        <v>123</v>
      </c>
      <c r="D58" s="174"/>
      <c r="E58" s="37">
        <v>55.56</v>
      </c>
      <c r="F58" s="42">
        <v>1000</v>
      </c>
      <c r="G58" s="4">
        <f t="shared" si="35"/>
        <v>55560</v>
      </c>
      <c r="H58" s="22">
        <v>2</v>
      </c>
      <c r="I58" s="16">
        <v>17</v>
      </c>
      <c r="J58" s="18">
        <v>2000</v>
      </c>
      <c r="K58" s="17">
        <f t="shared" si="1"/>
        <v>117.64705882352941</v>
      </c>
      <c r="L58" s="16">
        <v>17</v>
      </c>
      <c r="M58" s="18">
        <f t="shared" si="36"/>
        <v>1935.483870967739</v>
      </c>
      <c r="N58" s="18">
        <f t="shared" si="3"/>
        <v>113.85199240986699</v>
      </c>
      <c r="O58" s="19">
        <f t="shared" si="4"/>
        <v>0</v>
      </c>
      <c r="P58" s="20">
        <f t="shared" si="5"/>
        <v>-3.7950664136624113</v>
      </c>
      <c r="Q58" s="21">
        <f t="shared" si="6"/>
        <v>0.96774193548386955</v>
      </c>
      <c r="R58" s="172"/>
      <c r="S58" s="28">
        <v>0.70833333333333337</v>
      </c>
      <c r="T58" s="28">
        <v>0.72986111111111118</v>
      </c>
      <c r="U58" s="4" t="str">
        <f t="shared" si="38"/>
        <v/>
      </c>
      <c r="V58" s="22">
        <f t="shared" si="37"/>
        <v>31.00000000000005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8"/>
        <v>-64.516129032261006</v>
      </c>
      <c r="AF58" s="21">
        <f t="shared" si="9"/>
        <v>0.96774193548386944</v>
      </c>
      <c r="AG58" s="172"/>
    </row>
    <row r="59" spans="1:33" ht="15.75" customHeight="1">
      <c r="A59" s="182" t="s">
        <v>72</v>
      </c>
      <c r="B59" s="37" t="s">
        <v>78</v>
      </c>
      <c r="C59" s="173" t="s">
        <v>124</v>
      </c>
      <c r="D59" s="174"/>
      <c r="E59" s="37">
        <v>55.32</v>
      </c>
      <c r="F59" s="42">
        <v>1427</v>
      </c>
      <c r="G59" s="4">
        <f t="shared" si="35"/>
        <v>78941.64</v>
      </c>
      <c r="H59" s="22" t="s">
        <v>139</v>
      </c>
      <c r="I59" s="16">
        <v>15</v>
      </c>
      <c r="J59" s="18">
        <v>2000</v>
      </c>
      <c r="K59" s="17">
        <f t="shared" si="1"/>
        <v>133.33333333333334</v>
      </c>
      <c r="L59" s="16">
        <v>15</v>
      </c>
      <c r="M59" s="18">
        <f t="shared" si="36"/>
        <v>1945.9090909090908</v>
      </c>
      <c r="N59" s="18">
        <f t="shared" si="3"/>
        <v>129.72727272727272</v>
      </c>
      <c r="O59" s="19">
        <f t="shared" si="4"/>
        <v>0</v>
      </c>
      <c r="P59" s="20">
        <f t="shared" si="5"/>
        <v>-3.6060606060606233</v>
      </c>
      <c r="Q59" s="21">
        <f t="shared" si="6"/>
        <v>0.97295454545454529</v>
      </c>
      <c r="R59" s="172"/>
      <c r="S59" s="28">
        <v>0.73333333333333339</v>
      </c>
      <c r="T59" s="28">
        <v>0.76388888888888895</v>
      </c>
      <c r="U59" s="4">
        <f t="shared" si="38"/>
        <v>4.9999999999999822</v>
      </c>
      <c r="V59" s="22">
        <f t="shared" si="37"/>
        <v>44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8"/>
        <v>-54.090909090909236</v>
      </c>
      <c r="AF59" s="21">
        <f t="shared" si="9"/>
        <v>0.97295454545454541</v>
      </c>
      <c r="AG59" s="172"/>
    </row>
    <row r="60" spans="1:33" ht="15.75" customHeight="1">
      <c r="A60" s="182" t="s">
        <v>72</v>
      </c>
      <c r="B60" s="37" t="s">
        <v>78</v>
      </c>
      <c r="C60" s="173" t="s">
        <v>125</v>
      </c>
      <c r="D60" s="174"/>
      <c r="E60" s="37">
        <v>54.29</v>
      </c>
      <c r="F60" s="42">
        <v>1534</v>
      </c>
      <c r="G60" s="4">
        <f t="shared" si="35"/>
        <v>83280.86</v>
      </c>
      <c r="H60" s="22" t="s">
        <v>139</v>
      </c>
      <c r="I60" s="16">
        <v>20</v>
      </c>
      <c r="J60" s="18">
        <v>2000</v>
      </c>
      <c r="K60" s="17">
        <f t="shared" si="1"/>
        <v>100</v>
      </c>
      <c r="L60" s="16">
        <v>20</v>
      </c>
      <c r="M60" s="18">
        <f t="shared" si="36"/>
        <v>1917.5000000000005</v>
      </c>
      <c r="N60" s="18">
        <f t="shared" si="3"/>
        <v>95.875000000000028</v>
      </c>
      <c r="O60" s="19">
        <f t="shared" si="4"/>
        <v>0</v>
      </c>
      <c r="P60" s="20">
        <f t="shared" si="5"/>
        <v>-4.1249999999999716</v>
      </c>
      <c r="Q60" s="21">
        <f t="shared" si="6"/>
        <v>0.95875000000000032</v>
      </c>
      <c r="R60" s="172"/>
      <c r="S60" s="28">
        <v>0.76944444444444449</v>
      </c>
      <c r="T60" s="28">
        <v>0.80277777777777781</v>
      </c>
      <c r="U60" s="4">
        <f t="shared" si="38"/>
        <v>7.9999999999999716</v>
      </c>
      <c r="V60" s="22">
        <f t="shared" si="37"/>
        <v>47.999999999999986</v>
      </c>
      <c r="W60" s="23"/>
      <c r="X60" s="23"/>
      <c r="Y60" s="26"/>
      <c r="Z60" s="26"/>
      <c r="AA60" s="175"/>
      <c r="AB60" s="176"/>
      <c r="AC60" s="25"/>
      <c r="AD60" s="25"/>
      <c r="AE60" s="19">
        <f t="shared" si="8"/>
        <v>-82.499999999999545</v>
      </c>
      <c r="AF60" s="21">
        <f t="shared" si="9"/>
        <v>0.95875000000000021</v>
      </c>
      <c r="AG60" s="172"/>
    </row>
    <row r="61" spans="1:33">
      <c r="A61" s="182" t="s">
        <v>72</v>
      </c>
      <c r="B61" s="37" t="s">
        <v>78</v>
      </c>
      <c r="C61" s="173" t="s">
        <v>126</v>
      </c>
      <c r="D61" s="174"/>
      <c r="E61" s="37">
        <v>57.73</v>
      </c>
      <c r="F61" s="42">
        <v>1306</v>
      </c>
      <c r="G61" s="4">
        <f t="shared" si="35"/>
        <v>75395.37999999999</v>
      </c>
      <c r="H61" s="22" t="s">
        <v>139</v>
      </c>
      <c r="I61" s="16">
        <v>16</v>
      </c>
      <c r="J61" s="18">
        <v>1500</v>
      </c>
      <c r="K61" s="17">
        <f t="shared" si="1"/>
        <v>93.75</v>
      </c>
      <c r="L61" s="16">
        <v>16</v>
      </c>
      <c r="M61" s="18">
        <f t="shared" si="36"/>
        <v>1451.1111111111118</v>
      </c>
      <c r="N61" s="18">
        <f t="shared" si="3"/>
        <v>90.694444444444485</v>
      </c>
      <c r="O61" s="19">
        <f t="shared" si="4"/>
        <v>0</v>
      </c>
      <c r="P61" s="20">
        <f t="shared" si="5"/>
        <v>-3.0555555555555145</v>
      </c>
      <c r="Q61" s="21">
        <f t="shared" si="6"/>
        <v>0.96740740740740783</v>
      </c>
      <c r="R61" s="172"/>
      <c r="S61" s="28">
        <v>0.80694444444444446</v>
      </c>
      <c r="T61" s="28">
        <v>0.84444444444444444</v>
      </c>
      <c r="U61" s="4">
        <f t="shared" si="38"/>
        <v>5.9999999999999787</v>
      </c>
      <c r="V61" s="22">
        <f t="shared" si="37"/>
        <v>53.999999999999972</v>
      </c>
      <c r="W61" s="23">
        <f>T61</f>
        <v>0.84444444444444444</v>
      </c>
      <c r="X61" s="23">
        <f>S62</f>
        <v>0.88611111111111107</v>
      </c>
      <c r="Y61" s="26"/>
      <c r="Z61" s="26"/>
      <c r="AA61" s="175"/>
      <c r="AB61" s="176"/>
      <c r="AC61" s="25"/>
      <c r="AD61" s="25"/>
      <c r="AE61" s="19">
        <f t="shared" si="8"/>
        <v>-48.888888888888232</v>
      </c>
      <c r="AF61" s="21">
        <f t="shared" si="9"/>
        <v>0.96740740740740783</v>
      </c>
      <c r="AG61" s="172"/>
    </row>
    <row r="62" spans="1:33">
      <c r="A62" s="182" t="s">
        <v>72</v>
      </c>
      <c r="B62" s="37" t="s">
        <v>78</v>
      </c>
      <c r="C62" s="173" t="s">
        <v>123</v>
      </c>
      <c r="D62" s="174"/>
      <c r="E62" s="37">
        <v>55.56</v>
      </c>
      <c r="F62" s="42">
        <v>1013</v>
      </c>
      <c r="G62" s="4">
        <f t="shared" si="35"/>
        <v>56282.28</v>
      </c>
      <c r="H62" s="22" t="s">
        <v>139</v>
      </c>
      <c r="I62" s="16">
        <v>17</v>
      </c>
      <c r="J62" s="18">
        <v>2000</v>
      </c>
      <c r="K62" s="17">
        <f t="shared" si="1"/>
        <v>117.64705882352941</v>
      </c>
      <c r="L62" s="16">
        <v>17</v>
      </c>
      <c r="M62" s="18">
        <f t="shared" si="36"/>
        <v>1960.6451612903193</v>
      </c>
      <c r="N62" s="18">
        <f t="shared" si="3"/>
        <v>115.33206831119526</v>
      </c>
      <c r="O62" s="19">
        <f t="shared" si="4"/>
        <v>0</v>
      </c>
      <c r="P62" s="20">
        <f t="shared" si="5"/>
        <v>-2.3149905123341483</v>
      </c>
      <c r="Q62" s="21">
        <f t="shared" si="6"/>
        <v>0.98032258064515976</v>
      </c>
      <c r="R62" s="172"/>
      <c r="S62" s="28">
        <v>0.88611111111111107</v>
      </c>
      <c r="T62" s="28">
        <v>0.90763888888888888</v>
      </c>
      <c r="U62" s="4">
        <f t="shared" si="38"/>
        <v>59.999999999999943</v>
      </c>
      <c r="V62" s="22">
        <f t="shared" si="37"/>
        <v>31.00000000000005</v>
      </c>
      <c r="W62" s="23"/>
      <c r="X62" s="23"/>
      <c r="Y62" s="26"/>
      <c r="Z62" s="26"/>
      <c r="AA62" s="175"/>
      <c r="AB62" s="176"/>
      <c r="AC62" s="25"/>
      <c r="AD62" s="25"/>
      <c r="AE62" s="19">
        <f t="shared" si="8"/>
        <v>-39.354838709680735</v>
      </c>
      <c r="AF62" s="21">
        <f t="shared" si="9"/>
        <v>0.98032258064515965</v>
      </c>
      <c r="AG62" s="172"/>
    </row>
    <row r="63" spans="1:33">
      <c r="A63" s="183" t="s">
        <v>72</v>
      </c>
      <c r="B63" s="37" t="s">
        <v>48</v>
      </c>
      <c r="C63" s="177"/>
      <c r="D63" s="177"/>
      <c r="E63" s="38"/>
      <c r="F63" s="17"/>
      <c r="G63" s="17"/>
      <c r="H63" s="4"/>
      <c r="I63" s="30">
        <v>18.5</v>
      </c>
      <c r="J63" s="18">
        <v>1950</v>
      </c>
      <c r="K63" s="17">
        <f t="shared" si="1"/>
        <v>105.4054054054054</v>
      </c>
      <c r="L63" s="30">
        <v>18.5</v>
      </c>
      <c r="M63" s="18">
        <f>AVERAGE(M53:M62)</f>
        <v>1842.3658572843353</v>
      </c>
      <c r="N63" s="17">
        <f t="shared" si="3"/>
        <v>99.587343636991093</v>
      </c>
      <c r="O63" s="19">
        <f t="shared" si="4"/>
        <v>0</v>
      </c>
      <c r="P63" s="20">
        <f t="shared" si="5"/>
        <v>-5.8180617684143101</v>
      </c>
      <c r="Q63" s="21">
        <f t="shared" si="6"/>
        <v>0.94480300373555659</v>
      </c>
      <c r="R63" s="172"/>
      <c r="S63" s="28"/>
      <c r="T63" s="28"/>
      <c r="U63" s="4"/>
      <c r="V63" s="22"/>
      <c r="W63" s="17"/>
      <c r="X63" s="17"/>
      <c r="Y63" s="31">
        <f>SUM(Y53:Y62)</f>
        <v>0</v>
      </c>
      <c r="Z63" s="31">
        <f>SUM(Z53:Z62)</f>
        <v>0</v>
      </c>
      <c r="AA63" s="168"/>
      <c r="AB63" s="168"/>
      <c r="AC63" s="31">
        <v>10</v>
      </c>
      <c r="AD63" s="31">
        <f>SUM(AD53:AD62)</f>
        <v>0</v>
      </c>
      <c r="AE63" s="19">
        <f>M63-J63</f>
        <v>-107.63414271566467</v>
      </c>
      <c r="AF63" s="21">
        <f t="shared" si="9"/>
        <v>0.94480300373555659</v>
      </c>
      <c r="AG63" s="172"/>
    </row>
    <row r="64" spans="1:33" ht="15.75" customHeight="1">
      <c r="A64" s="178" t="s">
        <v>73</v>
      </c>
      <c r="B64" s="4" t="s">
        <v>84</v>
      </c>
      <c r="C64" s="165" t="s">
        <v>127</v>
      </c>
      <c r="D64" s="165"/>
      <c r="E64" s="37">
        <v>26.97</v>
      </c>
      <c r="F64" s="42">
        <v>2182</v>
      </c>
      <c r="G64" s="4">
        <f t="shared" ref="G64:G68" si="39">E64*F64</f>
        <v>58848.54</v>
      </c>
      <c r="H64" s="22" t="s">
        <v>139</v>
      </c>
      <c r="I64" s="16">
        <v>8</v>
      </c>
      <c r="J64" s="18">
        <v>1500</v>
      </c>
      <c r="K64" s="17">
        <f t="shared" si="1"/>
        <v>187.5</v>
      </c>
      <c r="L64" s="16">
        <v>8</v>
      </c>
      <c r="M64" s="18">
        <f t="shared" ref="M64:M68" si="40">F64/V64*60</f>
        <v>1438.6813186813181</v>
      </c>
      <c r="N64" s="17">
        <f t="shared" si="3"/>
        <v>179.83516483516476</v>
      </c>
      <c r="O64" s="19">
        <f t="shared" si="4"/>
        <v>0</v>
      </c>
      <c r="P64" s="20">
        <f t="shared" si="5"/>
        <v>-7.6648351648352389</v>
      </c>
      <c r="Q64" s="21">
        <f t="shared" si="6"/>
        <v>0.95912087912087873</v>
      </c>
      <c r="R64" s="172">
        <f>Q69</f>
        <v>0.96169732105732086</v>
      </c>
      <c r="S64" s="28">
        <v>0.20833333333333334</v>
      </c>
      <c r="T64" s="28">
        <v>0.27152777777777781</v>
      </c>
      <c r="U64" s="4"/>
      <c r="V64" s="22">
        <f t="shared" ref="V64:V68" si="41">(T64-S64)*24*60</f>
        <v>91.000000000000043</v>
      </c>
      <c r="W64" s="28"/>
      <c r="X64" s="28"/>
      <c r="Y64" s="28"/>
      <c r="Z64" s="28"/>
      <c r="AA64" s="164"/>
      <c r="AB64" s="164"/>
      <c r="AC64" s="25">
        <v>5</v>
      </c>
      <c r="AD64" s="25"/>
      <c r="AE64" s="19">
        <f t="shared" ref="AE64:AE75" si="42">M64-J64</f>
        <v>-61.318681318681911</v>
      </c>
      <c r="AF64" s="21">
        <f t="shared" si="9"/>
        <v>0.95912087912087873</v>
      </c>
      <c r="AG64" s="172">
        <f>AF69</f>
        <v>0.96169732105732086</v>
      </c>
    </row>
    <row r="65" spans="1:33" ht="15.75" customHeight="1">
      <c r="A65" s="178" t="s">
        <v>73</v>
      </c>
      <c r="B65" s="4" t="s">
        <v>84</v>
      </c>
      <c r="C65" s="165" t="s">
        <v>128</v>
      </c>
      <c r="D65" s="165"/>
      <c r="E65" s="37">
        <v>27.4</v>
      </c>
      <c r="F65" s="42">
        <v>1008</v>
      </c>
      <c r="G65" s="4">
        <f t="shared" si="39"/>
        <v>27619.199999999997</v>
      </c>
      <c r="H65" s="22" t="s">
        <v>139</v>
      </c>
      <c r="I65" s="16">
        <v>10</v>
      </c>
      <c r="J65" s="18">
        <v>1500</v>
      </c>
      <c r="K65" s="17">
        <f t="shared" si="1"/>
        <v>150</v>
      </c>
      <c r="L65" s="16">
        <v>10</v>
      </c>
      <c r="M65" s="18">
        <f t="shared" si="40"/>
        <v>1439.9999999999995</v>
      </c>
      <c r="N65" s="17">
        <f t="shared" si="3"/>
        <v>143.99999999999994</v>
      </c>
      <c r="O65" s="19">
        <f t="shared" si="4"/>
        <v>0</v>
      </c>
      <c r="P65" s="20">
        <f t="shared" si="5"/>
        <v>-6.0000000000000568</v>
      </c>
      <c r="Q65" s="21">
        <f t="shared" si="6"/>
        <v>0.95999999999999963</v>
      </c>
      <c r="R65" s="172"/>
      <c r="S65" s="28">
        <v>0.27500000000000002</v>
      </c>
      <c r="T65" s="28">
        <v>0.3041666666666667</v>
      </c>
      <c r="U65" s="4">
        <f t="shared" ref="U65:U68" si="43">(S65-T64)*24*60</f>
        <v>4.9999999999999822</v>
      </c>
      <c r="V65" s="22">
        <f t="shared" si="41"/>
        <v>42.000000000000014</v>
      </c>
      <c r="W65" s="4"/>
      <c r="X65" s="4"/>
      <c r="Y65" s="4"/>
      <c r="Z65" s="4"/>
      <c r="AA65" s="164"/>
      <c r="AB65" s="164"/>
      <c r="AC65" s="25"/>
      <c r="AD65" s="25"/>
      <c r="AE65" s="19">
        <f t="shared" si="42"/>
        <v>-60.000000000000455</v>
      </c>
      <c r="AF65" s="21">
        <f t="shared" si="9"/>
        <v>0.95999999999999974</v>
      </c>
      <c r="AG65" s="172"/>
    </row>
    <row r="66" spans="1:33" ht="15.75" customHeight="1">
      <c r="A66" s="178" t="s">
        <v>73</v>
      </c>
      <c r="B66" s="4" t="s">
        <v>111</v>
      </c>
      <c r="C66" s="165" t="s">
        <v>129</v>
      </c>
      <c r="D66" s="165"/>
      <c r="E66" s="37">
        <v>31</v>
      </c>
      <c r="F66" s="42">
        <v>819</v>
      </c>
      <c r="G66" s="4">
        <f t="shared" si="39"/>
        <v>25389</v>
      </c>
      <c r="H66" s="22" t="s">
        <v>139</v>
      </c>
      <c r="I66" s="16">
        <v>13</v>
      </c>
      <c r="J66" s="18">
        <v>2000</v>
      </c>
      <c r="K66" s="17">
        <f t="shared" si="1"/>
        <v>153.84615384615384</v>
      </c>
      <c r="L66" s="16">
        <v>13</v>
      </c>
      <c r="M66" s="18">
        <f t="shared" si="40"/>
        <v>1965.6000000000008</v>
      </c>
      <c r="N66" s="17">
        <f t="shared" si="3"/>
        <v>151.20000000000007</v>
      </c>
      <c r="O66" s="19">
        <f t="shared" si="4"/>
        <v>0</v>
      </c>
      <c r="P66" s="20">
        <f t="shared" si="5"/>
        <v>-2.6461538461537657</v>
      </c>
      <c r="Q66" s="21">
        <f t="shared" si="6"/>
        <v>0.98280000000000056</v>
      </c>
      <c r="R66" s="172"/>
      <c r="S66" s="28">
        <v>0.30902777777777779</v>
      </c>
      <c r="T66" s="28">
        <v>0.3263888888888889</v>
      </c>
      <c r="U66" s="4">
        <f t="shared" si="43"/>
        <v>6.9999999999999751</v>
      </c>
      <c r="V66" s="22">
        <f t="shared" si="41"/>
        <v>24.999999999999993</v>
      </c>
      <c r="W66" s="4"/>
      <c r="X66" s="4"/>
      <c r="Y66" s="4"/>
      <c r="Z66" s="4"/>
      <c r="AA66" s="164"/>
      <c r="AB66" s="164"/>
      <c r="AC66" s="25"/>
      <c r="AD66" s="25"/>
      <c r="AE66" s="19">
        <f t="shared" si="42"/>
        <v>-34.399999999999181</v>
      </c>
      <c r="AF66" s="21">
        <f t="shared" si="9"/>
        <v>0.98280000000000045</v>
      </c>
      <c r="AG66" s="172"/>
    </row>
    <row r="67" spans="1:33" ht="15.75" customHeight="1">
      <c r="A67" s="178" t="s">
        <v>73</v>
      </c>
      <c r="B67" s="4" t="s">
        <v>111</v>
      </c>
      <c r="C67" s="165" t="s">
        <v>130</v>
      </c>
      <c r="D67" s="165"/>
      <c r="E67" s="37">
        <v>37.85</v>
      </c>
      <c r="F67" s="42">
        <v>2376</v>
      </c>
      <c r="G67" s="4">
        <f t="shared" si="39"/>
        <v>89931.6</v>
      </c>
      <c r="H67" s="22" t="s">
        <v>139</v>
      </c>
      <c r="I67" s="16">
        <v>12</v>
      </c>
      <c r="J67" s="18">
        <v>2000</v>
      </c>
      <c r="K67" s="17">
        <f t="shared" si="1"/>
        <v>166.66666666666666</v>
      </c>
      <c r="L67" s="16">
        <v>12</v>
      </c>
      <c r="M67" s="18">
        <f t="shared" si="40"/>
        <v>1900.8000000000006</v>
      </c>
      <c r="N67" s="17">
        <f t="shared" si="3"/>
        <v>158.40000000000006</v>
      </c>
      <c r="O67" s="19">
        <f t="shared" si="4"/>
        <v>0</v>
      </c>
      <c r="P67" s="20">
        <f t="shared" si="5"/>
        <v>-8.2666666666665947</v>
      </c>
      <c r="Q67" s="21">
        <f t="shared" si="6"/>
        <v>0.95040000000000047</v>
      </c>
      <c r="R67" s="172"/>
      <c r="S67" s="28">
        <v>0.3298611111111111</v>
      </c>
      <c r="T67" s="28">
        <v>0.38194444444444442</v>
      </c>
      <c r="U67" s="4">
        <f t="shared" si="43"/>
        <v>4.9999999999999822</v>
      </c>
      <c r="V67" s="22">
        <f t="shared" si="41"/>
        <v>74.999999999999972</v>
      </c>
      <c r="W67" s="4"/>
      <c r="X67" s="4"/>
      <c r="Y67" s="4"/>
      <c r="Z67" s="4"/>
      <c r="AA67" s="164"/>
      <c r="AB67" s="164"/>
      <c r="AC67" s="25"/>
      <c r="AD67" s="25"/>
      <c r="AE67" s="19">
        <f t="shared" si="42"/>
        <v>-99.199999999999363</v>
      </c>
      <c r="AF67" s="21">
        <f t="shared" si="9"/>
        <v>0.95040000000000036</v>
      </c>
      <c r="AG67" s="172"/>
    </row>
    <row r="68" spans="1:33">
      <c r="A68" s="179" t="s">
        <v>73</v>
      </c>
      <c r="B68" s="4" t="s">
        <v>111</v>
      </c>
      <c r="C68" s="165" t="s">
        <v>131</v>
      </c>
      <c r="D68" s="165"/>
      <c r="E68" s="37">
        <v>34.36</v>
      </c>
      <c r="F68" s="42">
        <v>1771</v>
      </c>
      <c r="G68" s="4">
        <f t="shared" si="39"/>
        <v>60851.56</v>
      </c>
      <c r="H68" s="22" t="s">
        <v>139</v>
      </c>
      <c r="I68" s="16">
        <v>10</v>
      </c>
      <c r="J68" s="18">
        <v>3000</v>
      </c>
      <c r="K68" s="17">
        <f t="shared" si="1"/>
        <v>300</v>
      </c>
      <c r="L68" s="16">
        <v>10</v>
      </c>
      <c r="M68" s="18">
        <f t="shared" si="40"/>
        <v>2871.8918918918898</v>
      </c>
      <c r="N68" s="17">
        <f t="shared" si="3"/>
        <v>287.18918918918899</v>
      </c>
      <c r="O68" s="19">
        <f t="shared" si="4"/>
        <v>0</v>
      </c>
      <c r="P68" s="20">
        <f t="shared" si="5"/>
        <v>-12.810810810811006</v>
      </c>
      <c r="Q68" s="21">
        <f t="shared" si="6"/>
        <v>0.95729729729729662</v>
      </c>
      <c r="R68" s="172"/>
      <c r="S68" s="28">
        <v>0.38680555555555551</v>
      </c>
      <c r="T68" s="28">
        <v>0.41249999999999998</v>
      </c>
      <c r="U68" s="4">
        <f t="shared" si="43"/>
        <v>6.9999999999999751</v>
      </c>
      <c r="V68" s="22">
        <f t="shared" si="41"/>
        <v>37.000000000000028</v>
      </c>
      <c r="W68" s="23"/>
      <c r="X68" s="23"/>
      <c r="Y68" s="23"/>
      <c r="Z68" s="23"/>
      <c r="AA68" s="164"/>
      <c r="AB68" s="164"/>
      <c r="AC68" s="25"/>
      <c r="AD68" s="25"/>
      <c r="AE68" s="19">
        <f t="shared" si="42"/>
        <v>-128.10810810811017</v>
      </c>
      <c r="AF68" s="21">
        <f t="shared" si="9"/>
        <v>0.95729729729729662</v>
      </c>
      <c r="AG68" s="172"/>
    </row>
    <row r="69" spans="1:33">
      <c r="A69" s="179" t="s">
        <v>73</v>
      </c>
      <c r="B69" s="37" t="s">
        <v>48</v>
      </c>
      <c r="C69" s="177"/>
      <c r="D69" s="177"/>
      <c r="E69" s="38"/>
      <c r="F69" s="17"/>
      <c r="G69" s="17"/>
      <c r="H69" s="4"/>
      <c r="I69" s="30">
        <v>10.6</v>
      </c>
      <c r="J69" s="18">
        <v>2000</v>
      </c>
      <c r="K69" s="17">
        <f t="shared" ref="K69:K75" si="44">J69/I69</f>
        <v>188.67924528301887</v>
      </c>
      <c r="L69" s="30">
        <v>10.6</v>
      </c>
      <c r="M69" s="18">
        <f>AVERAGE(M64:M68)</f>
        <v>1923.3946421146418</v>
      </c>
      <c r="N69" s="17">
        <f t="shared" ref="N69:N75" si="45">M69/L69</f>
        <v>181.45232472779639</v>
      </c>
      <c r="O69" s="19">
        <f t="shared" ref="O69:O75" si="46">L69-I69</f>
        <v>0</v>
      </c>
      <c r="P69" s="20">
        <f t="shared" ref="P69:P75" si="47">N69-K69</f>
        <v>-7.2269205552224776</v>
      </c>
      <c r="Q69" s="21">
        <f t="shared" ref="Q69:Q75" si="48">N69/K69</f>
        <v>0.96169732105732086</v>
      </c>
      <c r="R69" s="172"/>
      <c r="S69" s="28"/>
      <c r="T69" s="28"/>
      <c r="U69" s="17"/>
      <c r="V69" s="22"/>
      <c r="W69" s="17"/>
      <c r="X69" s="17"/>
      <c r="Y69" s="31">
        <f>SUM(Y64:Y68)</f>
        <v>0</v>
      </c>
      <c r="Z69" s="31">
        <f>SUM(Z64:Z68)</f>
        <v>0</v>
      </c>
      <c r="AA69" s="168"/>
      <c r="AB69" s="168"/>
      <c r="AC69" s="31">
        <v>5</v>
      </c>
      <c r="AD69" s="31">
        <f>SUM(AD64:AD68)</f>
        <v>0</v>
      </c>
      <c r="AE69" s="19">
        <f t="shared" si="42"/>
        <v>-76.605357885358217</v>
      </c>
      <c r="AF69" s="21">
        <f t="shared" ref="AF69:AF75" si="49">M69/J69</f>
        <v>0.96169732105732086</v>
      </c>
      <c r="AG69" s="172"/>
    </row>
    <row r="70" spans="1:33" ht="15.75" customHeight="1">
      <c r="A70" s="169" t="s">
        <v>406</v>
      </c>
      <c r="B70" s="4" t="s">
        <v>100</v>
      </c>
      <c r="C70" s="165" t="s">
        <v>133</v>
      </c>
      <c r="D70" s="165"/>
      <c r="E70" s="37">
        <v>20.2</v>
      </c>
      <c r="F70" s="4">
        <v>1497</v>
      </c>
      <c r="G70" s="4">
        <f t="shared" ref="G70:G74" si="50">E70*F70</f>
        <v>30239.399999999998</v>
      </c>
      <c r="H70" s="22" t="s">
        <v>139</v>
      </c>
      <c r="I70" s="16">
        <v>19</v>
      </c>
      <c r="J70" s="18">
        <v>2400</v>
      </c>
      <c r="K70" s="17">
        <f t="shared" si="44"/>
        <v>126.31578947368421</v>
      </c>
      <c r="L70" s="16">
        <v>19</v>
      </c>
      <c r="M70" s="18">
        <f t="shared" ref="M70:M74" si="51">F70/V70*60</f>
        <v>2303.076923076922</v>
      </c>
      <c r="N70" s="17">
        <f t="shared" si="45"/>
        <v>121.21457489878537</v>
      </c>
      <c r="O70" s="19">
        <f t="shared" si="46"/>
        <v>0</v>
      </c>
      <c r="P70" s="20">
        <f t="shared" si="47"/>
        <v>-5.1012145748988331</v>
      </c>
      <c r="Q70" s="21">
        <f t="shared" si="48"/>
        <v>0.9596153846153842</v>
      </c>
      <c r="R70" s="172">
        <f>Q75</f>
        <v>0.96228878855060429</v>
      </c>
      <c r="S70" s="28">
        <v>0.125</v>
      </c>
      <c r="T70" s="28">
        <v>0.15208333333333335</v>
      </c>
      <c r="U70" s="28"/>
      <c r="V70" s="22">
        <f t="shared" ref="V70:V74" si="52">(T70-S70)*24*60</f>
        <v>39.000000000000021</v>
      </c>
      <c r="W70" s="23">
        <f>T70</f>
        <v>0.15208333333333335</v>
      </c>
      <c r="X70" s="23">
        <f>S71</f>
        <v>0.17083333333333336</v>
      </c>
      <c r="Y70" s="23"/>
      <c r="Z70" s="23"/>
      <c r="AA70" s="164"/>
      <c r="AB70" s="164"/>
      <c r="AC70" s="25">
        <v>5</v>
      </c>
      <c r="AD70" s="25"/>
      <c r="AE70" s="19">
        <f t="shared" si="42"/>
        <v>-96.923076923078042</v>
      </c>
      <c r="AF70" s="21">
        <f t="shared" si="49"/>
        <v>0.9596153846153842</v>
      </c>
      <c r="AG70" s="172">
        <f>AF75</f>
        <v>0.96228878855060429</v>
      </c>
    </row>
    <row r="71" spans="1:33" ht="15.75" customHeight="1">
      <c r="A71" s="170" t="s">
        <v>406</v>
      </c>
      <c r="B71" s="4" t="s">
        <v>100</v>
      </c>
      <c r="C71" s="165" t="s">
        <v>109</v>
      </c>
      <c r="D71" s="165"/>
      <c r="E71" s="37">
        <v>24.45</v>
      </c>
      <c r="F71" s="4">
        <v>2346</v>
      </c>
      <c r="G71" s="4">
        <f t="shared" si="50"/>
        <v>57359.7</v>
      </c>
      <c r="H71" s="22" t="s">
        <v>139</v>
      </c>
      <c r="I71" s="16">
        <v>20</v>
      </c>
      <c r="J71" s="18">
        <v>2400</v>
      </c>
      <c r="K71" s="17">
        <f t="shared" si="44"/>
        <v>120</v>
      </c>
      <c r="L71" s="16">
        <v>20</v>
      </c>
      <c r="M71" s="18">
        <f t="shared" si="51"/>
        <v>2307.5409836065578</v>
      </c>
      <c r="N71" s="17">
        <f t="shared" si="45"/>
        <v>115.37704918032789</v>
      </c>
      <c r="O71" s="19">
        <f t="shared" si="46"/>
        <v>0</v>
      </c>
      <c r="P71" s="20">
        <f t="shared" si="47"/>
        <v>-4.6229508196721127</v>
      </c>
      <c r="Q71" s="21">
        <f t="shared" si="48"/>
        <v>0.96147540983606572</v>
      </c>
      <c r="R71" s="172"/>
      <c r="S71" s="28">
        <v>0.17083333333333336</v>
      </c>
      <c r="T71" s="28">
        <v>0.21319444444444446</v>
      </c>
      <c r="U71" s="4">
        <f t="shared" ref="U71:U74" si="53">(S71-T70)*24*60</f>
        <v>27.000000000000025</v>
      </c>
      <c r="V71" s="22">
        <f t="shared" si="52"/>
        <v>60.999999999999986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42"/>
        <v>-92.459016393442198</v>
      </c>
      <c r="AF71" s="21">
        <f t="shared" si="49"/>
        <v>0.96147540983606572</v>
      </c>
      <c r="AG71" s="172"/>
    </row>
    <row r="72" spans="1:33" ht="15.75" customHeight="1">
      <c r="A72" s="170" t="s">
        <v>406</v>
      </c>
      <c r="B72" s="4" t="s">
        <v>100</v>
      </c>
      <c r="C72" s="165" t="s">
        <v>136</v>
      </c>
      <c r="D72" s="165"/>
      <c r="E72" s="37">
        <v>24.43</v>
      </c>
      <c r="F72" s="4">
        <v>5431</v>
      </c>
      <c r="G72" s="4">
        <f t="shared" si="50"/>
        <v>132679.32999999999</v>
      </c>
      <c r="H72" s="22" t="s">
        <v>139</v>
      </c>
      <c r="I72" s="16">
        <v>14</v>
      </c>
      <c r="J72" s="18">
        <v>2400</v>
      </c>
      <c r="K72" s="17">
        <f t="shared" si="44"/>
        <v>171.42857142857142</v>
      </c>
      <c r="L72" s="16">
        <v>14</v>
      </c>
      <c r="M72" s="18">
        <f t="shared" si="51"/>
        <v>2294.7887323943655</v>
      </c>
      <c r="N72" s="17">
        <f t="shared" si="45"/>
        <v>163.91348088531183</v>
      </c>
      <c r="O72" s="19">
        <f t="shared" si="46"/>
        <v>0</v>
      </c>
      <c r="P72" s="20">
        <f t="shared" si="47"/>
        <v>-7.5150905432595891</v>
      </c>
      <c r="Q72" s="21">
        <f t="shared" si="48"/>
        <v>0.95616197183098572</v>
      </c>
      <c r="R72" s="172"/>
      <c r="S72" s="28">
        <v>0.21736111111111114</v>
      </c>
      <c r="T72" s="28">
        <v>0.31597222222222227</v>
      </c>
      <c r="U72" s="4">
        <f t="shared" si="53"/>
        <v>6.0000000000000187</v>
      </c>
      <c r="V72" s="22">
        <f t="shared" si="52"/>
        <v>142.00000000000003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42"/>
        <v>-105.21126760563448</v>
      </c>
      <c r="AF72" s="21">
        <f t="shared" si="49"/>
        <v>0.95616197183098561</v>
      </c>
      <c r="AG72" s="172"/>
    </row>
    <row r="73" spans="1:33" ht="15.75" customHeight="1">
      <c r="A73" s="170" t="s">
        <v>406</v>
      </c>
      <c r="B73" s="4" t="s">
        <v>100</v>
      </c>
      <c r="C73" s="165" t="s">
        <v>138</v>
      </c>
      <c r="D73" s="165"/>
      <c r="E73" s="37">
        <v>22.69</v>
      </c>
      <c r="F73" s="4">
        <v>667</v>
      </c>
      <c r="G73" s="4">
        <f t="shared" si="50"/>
        <v>15134.230000000001</v>
      </c>
      <c r="H73" s="22" t="s">
        <v>139</v>
      </c>
      <c r="I73" s="16">
        <v>15</v>
      </c>
      <c r="J73" s="18">
        <v>2400</v>
      </c>
      <c r="K73" s="17">
        <f t="shared" si="44"/>
        <v>160</v>
      </c>
      <c r="L73" s="16">
        <v>15</v>
      </c>
      <c r="M73" s="18">
        <f t="shared" si="51"/>
        <v>2354.1176470588207</v>
      </c>
      <c r="N73" s="17">
        <f t="shared" si="45"/>
        <v>156.94117647058803</v>
      </c>
      <c r="O73" s="19">
        <f t="shared" si="46"/>
        <v>0</v>
      </c>
      <c r="P73" s="20">
        <f t="shared" si="47"/>
        <v>-3.058823529411967</v>
      </c>
      <c r="Q73" s="21">
        <f t="shared" si="48"/>
        <v>0.98088235294117521</v>
      </c>
      <c r="R73" s="172"/>
      <c r="S73" s="28">
        <v>0.32083333333333336</v>
      </c>
      <c r="T73" s="28">
        <v>0.33263888888888893</v>
      </c>
      <c r="U73" s="4">
        <f t="shared" si="53"/>
        <v>6.9999999999999751</v>
      </c>
      <c r="V73" s="22">
        <f t="shared" si="52"/>
        <v>17.000000000000021</v>
      </c>
      <c r="W73" s="23"/>
      <c r="X73" s="23"/>
      <c r="Y73" s="23"/>
      <c r="Z73" s="23"/>
      <c r="AA73" s="164"/>
      <c r="AB73" s="164"/>
      <c r="AC73" s="25"/>
      <c r="AD73" s="25"/>
      <c r="AE73" s="19">
        <f t="shared" si="42"/>
        <v>-45.882352941179306</v>
      </c>
      <c r="AF73" s="21">
        <f t="shared" si="49"/>
        <v>0.98088235294117532</v>
      </c>
      <c r="AG73" s="172"/>
    </row>
    <row r="74" spans="1:33" ht="15.75" customHeight="1">
      <c r="A74" s="170" t="s">
        <v>406</v>
      </c>
      <c r="B74" s="4" t="s">
        <v>100</v>
      </c>
      <c r="C74" s="165" t="s">
        <v>135</v>
      </c>
      <c r="D74" s="165"/>
      <c r="E74" s="37">
        <v>19.02</v>
      </c>
      <c r="F74" s="4">
        <v>7779</v>
      </c>
      <c r="G74" s="4">
        <f t="shared" si="50"/>
        <v>147956.57999999999</v>
      </c>
      <c r="H74" s="22" t="s">
        <v>139</v>
      </c>
      <c r="I74" s="16">
        <v>15</v>
      </c>
      <c r="J74" s="18">
        <v>2400</v>
      </c>
      <c r="K74" s="17">
        <f t="shared" si="44"/>
        <v>160</v>
      </c>
      <c r="L74" s="16">
        <v>15</v>
      </c>
      <c r="M74" s="18">
        <f t="shared" si="51"/>
        <v>2287.9411764705883</v>
      </c>
      <c r="N74" s="17">
        <f t="shared" si="45"/>
        <v>152.52941176470588</v>
      </c>
      <c r="O74" s="19">
        <f t="shared" si="46"/>
        <v>0</v>
      </c>
      <c r="P74" s="20">
        <f t="shared" si="47"/>
        <v>-7.470588235294116</v>
      </c>
      <c r="Q74" s="21">
        <f t="shared" si="48"/>
        <v>0.95330882352941182</v>
      </c>
      <c r="R74" s="172"/>
      <c r="S74" s="28">
        <v>0.33819444444444446</v>
      </c>
      <c r="T74" s="28">
        <v>0.47986111111111113</v>
      </c>
      <c r="U74" s="4">
        <f t="shared" si="53"/>
        <v>7.9999999999999716</v>
      </c>
      <c r="V74" s="22">
        <f t="shared" si="52"/>
        <v>204</v>
      </c>
      <c r="W74" s="23"/>
      <c r="X74" s="23"/>
      <c r="Y74" s="23"/>
      <c r="Z74" s="23"/>
      <c r="AA74" s="164"/>
      <c r="AB74" s="164"/>
      <c r="AC74" s="25"/>
      <c r="AD74" s="25"/>
      <c r="AE74" s="19">
        <f t="shared" si="42"/>
        <v>-112.05882352941171</v>
      </c>
      <c r="AF74" s="21">
        <f t="shared" si="49"/>
        <v>0.95330882352941182</v>
      </c>
      <c r="AG74" s="172"/>
    </row>
    <row r="75" spans="1:33" ht="16.5" customHeight="1">
      <c r="A75" s="171" t="s">
        <v>406</v>
      </c>
      <c r="B75" s="37" t="s">
        <v>48</v>
      </c>
      <c r="C75" s="166"/>
      <c r="D75" s="167"/>
      <c r="E75" s="38"/>
      <c r="F75" s="17"/>
      <c r="G75" s="17"/>
      <c r="H75" s="4"/>
      <c r="I75" s="30">
        <v>16.600000000000001</v>
      </c>
      <c r="J75" s="18">
        <v>2400</v>
      </c>
      <c r="K75" s="17">
        <f t="shared" si="44"/>
        <v>144.57831325301203</v>
      </c>
      <c r="L75" s="30">
        <v>16.600000000000001</v>
      </c>
      <c r="M75" s="18">
        <f>AVERAGE(M70:M74)</f>
        <v>2309.4930925214503</v>
      </c>
      <c r="N75" s="17">
        <f t="shared" si="45"/>
        <v>139.12608991093072</v>
      </c>
      <c r="O75" s="19">
        <f t="shared" si="46"/>
        <v>0</v>
      </c>
      <c r="P75" s="20">
        <f t="shared" si="47"/>
        <v>-5.4522233420813109</v>
      </c>
      <c r="Q75" s="21">
        <f t="shared" si="48"/>
        <v>0.96228878855060429</v>
      </c>
      <c r="R75" s="172"/>
      <c r="S75" s="28"/>
      <c r="T75" s="28"/>
      <c r="U75" s="17"/>
      <c r="V75" s="22"/>
      <c r="W75" s="17"/>
      <c r="X75" s="17"/>
      <c r="Y75" s="31">
        <f>SUM(Y70:Y74)</f>
        <v>0</v>
      </c>
      <c r="Z75" s="31">
        <f>SUM(Z70:Z74)</f>
        <v>0</v>
      </c>
      <c r="AA75" s="168"/>
      <c r="AB75" s="168"/>
      <c r="AC75" s="31">
        <v>5</v>
      </c>
      <c r="AD75" s="31">
        <f>SUM(AD70:AD74)</f>
        <v>0</v>
      </c>
      <c r="AE75" s="19">
        <f t="shared" si="42"/>
        <v>-90.506907478549692</v>
      </c>
      <c r="AF75" s="21">
        <f t="shared" si="49"/>
        <v>0.96228878855060429</v>
      </c>
      <c r="AG75" s="172"/>
    </row>
    <row r="76" spans="1:33">
      <c r="D76" s="33"/>
      <c r="E76" s="33"/>
    </row>
  </sheetData>
  <mergeCells count="202">
    <mergeCell ref="AG70:AG75"/>
    <mergeCell ref="C71:D71"/>
    <mergeCell ref="AA71:AB71"/>
    <mergeCell ref="C72:D72"/>
    <mergeCell ref="AA72:AB72"/>
    <mergeCell ref="C73:D73"/>
    <mergeCell ref="AA73:AB73"/>
    <mergeCell ref="C74:D74"/>
    <mergeCell ref="AA74:AB74"/>
    <mergeCell ref="C75:D75"/>
    <mergeCell ref="C69:D69"/>
    <mergeCell ref="AA69:AB69"/>
    <mergeCell ref="A70:A75"/>
    <mergeCell ref="C70:D70"/>
    <mergeCell ref="R70:R75"/>
    <mergeCell ref="AA70:AB70"/>
    <mergeCell ref="AA75:AB75"/>
    <mergeCell ref="A64:A69"/>
    <mergeCell ref="C64:D64"/>
    <mergeCell ref="R64:R69"/>
    <mergeCell ref="AA64:AB64"/>
    <mergeCell ref="C55:D55"/>
    <mergeCell ref="AA55:AB55"/>
    <mergeCell ref="AA56:AB56"/>
    <mergeCell ref="AA57:AB57"/>
    <mergeCell ref="C58:D58"/>
    <mergeCell ref="AA58:AB58"/>
    <mergeCell ref="C59:D59"/>
    <mergeCell ref="AA67:AB67"/>
    <mergeCell ref="C68:D68"/>
    <mergeCell ref="AA68:AB68"/>
    <mergeCell ref="A53:A63"/>
    <mergeCell ref="C53:D53"/>
    <mergeCell ref="R53:R63"/>
    <mergeCell ref="AA53:AB53"/>
    <mergeCell ref="AA59:AB59"/>
    <mergeCell ref="C60:D60"/>
    <mergeCell ref="A41:A52"/>
    <mergeCell ref="C41:D41"/>
    <mergeCell ref="AG64:AG69"/>
    <mergeCell ref="C65:D65"/>
    <mergeCell ref="AA65:AB65"/>
    <mergeCell ref="C66:D66"/>
    <mergeCell ref="AA66:AB66"/>
    <mergeCell ref="C67:D67"/>
    <mergeCell ref="AA60:AB60"/>
    <mergeCell ref="C61:D61"/>
    <mergeCell ref="AA61:AB61"/>
    <mergeCell ref="C62:D62"/>
    <mergeCell ref="AA62:AB62"/>
    <mergeCell ref="C63:D63"/>
    <mergeCell ref="AA63:AB63"/>
    <mergeCell ref="AG53:AG63"/>
    <mergeCell ref="C54:D54"/>
    <mergeCell ref="AA54:AB54"/>
    <mergeCell ref="AA45:AB45"/>
    <mergeCell ref="C46:D46"/>
    <mergeCell ref="AA46:AB46"/>
    <mergeCell ref="C47:D47"/>
    <mergeCell ref="AA47:AB47"/>
    <mergeCell ref="R41:R52"/>
    <mergeCell ref="AA41:AB41"/>
    <mergeCell ref="C51:D51"/>
    <mergeCell ref="AA51:AB51"/>
    <mergeCell ref="C52:D52"/>
    <mergeCell ref="AA52:AB52"/>
    <mergeCell ref="AG41:AG52"/>
    <mergeCell ref="C42:D42"/>
    <mergeCell ref="AA42:AB42"/>
    <mergeCell ref="C43:D43"/>
    <mergeCell ref="AA43:AB43"/>
    <mergeCell ref="C44:D44"/>
    <mergeCell ref="AG35:AG40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C48:D48"/>
    <mergeCell ref="AA48:AB48"/>
    <mergeCell ref="C49:D49"/>
    <mergeCell ref="AA49:AB49"/>
    <mergeCell ref="C50:D50"/>
    <mergeCell ref="AA50:AB50"/>
    <mergeCell ref="AA44:AB44"/>
    <mergeCell ref="C45:D45"/>
    <mergeCell ref="A35:A40"/>
    <mergeCell ref="C35:D35"/>
    <mergeCell ref="R35:R40"/>
    <mergeCell ref="AA35:AB35"/>
    <mergeCell ref="AA40:AB40"/>
    <mergeCell ref="A29:A34"/>
    <mergeCell ref="C29:D29"/>
    <mergeCell ref="R29:R34"/>
    <mergeCell ref="AA29:AB29"/>
    <mergeCell ref="AG29:AG34"/>
    <mergeCell ref="C30:D30"/>
    <mergeCell ref="AA30:AB30"/>
    <mergeCell ref="C31:D31"/>
    <mergeCell ref="AA31:AB31"/>
    <mergeCell ref="C32:D32"/>
    <mergeCell ref="AA25:AB25"/>
    <mergeCell ref="C26:D26"/>
    <mergeCell ref="AA26:AB26"/>
    <mergeCell ref="C27:D27"/>
    <mergeCell ref="AA27:AB27"/>
    <mergeCell ref="C28:D28"/>
    <mergeCell ref="AA28:AB28"/>
    <mergeCell ref="AA32:AB32"/>
    <mergeCell ref="C33:D33"/>
    <mergeCell ref="AA33:AB33"/>
    <mergeCell ref="C34:D34"/>
    <mergeCell ref="AA34:AB34"/>
    <mergeCell ref="A22:A28"/>
    <mergeCell ref="C22:D22"/>
    <mergeCell ref="R22:R28"/>
    <mergeCell ref="AA22:AB22"/>
    <mergeCell ref="AG22:AG28"/>
    <mergeCell ref="C23:D23"/>
    <mergeCell ref="AA23:AB23"/>
    <mergeCell ref="C24:D24"/>
    <mergeCell ref="AA24:AB24"/>
    <mergeCell ref="C25:D25"/>
    <mergeCell ref="AG11:AG13"/>
    <mergeCell ref="C12:D12"/>
    <mergeCell ref="AA12:AB12"/>
    <mergeCell ref="C13:D13"/>
    <mergeCell ref="AA13:AB13"/>
    <mergeCell ref="A14:A21"/>
    <mergeCell ref="C14:D14"/>
    <mergeCell ref="R14:R21"/>
    <mergeCell ref="AA14:AB14"/>
    <mergeCell ref="AG14:AG21"/>
    <mergeCell ref="C18:D18"/>
    <mergeCell ref="AA18:AB18"/>
    <mergeCell ref="C19:D19"/>
    <mergeCell ref="AA19:AB19"/>
    <mergeCell ref="AA20:AB20"/>
    <mergeCell ref="C21:D21"/>
    <mergeCell ref="AA21:AB21"/>
    <mergeCell ref="C15:D15"/>
    <mergeCell ref="AA15:AB15"/>
    <mergeCell ref="C16:D16"/>
    <mergeCell ref="AA16:AB16"/>
    <mergeCell ref="C17:D17"/>
    <mergeCell ref="AA17:AB17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5">
    <cfRule type="cellIs" dxfId="208" priority="1" operator="greaterThan">
      <formula>0</formula>
    </cfRule>
  </conditionalFormatting>
  <conditionalFormatting sqref="P5:P75">
    <cfRule type="cellIs" dxfId="207" priority="4" operator="lessThan">
      <formula>0</formula>
    </cfRule>
  </conditionalFormatting>
  <conditionalFormatting sqref="Q5:Q75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R5:R11 AG5:AG11">
    <cfRule type="cellIs" dxfId="204" priority="92" operator="lessThan">
      <formula>0.8</formula>
    </cfRule>
  </conditionalFormatting>
  <conditionalFormatting sqref="AE5:AE75">
    <cfRule type="cellIs" dxfId="203" priority="22" operator="lessThan">
      <formula>0</formula>
    </cfRule>
  </conditionalFormatting>
  <conditionalFormatting sqref="AF5:AF75">
    <cfRule type="cellIs" dxfId="202" priority="21" operator="lessThan">
      <formula>0.8</formula>
    </cfRule>
    <cfRule type="cellIs" dxfId="201" priority="20" operator="greaterThan">
      <formula>1</formula>
    </cfRule>
  </conditionalFormatting>
  <conditionalFormatting sqref="AG14:AG67 R14:R75">
    <cfRule type="cellIs" dxfId="200" priority="5" operator="lessThan">
      <formula>0.8</formula>
    </cfRule>
  </conditionalFormatting>
  <dataValidations count="1">
    <dataValidation type="list" allowBlank="1" showInputMessage="1" showErrorMessage="1" sqref="AB10 AA5:AB9 AB68 AA10:AA68 AB12:AB64 AA69:AB75" xr:uid="{00000000-0002-0000-0F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Q32"/>
  <sheetViews>
    <sheetView zoomScale="85" zoomScaleNormal="85" workbookViewId="0">
      <selection activeCell="G9" sqref="G9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1753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1754</v>
      </c>
      <c r="C3" s="153" t="str">
        <f>TEXT('0220 4度C'!A2,"yyyy.mm.ddaaaa")</f>
        <v>2026.02.20星期五</v>
      </c>
      <c r="D3" s="154"/>
      <c r="E3" s="47" t="s">
        <v>1755</v>
      </c>
      <c r="F3" s="155">
        <f>'0220 4度C'!D1</f>
        <v>126799</v>
      </c>
      <c r="G3" s="156"/>
      <c r="H3" s="47" t="s">
        <v>1756</v>
      </c>
      <c r="I3" s="157">
        <f>'0220 4度C'!F1</f>
        <v>4461096.9700000007</v>
      </c>
      <c r="J3" s="158"/>
      <c r="K3" s="48"/>
      <c r="L3" s="49"/>
      <c r="M3" s="49"/>
      <c r="N3" s="49"/>
    </row>
    <row r="4" spans="2:17" ht="28.5" customHeight="1">
      <c r="B4" s="159" t="s">
        <v>1757</v>
      </c>
      <c r="C4" s="145" t="s">
        <v>1758</v>
      </c>
      <c r="D4" s="146"/>
      <c r="E4" s="162" t="s">
        <v>1759</v>
      </c>
      <c r="F4" s="163"/>
      <c r="G4" s="162" t="s">
        <v>1760</v>
      </c>
      <c r="H4" s="163"/>
      <c r="I4" s="162" t="s">
        <v>1761</v>
      </c>
      <c r="J4" s="163"/>
      <c r="K4" s="143" t="s">
        <v>1762</v>
      </c>
      <c r="L4" s="144"/>
      <c r="M4" s="144" t="s">
        <v>1763</v>
      </c>
      <c r="N4" s="144"/>
    </row>
    <row r="5" spans="2:17" ht="28.5" customHeight="1">
      <c r="B5" s="160"/>
      <c r="C5" s="145" t="s">
        <v>1764</v>
      </c>
      <c r="D5" s="146"/>
      <c r="E5" s="145" t="s">
        <v>1765</v>
      </c>
      <c r="F5" s="146"/>
      <c r="G5" s="147" t="s">
        <v>1766</v>
      </c>
      <c r="H5" s="148"/>
      <c r="I5" s="149" t="s">
        <v>1767</v>
      </c>
      <c r="J5" s="150"/>
      <c r="K5" s="50" t="s">
        <v>1768</v>
      </c>
      <c r="L5" s="51" t="s">
        <v>1769</v>
      </c>
      <c r="M5" s="50" t="s">
        <v>1768</v>
      </c>
      <c r="N5" s="51" t="s">
        <v>1770</v>
      </c>
    </row>
    <row r="6" spans="2:17" ht="28.5" customHeight="1">
      <c r="B6" s="160"/>
      <c r="C6" s="145" t="s">
        <v>158</v>
      </c>
      <c r="D6" s="146"/>
      <c r="E6" s="137">
        <f>AVERAGE(D13:M13)</f>
        <v>143.94415278012698</v>
      </c>
      <c r="F6" s="138">
        <f>AVERAGE(D31:O31,D13:J13)</f>
        <v>147.08528160934353</v>
      </c>
      <c r="G6" s="139">
        <f>AVERAGE(D13:J13)</f>
        <v>147.08528160934353</v>
      </c>
      <c r="H6" s="140"/>
      <c r="I6" s="139">
        <f>AVERAGE(K13:M13)</f>
        <v>136.61485217862165</v>
      </c>
      <c r="J6" s="140"/>
      <c r="K6" s="141">
        <f>'0220 4度C'!Y2</f>
        <v>0</v>
      </c>
      <c r="L6" s="126">
        <f>'0220 4度C'!Z2</f>
        <v>0</v>
      </c>
      <c r="M6" s="142">
        <f>'0220 4度C'!AC2</f>
        <v>60</v>
      </c>
      <c r="N6" s="126">
        <f>'0220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137.8376928974416</v>
      </c>
      <c r="F7" s="130">
        <f>AVERAGE(D32:O32,D14:J14)</f>
        <v>140.88799101010693</v>
      </c>
      <c r="G7" s="131">
        <f>AVERAGE(D14:J14)</f>
        <v>140.88799101010693</v>
      </c>
      <c r="H7" s="132"/>
      <c r="I7" s="131">
        <f>AVERAGE(K14:M14)</f>
        <v>130.72033063455575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0.95738108611282957</v>
      </c>
      <c r="F8" s="134">
        <f>AVERAGE(D15:J15,D33:O33)</f>
        <v>0.9576369105965693</v>
      </c>
      <c r="G8" s="135">
        <f>AVERAGE(D15:J15)</f>
        <v>0.9576369105965693</v>
      </c>
      <c r="H8" s="136"/>
      <c r="I8" s="135">
        <f>AVERAGE(K15:M15)</f>
        <v>0.95678416231743701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1771</v>
      </c>
      <c r="N9" s="49"/>
      <c r="O9" s="49"/>
      <c r="P9" s="49"/>
      <c r="Q9" s="49"/>
    </row>
    <row r="10" spans="2:17" ht="30" customHeight="1">
      <c r="B10" s="109" t="s">
        <v>1772</v>
      </c>
      <c r="C10" s="110"/>
      <c r="D10" s="111" t="s">
        <v>1773</v>
      </c>
      <c r="E10" s="112"/>
      <c r="F10" s="112"/>
      <c r="G10" s="112"/>
      <c r="H10" s="112"/>
      <c r="I10" s="112"/>
      <c r="J10" s="113"/>
      <c r="K10" s="114" t="s">
        <v>1774</v>
      </c>
      <c r="L10" s="115"/>
      <c r="M10" s="116"/>
      <c r="P10" s="55"/>
      <c r="Q10" s="55"/>
    </row>
    <row r="11" spans="2:17" ht="17.25" customHeight="1">
      <c r="B11" s="117" t="s">
        <v>1775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321</v>
      </c>
      <c r="C13" s="62" t="s">
        <v>1776</v>
      </c>
      <c r="D13" s="63">
        <f>SUMIFS('0220 4度C'!$K:$K,'0220 4度C'!$A:$A,"新豐6線",'0220 4度C'!$B:$B,"平均")</f>
        <v>113.63636363636363</v>
      </c>
      <c r="E13" s="64">
        <f>SUMIFS('0220 4度C'!$K:$K,'0220 4度C'!$A:$A,"新豐2線",'0220 4度C'!$B:$B,"平均")</f>
        <v>83.333333333333329</v>
      </c>
      <c r="F13" s="65">
        <f>SUMIFS('0220 4度C'!$K:$K,'0220 4度C'!$A:$A,"新豐5線",'0220 4度C'!$B:$B,"平均")</f>
        <v>103.77358490566037</v>
      </c>
      <c r="G13" s="65">
        <f>SUMIFS('0220 4度C'!$K:$K,'0220 4度C'!$A:$A,"新豐7線",'0220 4度C'!$B:$B,"平均")</f>
        <v>129.2134831460674</v>
      </c>
      <c r="H13" s="65">
        <f>SUMIFS('0220 4度C'!$K:$K,'0220 4度C'!$A:$A,"新豐3線",'0220 4度C'!$B:$B,"平均")</f>
        <v>305.55555555555554</v>
      </c>
      <c r="I13" s="65">
        <f>SUMIFS('0220 4度C'!$K:$K,'0220 4度C'!$A:$A,"新豐1線",'0220 4度C'!$B:$B,"平均")</f>
        <v>105.4054054054054</v>
      </c>
      <c r="J13" s="66">
        <f>SUMIFS('0220 4度C'!$K:$K,'0220 4度C'!$A:$A,"新豐10線",'0220 4度C'!$B:$B,"平均")</f>
        <v>188.67924528301887</v>
      </c>
      <c r="K13" s="67">
        <f>SUMIFS('0220 4度C'!$K:$K,'0220 4度C'!$A:$A,"新豐8線",'0220 4度C'!$B:$B,"平均")</f>
        <v>130.43478260869566</v>
      </c>
      <c r="L13" s="68">
        <f>SUMIFS('0220 4度C'!$K:$K,'0220 4度C'!$A:$A,"新豐9線",'0220 4度C'!$B:$B,"平均")</f>
        <v>134.83146067415728</v>
      </c>
      <c r="M13" s="66">
        <f>SUMIFS('0220 4度C'!$K:$K,'0220 4度C'!$A:$A,"新豐4線",'0220 4度C'!$B:$B,"平均")</f>
        <v>144.57831325301203</v>
      </c>
    </row>
    <row r="14" spans="2:17" ht="39.6" customHeight="1">
      <c r="B14" s="122"/>
      <c r="C14" s="69" t="s">
        <v>1777</v>
      </c>
      <c r="D14" s="70">
        <f>SUMIFS('0220 4度C'!$N:$N,'0220 4度C'!$A:$A,"新豐6線",'0220 4度C'!$B:$B,"平均")</f>
        <v>110.28762832008765</v>
      </c>
      <c r="E14" s="71">
        <f>SUMIFS('0220 4度C'!$N:$N,'0220 4度C'!$A:$A,"新豐2線",'0220 4度C'!$B:$B,"平均")</f>
        <v>79.511784511784526</v>
      </c>
      <c r="F14" s="71">
        <f>SUMIFS('0220 4度C'!$N:$N,'0220 4度C'!$A:$A,"新豐5線",'0220 4度C'!$B:$B,"平均")</f>
        <v>100.21701873500247</v>
      </c>
      <c r="G14" s="71">
        <f>SUMIFS('0220 4度C'!$N:$N,'0220 4度C'!$A:$A,"新豐7線",'0220 4度C'!$B:$B,"平均")</f>
        <v>124.13678279314263</v>
      </c>
      <c r="H14" s="71">
        <f>SUMIFS('0220 4度C'!$N:$N,'0220 4度C'!$A:$A,"新豐3線",'0220 4度C'!$B:$B,"平均")</f>
        <v>292.98189510535843</v>
      </c>
      <c r="I14" s="71">
        <f>SUMIFS('0220 4度C'!$N:$N,'0220 4度C'!$A:$A,"新豐1線",'0220 4度C'!$B:$B,"平均")</f>
        <v>98.9614174358355</v>
      </c>
      <c r="J14" s="72">
        <f>SUMIFS('0220 4度C'!$N:$N,'0220 4度C'!$A:$A,"新豐10線",'0220 4度C'!$B:$B,"平均")</f>
        <v>180.11941016953725</v>
      </c>
      <c r="K14" s="73">
        <f>SUMIFS('0220 4度C'!$N:$N,'0220 4度C'!$A:$A,"新豐8線",'0220 4度C'!$B:$B,"平均")</f>
        <v>124.78378147210584</v>
      </c>
      <c r="L14" s="74">
        <f>SUMIFS('0220 4度C'!$N:$N,'0220 4度C'!$A:$A,"新豐9線",'0220 4度C'!$B:$B,"平均")</f>
        <v>128.63558036239851</v>
      </c>
      <c r="M14" s="72">
        <f>SUMIFS('0220 4度C'!$N:$N,'0220 4度C'!$A:$A,"新豐4線",'0220 4度C'!$B:$B,"平均")</f>
        <v>138.74163006916291</v>
      </c>
    </row>
    <row r="15" spans="2:17" ht="40.15" customHeight="1">
      <c r="B15" s="123"/>
      <c r="C15" s="75" t="s">
        <v>1778</v>
      </c>
      <c r="D15" s="76">
        <f t="shared" ref="D15:M15" si="0">D14/D13</f>
        <v>0.97053112921677143</v>
      </c>
      <c r="E15" s="77">
        <f t="shared" si="0"/>
        <v>0.9541414141414144</v>
      </c>
      <c r="F15" s="77">
        <f t="shared" si="0"/>
        <v>0.96572763508275117</v>
      </c>
      <c r="G15" s="77">
        <f t="shared" si="0"/>
        <v>0.96071075379040827</v>
      </c>
      <c r="H15" s="77">
        <f t="shared" si="0"/>
        <v>0.95884983852662764</v>
      </c>
      <c r="I15" s="77">
        <f t="shared" si="0"/>
        <v>0.93886472951946498</v>
      </c>
      <c r="J15" s="78">
        <f t="shared" si="0"/>
        <v>0.95463287389854734</v>
      </c>
      <c r="K15" s="76">
        <f t="shared" si="0"/>
        <v>0.9566756579528114</v>
      </c>
      <c r="L15" s="77">
        <f t="shared" si="0"/>
        <v>0.95404722102112249</v>
      </c>
      <c r="M15" s="78">
        <f t="shared" si="0"/>
        <v>0.95962960797837693</v>
      </c>
    </row>
    <row r="16" spans="2:17" ht="17.25" customHeight="1">
      <c r="B16" s="124" t="s">
        <v>1779</v>
      </c>
      <c r="C16" s="79" t="s">
        <v>1780</v>
      </c>
      <c r="D16" s="80">
        <f>VLOOKUP("新豐6線",'0220 4度C'!$A:$T,19,0)</f>
        <v>0.70833333333333337</v>
      </c>
      <c r="E16" s="81">
        <f>VLOOKUP("新豐2線",'0220 4度C'!$A:$T,19,0)</f>
        <v>0.20833333333333334</v>
      </c>
      <c r="F16" s="81">
        <f>VLOOKUP("新豐5線",'0220 4度C'!$A:$T,19,0)</f>
        <v>0.20833333333333334</v>
      </c>
      <c r="G16" s="81">
        <f>VLOOKUP("新豐7線",'0220 4度C'!$A:$T,19,0)</f>
        <v>0.20833333333333334</v>
      </c>
      <c r="H16" s="81">
        <f>VLOOKUP("新豐3線",'0220 4度C'!$A:$T,19,0)</f>
        <v>0.20833333333333334</v>
      </c>
      <c r="I16" s="81">
        <f>VLOOKUP("新豐1線",'0220 4度C'!$A:$T,19,0)</f>
        <v>0.20833333333333334</v>
      </c>
      <c r="J16" s="82">
        <f>VLOOKUP("新豐10線",'0220 4度C'!$A:$T,19,0)</f>
        <v>0.20833333333333334</v>
      </c>
      <c r="K16" s="83">
        <f>VLOOKUP("新豐8線",'0220 4度C'!$A:$T,19,0)</f>
        <v>0.125</v>
      </c>
      <c r="L16" s="84">
        <f>VLOOKUP("新豐9線",'0220 4度C'!$A:$T,19,0)</f>
        <v>0.125</v>
      </c>
      <c r="M16" s="85">
        <f>VLOOKUP("新豐4線",'0220 4度C'!$A:$T,19,0)</f>
        <v>0.125</v>
      </c>
    </row>
    <row r="17" spans="2:13" ht="17.25" customHeight="1">
      <c r="B17" s="125"/>
      <c r="C17" s="79" t="s">
        <v>1781</v>
      </c>
      <c r="D17" s="83">
        <f>LOOKUP(2,1/(('0220 4度C'!$A:$A="新豐6線")*('0220 4度C'!$T:$T&lt;&gt;"")),'0220 4度C'!$T:$T)</f>
        <v>0.84652777777777766</v>
      </c>
      <c r="E17" s="81">
        <f>LOOKUP(2,1/(('0220 4度C'!$A:$A="新豐2線")*('0220 4度C'!$T:$T&lt;&gt;"")),'0220 4度C'!$T:$T)</f>
        <v>0.36874999999999997</v>
      </c>
      <c r="F17" s="81">
        <f>LOOKUP(2,1/(('0220 4度C'!$A:$A="新豐5線")*('0220 4度C'!$T:$T&lt;&gt;"")),'0220 4度C'!$T:$T)</f>
        <v>0.85069444444444453</v>
      </c>
      <c r="G17" s="81">
        <f>LOOKUP(2,1/(('0220 4度C'!$A:$A="新豐7線")*('0220 4度C'!$T:$T&lt;&gt;"")),'0220 4度C'!$T:$T)</f>
        <v>0.92291666666666661</v>
      </c>
      <c r="H17" s="81">
        <f>LOOKUP(2,1/(('0220 4度C'!$A:$A="新豐3線")*('0220 4度C'!$T:$T&lt;&gt;"")),'0220 4度C'!$T:$T)</f>
        <v>0.67847222222222203</v>
      </c>
      <c r="I17" s="81">
        <f>LOOKUP(2,1/(('0220 4度C'!$A:$A="新豐1線")*('0220 4度C'!$T:$T&lt;&gt;"")),'0220 4度C'!$T:$T)</f>
        <v>0.90694444444444444</v>
      </c>
      <c r="J17" s="82">
        <f>LOOKUP(2,1/(('0220 4度C'!$A:$A="新豐10線")*('0220 4度C'!$T:$T&lt;&gt;"")),'0220 4度C'!$T:$T)</f>
        <v>0.3652777777777777</v>
      </c>
      <c r="K17" s="80">
        <f>LOOKUP(2,1/(('0220 4度C'!$A:$A="新豐8線")*('0220 4度C'!$T:$T&lt;&gt;"")),'0220 4度C'!$T:$T)</f>
        <v>0.46874999999999994</v>
      </c>
      <c r="L17" s="81">
        <f>LOOKUP(2,1/(('0220 4度C'!$A:$A="新豐9線")*('0220 4度C'!$T:$T&lt;&gt;"")),'0220 4度C'!$T:$T)</f>
        <v>0.46180555555555552</v>
      </c>
      <c r="M17" s="82">
        <f>LOOKUP(2,1/(('0220 4度C'!$A:$A="新豐4線")*('0220 4度C'!$T:$T&lt;&gt;"")),'0220 4度C'!$T:$T)</f>
        <v>0.45763888888888893</v>
      </c>
    </row>
    <row r="18" spans="2:13" ht="17.25" customHeight="1">
      <c r="B18" s="103" t="s">
        <v>1782</v>
      </c>
      <c r="C18" s="86" t="s">
        <v>1783</v>
      </c>
      <c r="D18" s="87">
        <f>SUMIFS('0220 4度C'!$Y:$Y,'0220 4度C'!$A:$A,"新豐6線",'0220 4度C'!$B:$B,"平均")</f>
        <v>0</v>
      </c>
      <c r="E18" s="88">
        <f>SUMIFS('0220 4度C'!$Y:$Y,'0220 4度C'!$A:$A,"新豐2線",'0220 4度C'!$B:$B,"平均")</f>
        <v>0</v>
      </c>
      <c r="F18" s="88">
        <f>SUMIFS('0220 4度C'!$Y:$Y,'0220 4度C'!$A:$A,"新豐5線",'0220 4度C'!$B:$B,"平均")</f>
        <v>0</v>
      </c>
      <c r="G18" s="88">
        <f>SUMIFS('0220 4度C'!$Y:$Y,'0220 4度C'!$A:$A,"新豐7線",'0220 4度C'!$B:$B,"平均")</f>
        <v>0</v>
      </c>
      <c r="H18" s="88">
        <f>SUMIFS('0220 4度C'!$Y:$Y,'0220 4度C'!$A:$A,"新豐3線",'0220 4度C'!$B:$B,"平均")</f>
        <v>0</v>
      </c>
      <c r="I18" s="88">
        <f>SUMIFS('0220 4度C'!$Y:$Y,'0220 4度C'!$A:$A,"新豐1線",'0220 4度C'!$B:$B,"平均")</f>
        <v>0</v>
      </c>
      <c r="J18" s="89">
        <f>SUMIFS('0220 4度C'!$Y:$Y,'0220 4度C'!$A:$A,"新豐10線",'0220 4度C'!$B:$B,"平均")</f>
        <v>0</v>
      </c>
      <c r="K18" s="90">
        <f>SUMIFS('0220 4度C'!$Y:$Y,'0220 4度C'!$A:$A,"新豐8線",'0220 4度C'!$B:$B,"平均")</f>
        <v>0</v>
      </c>
      <c r="L18" s="88">
        <f>SUMIFS('0220 4度C'!$Y:$Y,'0220 4度C'!$A:$A,"新豐9線",'0220 4度C'!$B:$B,"平均")</f>
        <v>0</v>
      </c>
      <c r="M18" s="89">
        <f>SUMIFS('0220 4度C'!$Y:$Y,'0220 4度C'!$A:$A,"新豐4線",'0220 4度C'!$B:$B,"平均")</f>
        <v>0</v>
      </c>
    </row>
    <row r="19" spans="2:13" ht="17.25" customHeight="1">
      <c r="B19" s="104"/>
      <c r="C19" s="86" t="s">
        <v>185</v>
      </c>
      <c r="D19" s="87">
        <f>SUMIFS('0220 4度C'!$Z:$Z,'0220 4度C'!$A:$A,"新豐6線",'0220 4度C'!$B:$B,"平均")</f>
        <v>0</v>
      </c>
      <c r="E19" s="88">
        <f>SUMIFS('0220 4度C'!$Z:$Z,'0220 4度C'!$A:$A,"新豐2線",'0220 4度C'!$B:$B,"平均")</f>
        <v>0</v>
      </c>
      <c r="F19" s="88">
        <f>SUMIFS('0220 4度C'!$Z:$Z,'0220 4度C'!$A:$A,"新豐5線",'0220 4度C'!$B:$B,"平均")</f>
        <v>0</v>
      </c>
      <c r="G19" s="88">
        <f>SUMIFS('0220 4度C'!$Z:$Z,'0220 4度C'!$A:$A,"新豐7線",'0220 4度C'!$B:$B,"平均")</f>
        <v>0</v>
      </c>
      <c r="H19" s="88">
        <f>SUMIFS('0220 4度C'!$Z:$Z,'0220 4度C'!$A:$A,"新豐3線",'0220 4度C'!$B:$B,"平均")</f>
        <v>0</v>
      </c>
      <c r="I19" s="88">
        <f>SUMIFS('0220 4度C'!$Z:$Z,'0220 4度C'!$A:$A,"新豐1線",'0220 4度C'!$B:$B,"平均")</f>
        <v>0</v>
      </c>
      <c r="J19" s="89">
        <f>SUMIFS('0220 4度C'!$Z:$Z,'0220 4度C'!$A:$A,"新豐10線",'0220 4度C'!$B:$B,"平均")</f>
        <v>0</v>
      </c>
      <c r="K19" s="90">
        <f>SUMIFS('0220 4度C'!$Z:$Z,'0220 4度C'!$A:$A,"新豐8線",'0220 4度C'!$B:$B,"平均")</f>
        <v>0</v>
      </c>
      <c r="L19" s="88">
        <f>SUMIFS('0220 4度C'!$Z:$Z,'0220 4度C'!$A:$A,"新豐9線",'0220 4度C'!$B:$B,"平均")</f>
        <v>0</v>
      </c>
      <c r="M19" s="89">
        <f>SUMIFS('0220 4度C'!$Z:$Z,'0220 4度C'!$A:$A,"新豐4線",'0220 4度C'!$B:$B,"平均")</f>
        <v>0</v>
      </c>
    </row>
    <row r="20" spans="2:13" ht="17.25" customHeight="1">
      <c r="B20" s="103" t="s">
        <v>1784</v>
      </c>
      <c r="C20" s="86" t="s">
        <v>1783</v>
      </c>
      <c r="D20" s="87">
        <f>SUMIFS('0220 4度C'!$AC:$AC,'0220 4度C'!$A:$A,"新豐6線",'0220 4度C'!$B:$B,"平均")</f>
        <v>5</v>
      </c>
      <c r="E20" s="88">
        <f>SUMIFS('0220 4度C'!$AC:$AC,'0220 4度C'!$A:$A,"新豐2線",'0220 4度C'!$B:$B,"平均")</f>
        <v>2</v>
      </c>
      <c r="F20" s="88">
        <f>SUMIFS('0220 4度C'!$AC:$AC,'0220 4度C'!$A:$A,"新豐5線",'0220 4度C'!$B:$B,"平均")</f>
        <v>6</v>
      </c>
      <c r="G20" s="88">
        <f>SUMIFS('0220 4度C'!$AC:$AC,'0220 4度C'!$A:$A,"新豐7線",'0220 4度C'!$B:$B,"平均")</f>
        <v>6</v>
      </c>
      <c r="H20" s="88">
        <f>SUMIFS('0220 4度C'!$AC:$AC,'0220 4度C'!$A:$A,"新豐3線",'0220 4度C'!$B:$B,"平均")</f>
        <v>11</v>
      </c>
      <c r="I20" s="88">
        <f>SUMIFS('0220 4度C'!$AC:$AC,'0220 4度C'!$A:$A,"新豐1線",'0220 4度C'!$B:$B,"平均")</f>
        <v>10</v>
      </c>
      <c r="J20" s="89">
        <f>SUMIFS('0220 4度C'!$AC:$AC,'0220 4度C'!$A:$A,"新豐10線",'0220 4度C'!$B:$B,"平均")</f>
        <v>5</v>
      </c>
      <c r="K20" s="90">
        <f>SUMIFS('0220 4度C'!$AC:$AC,'0220 4度C'!$A:$A,"新豐8線",'0220 4度C'!$B:$B,"平均")</f>
        <v>5</v>
      </c>
      <c r="L20" s="88">
        <f>SUMIFS('0220 4度C'!$AC:$AC,'0220 4度C'!$A:$A,"新豐9線",'0220 4度C'!$B:$B,"平均")</f>
        <v>5</v>
      </c>
      <c r="M20" s="89">
        <f>SUMIFS('0220 4度C'!$AC:$AC,'0220 4度C'!$A:$A,"新豐4線",'0220 4度C'!$B:$B,"平均")</f>
        <v>5</v>
      </c>
    </row>
    <row r="21" spans="2:13" ht="17.25" customHeight="1">
      <c r="B21" s="104"/>
      <c r="C21" s="86" t="s">
        <v>1785</v>
      </c>
      <c r="D21" s="87">
        <f>SUMIFS('0220 4度C'!$AD:$AD,'0220 4度C'!$A:$A,"新豐6線",'0220 4度C'!$B:$B,"平均")</f>
        <v>0</v>
      </c>
      <c r="E21" s="88">
        <f>SUMIFS('0220 4度C'!$AD:$AD,'0220 4度C'!$A:$A,"新豐2線",'0220 4度C'!$B:$B,"平均")</f>
        <v>0</v>
      </c>
      <c r="F21" s="88">
        <f>SUMIFS('0220 4度C'!$AD:$AD,'0220 4度C'!$A:$A,"新豐5線",'0220 4度C'!$B:$B,"平均")</f>
        <v>0</v>
      </c>
      <c r="G21" s="88">
        <f>SUMIFS('0220 4度C'!$AD:$AD,'0220 4度C'!$A:$A,"新豐7線",'0220 4度C'!$B:$B,"平均")</f>
        <v>0</v>
      </c>
      <c r="H21" s="88">
        <f>SUMIFS('0220 4度C'!$AD:$AD,'0220 4度C'!$A:$A,"新豐3線",'0220 4度C'!$B:$B,"平均")</f>
        <v>0</v>
      </c>
      <c r="I21" s="88">
        <f>SUMIFS('0220 4度C'!$AD:$AD,'0220 4度C'!$A:$A,"新豐1線",'0220 4度C'!$B:$B,"平均")</f>
        <v>0</v>
      </c>
      <c r="J21" s="89">
        <f>SUMIFS('0220 4度C'!$AD:$AD,'0220 4度C'!$A:$A,"新豐10線",'0220 4度C'!$B:$B,"平均")</f>
        <v>0</v>
      </c>
      <c r="K21" s="90">
        <f>SUMIFS('0220 4度C'!$AD:$AD,'0220 4度C'!$A:$A,"新豐8線",'0220 4度C'!$B:$B,"平均")</f>
        <v>0</v>
      </c>
      <c r="L21" s="88">
        <f>SUMIFS('0220 4度C'!$AD:$AD,'0220 4度C'!$A:$A,"新豐9線",'0220 4度C'!$B:$B,"平均")</f>
        <v>0</v>
      </c>
      <c r="M21" s="89">
        <f>SUMIFS('0220 4度C'!$AD:$AD,'0220 4度C'!$A:$A,"新豐4線",'0220 4度C'!$B:$B,"平均")</f>
        <v>0</v>
      </c>
    </row>
    <row r="22" spans="2:13" ht="17.25" customHeight="1">
      <c r="B22" s="105" t="s">
        <v>1786</v>
      </c>
      <c r="C22" s="106"/>
      <c r="D22" s="91">
        <f>SUMIFS('0220 4度C'!$I:$I,'0220 4度C'!$A:$A,"新豐6線",'0220 4度C'!$B:$B,"平均")</f>
        <v>17.600000000000001</v>
      </c>
      <c r="E22" s="92">
        <f>SUMIFS('0220 4度C'!$I:$I,'0220 4度C'!$A:$A,"新豐2線",'0220 4度C'!$B:$B,"平均")</f>
        <v>18</v>
      </c>
      <c r="F22" s="92">
        <f>SUMIFS('0220 4度C'!$I:$I,'0220 4度C'!$A:$A,"新豐5線",'0220 4度C'!$B:$B,"平均")</f>
        <v>17.666666666666668</v>
      </c>
      <c r="G22" s="92">
        <f>SUMIFS('0220 4度C'!$I:$I,'0220 4度C'!$A:$A,"新豐7線",'0220 4度C'!$B:$B,"平均")</f>
        <v>14.833333333333334</v>
      </c>
      <c r="H22" s="92">
        <f>SUMIFS('0220 4度C'!$I:$I,'0220 4度C'!$A:$A,"新豐3線",'0220 4度C'!$B:$B,"平均")</f>
        <v>9.8181818181818183</v>
      </c>
      <c r="I22" s="92">
        <f>SUMIFS('0220 4度C'!$I:$I,'0220 4度C'!$A:$A,"新豐1線",'0220 4度C'!$B:$B,"平均")</f>
        <v>18.5</v>
      </c>
      <c r="J22" s="93">
        <f>SUMIFS('0220 4度C'!$I:$I,'0220 4度C'!$A:$A,"新豐10線",'0220 4度C'!$B:$B,"平均")</f>
        <v>10.6</v>
      </c>
      <c r="K22" s="91">
        <f>SUMIFS('0220 4度C'!$I:$I,'0220 4度C'!$A:$A,"新豐8線",'0220 4度C'!$B:$B,"平均")</f>
        <v>18.399999999999999</v>
      </c>
      <c r="L22" s="92">
        <f>SUMIFS('0220 4度C'!$I:$I,'0220 4度C'!$A:$A,"新豐9線",'0220 4度C'!$B:$B,"平均")</f>
        <v>17.8</v>
      </c>
      <c r="M22" s="93">
        <f>SUMIFS('0220 4度C'!$I:$I,'0220 4度C'!$A:$A,"新豐4線",'0220 4度C'!$B:$B,"平均")</f>
        <v>16.600000000000001</v>
      </c>
    </row>
    <row r="23" spans="2:13" ht="17.25" customHeight="1">
      <c r="B23" s="105" t="s">
        <v>1787</v>
      </c>
      <c r="C23" s="106"/>
      <c r="D23" s="94" t="s">
        <v>191</v>
      </c>
      <c r="E23" s="95" t="s">
        <v>192</v>
      </c>
      <c r="F23" s="95" t="s">
        <v>1788</v>
      </c>
      <c r="G23" s="95" t="s">
        <v>1788</v>
      </c>
      <c r="H23" s="95" t="s">
        <v>194</v>
      </c>
      <c r="I23" s="95" t="s">
        <v>191</v>
      </c>
      <c r="J23" s="96" t="s">
        <v>194</v>
      </c>
      <c r="K23" s="94" t="s">
        <v>1789</v>
      </c>
      <c r="L23" s="95" t="s">
        <v>1789</v>
      </c>
      <c r="M23" s="96" t="s">
        <v>1789</v>
      </c>
    </row>
    <row r="24" spans="2:13" ht="17.25" customHeight="1">
      <c r="B24" s="105" t="s">
        <v>1790</v>
      </c>
      <c r="C24" s="106"/>
      <c r="D24" s="94"/>
      <c r="E24" s="95"/>
      <c r="F24" s="95" t="s">
        <v>531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532</v>
      </c>
      <c r="C25" s="108"/>
      <c r="D25" s="97"/>
      <c r="E25" s="98" t="s">
        <v>1791</v>
      </c>
      <c r="F25" s="101" t="s">
        <v>1792</v>
      </c>
      <c r="G25" s="102"/>
      <c r="H25" s="98" t="s">
        <v>1793</v>
      </c>
      <c r="I25" s="98" t="s">
        <v>1794</v>
      </c>
      <c r="J25" s="99" t="s">
        <v>1795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9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3">
    <pageSetUpPr fitToPage="1"/>
  </sheetPr>
  <dimension ref="A1:AG75"/>
  <sheetViews>
    <sheetView zoomScale="80" zoomScaleNormal="80" workbookViewId="0">
      <pane ySplit="4" topLeftCell="A5" activePane="bottomLeft" state="frozen"/>
      <selection activeCell="G9" sqref="G9"/>
      <selection pane="bottomLeft" activeCell="G9" sqref="G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1796</v>
      </c>
      <c r="B1" s="1"/>
      <c r="C1" s="2" t="s">
        <v>1797</v>
      </c>
      <c r="D1" s="3">
        <f>SUM(F5:F74)</f>
        <v>126799</v>
      </c>
      <c r="E1" s="4" t="s">
        <v>1798</v>
      </c>
      <c r="F1" s="1">
        <f>SUM(G5:G74)</f>
        <v>4461096.9700000007</v>
      </c>
      <c r="G1" s="1" t="s">
        <v>1799</v>
      </c>
      <c r="H1" s="5">
        <f>L10+L13+L51+L62+L20+L68+L33+L39+L27+L74</f>
        <v>159.81818181818184</v>
      </c>
      <c r="I1" s="214" t="s">
        <v>1800</v>
      </c>
      <c r="J1" s="214"/>
      <c r="K1" s="214"/>
      <c r="L1" s="214" t="s">
        <v>1801</v>
      </c>
      <c r="M1" s="214"/>
      <c r="N1" s="214"/>
      <c r="O1" s="214" t="s">
        <v>1802</v>
      </c>
      <c r="P1" s="214"/>
      <c r="Q1" s="214"/>
      <c r="R1" s="214"/>
      <c r="S1" s="214" t="s">
        <v>1803</v>
      </c>
      <c r="T1" s="214"/>
      <c r="U1" s="214"/>
      <c r="V1" s="214"/>
      <c r="W1" s="214"/>
      <c r="X1" s="214"/>
      <c r="Y1" s="6" t="s">
        <v>1804</v>
      </c>
      <c r="Z1" s="7" t="s">
        <v>1805</v>
      </c>
      <c r="AA1" s="215" t="s">
        <v>1806</v>
      </c>
      <c r="AB1" s="215"/>
      <c r="AC1" s="8" t="s">
        <v>1804</v>
      </c>
      <c r="AD1" s="7" t="s">
        <v>1807</v>
      </c>
      <c r="AE1" s="214" t="s">
        <v>1808</v>
      </c>
      <c r="AF1" s="216"/>
      <c r="AG1" s="216"/>
    </row>
    <row r="2" spans="1:33" ht="26.25" customHeight="1">
      <c r="A2" s="35">
        <v>46073</v>
      </c>
      <c r="B2" s="36" t="s">
        <v>619</v>
      </c>
      <c r="C2" s="2" t="s">
        <v>1809</v>
      </c>
      <c r="D2" s="10">
        <f>AVERAGE(N10,N13,N51,N62,N20,N68,N27,N33,N39,N74)</f>
        <v>137.8376928974416</v>
      </c>
      <c r="E2" s="11" t="s">
        <v>14</v>
      </c>
      <c r="F2" s="12">
        <f>F1/D1</f>
        <v>35.182430224213128</v>
      </c>
      <c r="G2" s="1" t="s">
        <v>1810</v>
      </c>
      <c r="H2" s="13">
        <f>COUNT(H5:H74)</f>
        <v>6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SUM(Y10+Y13+Y20+Y27+Y33+Y39+Y51+Y62+Y68+Y74)</f>
        <v>0</v>
      </c>
      <c r="Z2" s="14">
        <f>SUM(Z10+Z13+Z20+Z27+Z33+Z39+Z51+Z62+Z68+Z74)</f>
        <v>0</v>
      </c>
      <c r="AA2" s="215"/>
      <c r="AB2" s="215"/>
      <c r="AC2" s="14">
        <f>SUM(AC10+AC13+AC20+AC27+AC33+AC39+AC51+AC62+AC68+AC74)</f>
        <v>60</v>
      </c>
      <c r="AD2" s="14">
        <f>SUM(AD10+AD13+AD20+AD27+AD33+AD39+AD51+AD62+AD68+AD74)</f>
        <v>0</v>
      </c>
      <c r="AE2" s="216"/>
      <c r="AF2" s="216"/>
      <c r="AG2" s="216"/>
    </row>
    <row r="3" spans="1:33" ht="40.5" customHeight="1">
      <c r="A3" s="164" t="s">
        <v>1811</v>
      </c>
      <c r="B3" s="164" t="s">
        <v>1812</v>
      </c>
      <c r="C3" s="164" t="s">
        <v>1813</v>
      </c>
      <c r="D3" s="164"/>
      <c r="E3" s="212" t="s">
        <v>1814</v>
      </c>
      <c r="F3" s="164" t="s">
        <v>1815</v>
      </c>
      <c r="G3" s="212" t="s">
        <v>1816</v>
      </c>
      <c r="H3" s="206" t="s">
        <v>1817</v>
      </c>
      <c r="I3" s="204" t="s">
        <v>1818</v>
      </c>
      <c r="J3" s="201" t="s">
        <v>1819</v>
      </c>
      <c r="K3" s="211" t="s">
        <v>1809</v>
      </c>
      <c r="L3" s="204" t="s">
        <v>1818</v>
      </c>
      <c r="M3" s="201" t="s">
        <v>1819</v>
      </c>
      <c r="N3" s="211" t="s">
        <v>1809</v>
      </c>
      <c r="O3" s="204" t="s">
        <v>1818</v>
      </c>
      <c r="P3" s="211" t="s">
        <v>1809</v>
      </c>
      <c r="Q3" s="202" t="s">
        <v>1820</v>
      </c>
      <c r="R3" s="182" t="s">
        <v>1821</v>
      </c>
      <c r="S3" s="164" t="s">
        <v>30</v>
      </c>
      <c r="T3" s="164"/>
      <c r="U3" s="206" t="s">
        <v>31</v>
      </c>
      <c r="V3" s="206" t="s">
        <v>1822</v>
      </c>
      <c r="W3" s="164" t="s">
        <v>1823</v>
      </c>
      <c r="X3" s="164"/>
      <c r="Y3" s="207" t="s">
        <v>1824</v>
      </c>
      <c r="Z3" s="168"/>
      <c r="AA3" s="208" t="s">
        <v>1825</v>
      </c>
      <c r="AB3" s="209"/>
      <c r="AC3" s="207" t="s">
        <v>1826</v>
      </c>
      <c r="AD3" s="168"/>
      <c r="AE3" s="201" t="s">
        <v>1819</v>
      </c>
      <c r="AF3" s="202" t="s">
        <v>1820</v>
      </c>
      <c r="AG3" s="182" t="s">
        <v>1821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1827</v>
      </c>
      <c r="X4" s="4" t="s">
        <v>1828</v>
      </c>
      <c r="Y4" s="15" t="s">
        <v>1783</v>
      </c>
      <c r="Z4" s="15" t="s">
        <v>1829</v>
      </c>
      <c r="AA4" s="210"/>
      <c r="AB4" s="209"/>
      <c r="AC4" s="15" t="s">
        <v>1830</v>
      </c>
      <c r="AD4" s="15" t="s">
        <v>1831</v>
      </c>
      <c r="AE4" s="201"/>
      <c r="AF4" s="202"/>
      <c r="AG4" s="182"/>
    </row>
    <row r="5" spans="1:33">
      <c r="A5" s="203" t="s">
        <v>1832</v>
      </c>
      <c r="B5" s="37" t="s">
        <v>78</v>
      </c>
      <c r="C5" s="205" t="s">
        <v>79</v>
      </c>
      <c r="D5" s="205"/>
      <c r="E5" s="37">
        <v>50.67</v>
      </c>
      <c r="F5" s="4">
        <v>1569</v>
      </c>
      <c r="G5" s="4">
        <f t="shared" ref="G5:G9" si="0">E5*F5</f>
        <v>79501.23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9" si="2">F5/V5*60</f>
        <v>1921.224489795919</v>
      </c>
      <c r="N5" s="17">
        <f t="shared" ref="N5:N68" si="3">M5/L5</f>
        <v>113.01320528211288</v>
      </c>
      <c r="O5" s="19">
        <f t="shared" ref="O5:O68" si="4">L5-I5</f>
        <v>0</v>
      </c>
      <c r="P5" s="20">
        <f t="shared" ref="P5:P68" si="5">N5-K5</f>
        <v>-4.6338535414165278</v>
      </c>
      <c r="Q5" s="21">
        <f t="shared" ref="Q5:Q68" si="6">N5/K5</f>
        <v>0.96061224489795949</v>
      </c>
      <c r="R5" s="172">
        <f>Q10</f>
        <v>0.97053112921677143</v>
      </c>
      <c r="S5" s="28">
        <v>0.70833333333333337</v>
      </c>
      <c r="T5" s="28">
        <v>0.74236111111111114</v>
      </c>
      <c r="U5" s="4"/>
      <c r="V5" s="22">
        <f t="shared" ref="V5:V9" si="7">(T5-S5)*24*60</f>
        <v>48.999999999999986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61" si="8">M5-J5</f>
        <v>-78.775510204081002</v>
      </c>
      <c r="AF5" s="21">
        <f t="shared" ref="AF5:AF68" si="9">M5/J5</f>
        <v>0.96061224489795949</v>
      </c>
      <c r="AG5" s="172">
        <f>AF10</f>
        <v>0.97053112921677143</v>
      </c>
    </row>
    <row r="6" spans="1:33">
      <c r="A6" s="204" t="s">
        <v>1832</v>
      </c>
      <c r="B6" s="37" t="s">
        <v>78</v>
      </c>
      <c r="C6" s="205" t="s">
        <v>80</v>
      </c>
      <c r="D6" s="205"/>
      <c r="E6" s="37">
        <v>54.09</v>
      </c>
      <c r="F6" s="4">
        <v>1326</v>
      </c>
      <c r="G6" s="4">
        <f t="shared" si="0"/>
        <v>71723.340000000011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1940.4878048780481</v>
      </c>
      <c r="N6" s="17">
        <f t="shared" si="3"/>
        <v>102.13093709884464</v>
      </c>
      <c r="O6" s="19">
        <f t="shared" si="4"/>
        <v>0</v>
      </c>
      <c r="P6" s="20">
        <f t="shared" si="5"/>
        <v>-3.132220795892195</v>
      </c>
      <c r="Q6" s="21">
        <f t="shared" si="6"/>
        <v>0.97024390243902414</v>
      </c>
      <c r="R6" s="172"/>
      <c r="S6" s="28">
        <v>0.74583333333333335</v>
      </c>
      <c r="T6" s="28">
        <v>0.77430555555555558</v>
      </c>
      <c r="U6" s="4">
        <f t="shared" ref="U6:U9" si="10">IF(S6=TIME(17,0,0),"",(S6-T5)*24*60)</f>
        <v>4.9999999999999822</v>
      </c>
      <c r="V6" s="22">
        <f t="shared" si="7"/>
        <v>41.000000000000014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-59.512195121951891</v>
      </c>
      <c r="AF6" s="21">
        <f t="shared" si="9"/>
        <v>0.97024390243902403</v>
      </c>
      <c r="AG6" s="172"/>
    </row>
    <row r="7" spans="1:33">
      <c r="A7" s="204" t="s">
        <v>1832</v>
      </c>
      <c r="B7" s="37" t="s">
        <v>78</v>
      </c>
      <c r="C7" s="196" t="s">
        <v>81</v>
      </c>
      <c r="D7" s="197"/>
      <c r="E7" s="37">
        <v>50.29</v>
      </c>
      <c r="F7" s="4">
        <v>632</v>
      </c>
      <c r="G7" s="4">
        <f t="shared" si="0"/>
        <v>31783.279999999999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1995.7894736842177</v>
      </c>
      <c r="N7" s="17">
        <f t="shared" si="3"/>
        <v>124.73684210526361</v>
      </c>
      <c r="O7" s="19">
        <f t="shared" si="4"/>
        <v>0</v>
      </c>
      <c r="P7" s="20">
        <f t="shared" si="5"/>
        <v>-0.26315789473639484</v>
      </c>
      <c r="Q7" s="21">
        <f t="shared" si="6"/>
        <v>0.99789473684210883</v>
      </c>
      <c r="R7" s="172"/>
      <c r="S7" s="28">
        <v>0.77847222222222223</v>
      </c>
      <c r="T7" s="28">
        <v>0.79166666666666663</v>
      </c>
      <c r="U7" s="4">
        <f t="shared" si="10"/>
        <v>5.9999999999999787</v>
      </c>
      <c r="V7" s="22">
        <f t="shared" si="7"/>
        <v>18.999999999999932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-4.2105263157823174</v>
      </c>
      <c r="AF7" s="21">
        <f t="shared" si="9"/>
        <v>0.99789473684210883</v>
      </c>
      <c r="AG7" s="172"/>
    </row>
    <row r="8" spans="1:33">
      <c r="A8" s="204" t="s">
        <v>1833</v>
      </c>
      <c r="B8" s="37" t="s">
        <v>78</v>
      </c>
      <c r="C8" s="196" t="s">
        <v>82</v>
      </c>
      <c r="D8" s="197"/>
      <c r="E8" s="37">
        <v>57.3</v>
      </c>
      <c r="F8" s="4">
        <v>1448</v>
      </c>
      <c r="G8" s="4">
        <f t="shared" si="0"/>
        <v>82970.399999999994</v>
      </c>
      <c r="H8" s="22" t="s">
        <v>139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1930.6666666666665</v>
      </c>
      <c r="N8" s="17">
        <f t="shared" si="3"/>
        <v>128.71111111111111</v>
      </c>
      <c r="O8" s="19">
        <f t="shared" si="4"/>
        <v>0</v>
      </c>
      <c r="P8" s="20">
        <f t="shared" si="5"/>
        <v>-4.6222222222222342</v>
      </c>
      <c r="Q8" s="21">
        <f t="shared" si="6"/>
        <v>0.96533333333333327</v>
      </c>
      <c r="R8" s="172"/>
      <c r="S8" s="28">
        <v>0.79513888888888884</v>
      </c>
      <c r="T8" s="28">
        <v>0.82638888888888884</v>
      </c>
      <c r="U8" s="4">
        <f t="shared" si="10"/>
        <v>4.9999999999999822</v>
      </c>
      <c r="V8" s="22">
        <f t="shared" si="7"/>
        <v>45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-69.333333333333485</v>
      </c>
      <c r="AF8" s="21">
        <f t="shared" si="9"/>
        <v>0.96533333333333327</v>
      </c>
      <c r="AG8" s="172"/>
    </row>
    <row r="9" spans="1:33">
      <c r="A9" s="204" t="s">
        <v>1832</v>
      </c>
      <c r="B9" s="37" t="s">
        <v>78</v>
      </c>
      <c r="C9" s="196" t="s">
        <v>83</v>
      </c>
      <c r="D9" s="197"/>
      <c r="E9" s="37">
        <v>50.67</v>
      </c>
      <c r="F9" s="4">
        <v>671</v>
      </c>
      <c r="G9" s="4">
        <f t="shared" si="0"/>
        <v>33999.57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1917.1428571428639</v>
      </c>
      <c r="N9" s="17">
        <f t="shared" si="3"/>
        <v>91.292517006803038</v>
      </c>
      <c r="O9" s="19">
        <f t="shared" si="4"/>
        <v>0</v>
      </c>
      <c r="P9" s="20">
        <f t="shared" si="5"/>
        <v>-3.9455782312922025</v>
      </c>
      <c r="Q9" s="21">
        <f t="shared" si="6"/>
        <v>0.95857142857143185</v>
      </c>
      <c r="R9" s="172"/>
      <c r="S9" s="28">
        <v>0.83194444444444438</v>
      </c>
      <c r="T9" s="28">
        <v>0.84652777777777766</v>
      </c>
      <c r="U9" s="4">
        <f t="shared" si="10"/>
        <v>7.9999999999999716</v>
      </c>
      <c r="V9" s="22">
        <f t="shared" si="7"/>
        <v>20.999999999999925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-82.857142857136068</v>
      </c>
      <c r="AF9" s="21">
        <f t="shared" si="9"/>
        <v>0.95857142857143196</v>
      </c>
      <c r="AG9" s="172"/>
    </row>
    <row r="10" spans="1:33">
      <c r="A10" s="204" t="s">
        <v>1834</v>
      </c>
      <c r="B10" s="37" t="s">
        <v>1835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1"/>
        <v>113.63636363636363</v>
      </c>
      <c r="L10" s="30">
        <v>17.600000000000001</v>
      </c>
      <c r="M10" s="18">
        <f>AVERAGE(M5:M9)</f>
        <v>1941.0622584335429</v>
      </c>
      <c r="N10" s="17">
        <f t="shared" si="3"/>
        <v>110.28762832008765</v>
      </c>
      <c r="O10" s="19">
        <f t="shared" si="4"/>
        <v>0</v>
      </c>
      <c r="P10" s="20">
        <f t="shared" si="5"/>
        <v>-3.3487353162759774</v>
      </c>
      <c r="Q10" s="21">
        <f t="shared" si="6"/>
        <v>0.97053112921677143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f>SUM(AC5:AC9)</f>
        <v>5</v>
      </c>
      <c r="AD10" s="31">
        <f>SUM(AD5:AD9)</f>
        <v>0</v>
      </c>
      <c r="AE10" s="19">
        <f t="shared" si="8"/>
        <v>-58.937741566457134</v>
      </c>
      <c r="AF10" s="21">
        <f t="shared" si="9"/>
        <v>0.97053112921677143</v>
      </c>
      <c r="AG10" s="172"/>
    </row>
    <row r="11" spans="1:33" ht="15.75" customHeight="1">
      <c r="A11" s="200" t="s">
        <v>1836</v>
      </c>
      <c r="B11" s="37" t="s">
        <v>84</v>
      </c>
      <c r="C11" s="196" t="s">
        <v>85</v>
      </c>
      <c r="D11" s="197"/>
      <c r="E11" s="37">
        <v>39.619999999999997</v>
      </c>
      <c r="F11" s="4">
        <v>2096</v>
      </c>
      <c r="G11" s="4">
        <f t="shared" ref="G11:G12" si="11">E11*F11</f>
        <v>83043.51999999999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1429.0909090909097</v>
      </c>
      <c r="N11" s="17">
        <f t="shared" si="3"/>
        <v>75.215311004784724</v>
      </c>
      <c r="O11" s="19">
        <f t="shared" si="4"/>
        <v>0</v>
      </c>
      <c r="P11" s="20">
        <f t="shared" si="5"/>
        <v>-3.7320574162679065</v>
      </c>
      <c r="Q11" s="21">
        <f t="shared" si="6"/>
        <v>0.9527272727272732</v>
      </c>
      <c r="R11" s="172">
        <f>Q13</f>
        <v>0.9541414141414144</v>
      </c>
      <c r="S11" s="28">
        <v>0.20833333333333334</v>
      </c>
      <c r="T11" s="28">
        <v>0.26944444444444443</v>
      </c>
      <c r="U11" s="4"/>
      <c r="V11" s="22">
        <f t="shared" ref="V11:V12" si="13">(T11-S11)*24*60</f>
        <v>87.999999999999972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-70.90909090909031</v>
      </c>
      <c r="AF11" s="21">
        <f t="shared" si="9"/>
        <v>0.95272727272727309</v>
      </c>
      <c r="AG11" s="172">
        <f>AF13</f>
        <v>0.95414141414141429</v>
      </c>
    </row>
    <row r="12" spans="1:33" ht="15.75" customHeight="1">
      <c r="A12" s="200" t="s">
        <v>1837</v>
      </c>
      <c r="B12" s="37" t="s">
        <v>84</v>
      </c>
      <c r="C12" s="196" t="s">
        <v>86</v>
      </c>
      <c r="D12" s="197"/>
      <c r="E12" s="37">
        <v>39.799999999999997</v>
      </c>
      <c r="F12" s="4">
        <v>3225</v>
      </c>
      <c r="G12" s="4">
        <f t="shared" si="11"/>
        <v>128354.99999999999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1433.3333333333333</v>
      </c>
      <c r="N12" s="17">
        <f t="shared" si="3"/>
        <v>84.313725490196077</v>
      </c>
      <c r="O12" s="19">
        <f t="shared" si="4"/>
        <v>0</v>
      </c>
      <c r="P12" s="20">
        <f t="shared" si="5"/>
        <v>-3.9215686274509807</v>
      </c>
      <c r="Q12" s="21">
        <f t="shared" si="6"/>
        <v>0.9555555555555556</v>
      </c>
      <c r="R12" s="172"/>
      <c r="S12" s="28">
        <v>0.27499999999999997</v>
      </c>
      <c r="T12" s="28">
        <v>0.36874999999999997</v>
      </c>
      <c r="U12" s="4">
        <f t="shared" ref="U12" si="14">IF(S12=TIME(17,0,0),"",(S12-T11)*24*60)</f>
        <v>7.9999999999999716</v>
      </c>
      <c r="V12" s="22">
        <f t="shared" si="13"/>
        <v>135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-66.666666666666742</v>
      </c>
      <c r="AF12" s="21">
        <f t="shared" si="9"/>
        <v>0.95555555555555549</v>
      </c>
      <c r="AG12" s="172"/>
    </row>
    <row r="13" spans="1:33" ht="16.5" customHeight="1">
      <c r="A13" s="200" t="s">
        <v>1837</v>
      </c>
      <c r="B13" s="37" t="s">
        <v>1835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1431.2121212121215</v>
      </c>
      <c r="N13" s="17">
        <f t="shared" si="3"/>
        <v>79.511784511784526</v>
      </c>
      <c r="O13" s="19">
        <f t="shared" si="4"/>
        <v>0</v>
      </c>
      <c r="P13" s="20">
        <f t="shared" si="5"/>
        <v>-3.8215488215488023</v>
      </c>
      <c r="Q13" s="21">
        <f t="shared" si="6"/>
        <v>0.9541414141414144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f>SUM(AC11:AC12)</f>
        <v>2</v>
      </c>
      <c r="AD13" s="31">
        <f>SUM(AD11:AD12)</f>
        <v>0</v>
      </c>
      <c r="AE13" s="19">
        <f t="shared" si="8"/>
        <v>-68.787878787878526</v>
      </c>
      <c r="AF13" s="21">
        <f t="shared" si="9"/>
        <v>0.95414141414141429</v>
      </c>
      <c r="AG13" s="172"/>
    </row>
    <row r="14" spans="1:33" ht="16.5" customHeight="1">
      <c r="A14" s="198" t="s">
        <v>1838</v>
      </c>
      <c r="B14" s="4" t="s">
        <v>87</v>
      </c>
      <c r="C14" s="190" t="s">
        <v>88</v>
      </c>
      <c r="D14" s="190"/>
      <c r="E14" s="37">
        <v>41</v>
      </c>
      <c r="F14" s="4">
        <v>2671</v>
      </c>
      <c r="G14" s="4">
        <f t="shared" ref="G14:G19" si="15">E14*F14</f>
        <v>109511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19" si="16">F14/V14*60</f>
        <v>1430.8928571428578</v>
      </c>
      <c r="N14" s="17">
        <f t="shared" si="3"/>
        <v>55.034340659340685</v>
      </c>
      <c r="O14" s="19">
        <f t="shared" si="4"/>
        <v>0</v>
      </c>
      <c r="P14" s="20">
        <f t="shared" si="5"/>
        <v>-2.657967032967008</v>
      </c>
      <c r="Q14" s="21">
        <f t="shared" si="6"/>
        <v>0.9539285714285719</v>
      </c>
      <c r="R14" s="172">
        <f>Q20</f>
        <v>0.96572763508275117</v>
      </c>
      <c r="S14" s="28">
        <v>0.20833333333333334</v>
      </c>
      <c r="T14" s="28">
        <v>0.28611111111111109</v>
      </c>
      <c r="U14" s="4"/>
      <c r="V14" s="22">
        <f t="shared" ref="V14:V19" si="17">(T14-S14)*24*60</f>
        <v>111.99999999999996</v>
      </c>
      <c r="W14" s="28"/>
      <c r="X14" s="28"/>
      <c r="Y14" s="28"/>
      <c r="Z14" s="28"/>
      <c r="AA14" s="164"/>
      <c r="AB14" s="164"/>
      <c r="AC14" s="25">
        <v>6</v>
      </c>
      <c r="AD14" s="25"/>
      <c r="AE14" s="19">
        <f t="shared" si="8"/>
        <v>-69.107142857142208</v>
      </c>
      <c r="AF14" s="21">
        <f t="shared" si="9"/>
        <v>0.9539285714285719</v>
      </c>
      <c r="AG14" s="172">
        <f>AF20</f>
        <v>0.96572763508275128</v>
      </c>
    </row>
    <row r="15" spans="1:33" ht="16.5" customHeight="1">
      <c r="A15" s="199" t="s">
        <v>1838</v>
      </c>
      <c r="B15" s="4" t="s">
        <v>89</v>
      </c>
      <c r="C15" s="190" t="s">
        <v>90</v>
      </c>
      <c r="D15" s="190"/>
      <c r="E15" s="37">
        <v>72.400000000000006</v>
      </c>
      <c r="F15" s="4">
        <v>514</v>
      </c>
      <c r="G15" s="4">
        <f t="shared" si="15"/>
        <v>37213.600000000006</v>
      </c>
      <c r="H15" s="22" t="s">
        <v>139</v>
      </c>
      <c r="I15" s="16">
        <v>18</v>
      </c>
      <c r="J15" s="18">
        <v>1500</v>
      </c>
      <c r="K15" s="17">
        <f t="shared" si="1"/>
        <v>83.333333333333329</v>
      </c>
      <c r="L15" s="16">
        <v>18</v>
      </c>
      <c r="M15" s="18">
        <f t="shared" si="16"/>
        <v>1468.571428571428</v>
      </c>
      <c r="N15" s="17">
        <f t="shared" si="3"/>
        <v>81.587301587301553</v>
      </c>
      <c r="O15" s="19">
        <f t="shared" si="4"/>
        <v>0</v>
      </c>
      <c r="P15" s="20">
        <f t="shared" si="5"/>
        <v>-1.7460317460317754</v>
      </c>
      <c r="Q15" s="21">
        <f t="shared" si="6"/>
        <v>0.97904761904761872</v>
      </c>
      <c r="R15" s="172"/>
      <c r="S15" s="28">
        <v>0.29027777777777775</v>
      </c>
      <c r="T15" s="28">
        <v>0.30486111111111108</v>
      </c>
      <c r="U15" s="4">
        <f t="shared" ref="U15:U19" si="18">IF(S15=TIME(17,0,0),"",(S15-T14)*24*60)</f>
        <v>5.9999999999999787</v>
      </c>
      <c r="V15" s="22">
        <f t="shared" si="17"/>
        <v>21.000000000000007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-31.428571428572013</v>
      </c>
      <c r="AF15" s="21">
        <f t="shared" si="9"/>
        <v>0.97904761904761861</v>
      </c>
      <c r="AG15" s="172"/>
    </row>
    <row r="16" spans="1:33" ht="16.5" customHeight="1">
      <c r="A16" s="199" t="s">
        <v>1838</v>
      </c>
      <c r="B16" s="4" t="s">
        <v>78</v>
      </c>
      <c r="C16" s="190" t="s">
        <v>91</v>
      </c>
      <c r="D16" s="190"/>
      <c r="E16" s="37">
        <v>50.98</v>
      </c>
      <c r="F16" s="4">
        <v>2666</v>
      </c>
      <c r="G16" s="4">
        <f t="shared" si="15"/>
        <v>135912.68</v>
      </c>
      <c r="H16" s="22" t="s">
        <v>139</v>
      </c>
      <c r="I16" s="16">
        <v>16</v>
      </c>
      <c r="J16" s="18">
        <v>2000</v>
      </c>
      <c r="K16" s="17">
        <f t="shared" si="1"/>
        <v>125</v>
      </c>
      <c r="L16" s="16">
        <v>16</v>
      </c>
      <c r="M16" s="18">
        <f t="shared" si="16"/>
        <v>1904.2857142857135</v>
      </c>
      <c r="N16" s="17">
        <f t="shared" si="3"/>
        <v>119.0178571428571</v>
      </c>
      <c r="O16" s="19">
        <f t="shared" si="4"/>
        <v>0</v>
      </c>
      <c r="P16" s="20">
        <f t="shared" si="5"/>
        <v>-5.9821428571429038</v>
      </c>
      <c r="Q16" s="21">
        <f t="shared" si="6"/>
        <v>0.95214285714285674</v>
      </c>
      <c r="R16" s="172"/>
      <c r="S16" s="28">
        <v>0.70833333333333337</v>
      </c>
      <c r="T16" s="28">
        <v>0.76666666666666672</v>
      </c>
      <c r="U16" s="4" t="str">
        <f t="shared" si="18"/>
        <v/>
      </c>
      <c r="V16" s="22">
        <f t="shared" si="17"/>
        <v>84.000000000000028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-95.714285714286461</v>
      </c>
      <c r="AF16" s="21">
        <f t="shared" si="9"/>
        <v>0.95214285714285674</v>
      </c>
      <c r="AG16" s="172"/>
    </row>
    <row r="17" spans="1:33" ht="16.5" customHeight="1">
      <c r="A17" s="199" t="s">
        <v>1838</v>
      </c>
      <c r="B17" s="4" t="s">
        <v>78</v>
      </c>
      <c r="C17" s="190" t="s">
        <v>92</v>
      </c>
      <c r="D17" s="190"/>
      <c r="E17" s="37">
        <v>50.92</v>
      </c>
      <c r="F17" s="4">
        <v>1000</v>
      </c>
      <c r="G17" s="4">
        <f t="shared" si="15"/>
        <v>50920</v>
      </c>
      <c r="H17" s="22">
        <v>2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1935.483870967739</v>
      </c>
      <c r="N17" s="17">
        <f t="shared" si="3"/>
        <v>129.03225806451593</v>
      </c>
      <c r="O17" s="19">
        <f t="shared" si="4"/>
        <v>0</v>
      </c>
      <c r="P17" s="20">
        <f t="shared" si="5"/>
        <v>-4.3010752688174136</v>
      </c>
      <c r="Q17" s="21">
        <f t="shared" si="6"/>
        <v>0.96774193548386944</v>
      </c>
      <c r="R17" s="172"/>
      <c r="S17" s="28">
        <v>0.77013888888888893</v>
      </c>
      <c r="T17" s="28">
        <v>0.79166666666666674</v>
      </c>
      <c r="U17" s="4">
        <f t="shared" si="18"/>
        <v>4.9999999999999822</v>
      </c>
      <c r="V17" s="22">
        <f t="shared" si="17"/>
        <v>31.00000000000005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-64.516129032261006</v>
      </c>
      <c r="AF17" s="21">
        <f t="shared" si="9"/>
        <v>0.96774193548386944</v>
      </c>
      <c r="AG17" s="172"/>
    </row>
    <row r="18" spans="1:33" ht="16.5" customHeight="1">
      <c r="A18" s="199" t="s">
        <v>1838</v>
      </c>
      <c r="B18" s="4" t="s">
        <v>78</v>
      </c>
      <c r="C18" s="190" t="s">
        <v>93</v>
      </c>
      <c r="D18" s="190"/>
      <c r="E18" s="37">
        <v>50.67</v>
      </c>
      <c r="F18" s="4">
        <v>1448</v>
      </c>
      <c r="G18" s="4">
        <f t="shared" si="15"/>
        <v>73370.16</v>
      </c>
      <c r="H18" s="22" t="s">
        <v>139</v>
      </c>
      <c r="I18" s="16">
        <v>15</v>
      </c>
      <c r="J18" s="18">
        <v>2000</v>
      </c>
      <c r="K18" s="17">
        <f t="shared" si="1"/>
        <v>133.33333333333334</v>
      </c>
      <c r="L18" s="16">
        <v>15</v>
      </c>
      <c r="M18" s="18">
        <f t="shared" si="16"/>
        <v>1930.6666666666665</v>
      </c>
      <c r="N18" s="17">
        <f t="shared" si="3"/>
        <v>128.71111111111111</v>
      </c>
      <c r="O18" s="19">
        <f t="shared" si="4"/>
        <v>0</v>
      </c>
      <c r="P18" s="20">
        <f t="shared" si="5"/>
        <v>-4.6222222222222342</v>
      </c>
      <c r="Q18" s="21">
        <f t="shared" si="6"/>
        <v>0.96533333333333327</v>
      </c>
      <c r="R18" s="172"/>
      <c r="S18" s="28">
        <v>0.79513888888888895</v>
      </c>
      <c r="T18" s="28">
        <v>0.82638888888888895</v>
      </c>
      <c r="U18" s="4">
        <f t="shared" si="18"/>
        <v>4.9999999999999822</v>
      </c>
      <c r="V18" s="22">
        <f t="shared" si="17"/>
        <v>45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-69.333333333333485</v>
      </c>
      <c r="AF18" s="21">
        <f t="shared" si="9"/>
        <v>0.96533333333333327</v>
      </c>
      <c r="AG18" s="172"/>
    </row>
    <row r="19" spans="1:33" ht="16.5" customHeight="1">
      <c r="A19" s="199" t="s">
        <v>1838</v>
      </c>
      <c r="B19" s="4" t="s">
        <v>78</v>
      </c>
      <c r="C19" s="217" t="s">
        <v>98</v>
      </c>
      <c r="D19" s="218"/>
      <c r="E19" s="37">
        <v>50.67</v>
      </c>
      <c r="F19" s="4">
        <v>944</v>
      </c>
      <c r="G19" s="4">
        <f t="shared" si="15"/>
        <v>47832.480000000003</v>
      </c>
      <c r="H19" s="22" t="s">
        <v>139</v>
      </c>
      <c r="I19" s="16">
        <v>16</v>
      </c>
      <c r="J19" s="18">
        <v>2000</v>
      </c>
      <c r="K19" s="17">
        <f t="shared" si="1"/>
        <v>125</v>
      </c>
      <c r="L19" s="16">
        <v>16</v>
      </c>
      <c r="M19" s="18">
        <f t="shared" si="16"/>
        <v>1953.103448275858</v>
      </c>
      <c r="N19" s="17">
        <f t="shared" si="3"/>
        <v>122.06896551724112</v>
      </c>
      <c r="O19" s="19">
        <f t="shared" si="4"/>
        <v>0</v>
      </c>
      <c r="P19" s="20">
        <f t="shared" si="5"/>
        <v>-2.931034482758875</v>
      </c>
      <c r="Q19" s="21">
        <f t="shared" si="6"/>
        <v>0.97655172413792901</v>
      </c>
      <c r="R19" s="172"/>
      <c r="S19" s="28">
        <v>0.8305555555555556</v>
      </c>
      <c r="T19" s="28">
        <v>0.85069444444444453</v>
      </c>
      <c r="U19" s="4">
        <f t="shared" si="18"/>
        <v>5.9999999999999787</v>
      </c>
      <c r="V19" s="22">
        <f t="shared" si="17"/>
        <v>29.000000000000057</v>
      </c>
      <c r="W19" s="23"/>
      <c r="X19" s="23"/>
      <c r="Y19" s="26"/>
      <c r="Z19" s="26"/>
      <c r="AA19" s="175"/>
      <c r="AB19" s="176"/>
      <c r="AC19" s="25"/>
      <c r="AD19" s="25"/>
      <c r="AE19" s="19">
        <f t="shared" si="8"/>
        <v>-46.896551724142</v>
      </c>
      <c r="AF19" s="21">
        <f t="shared" si="9"/>
        <v>0.97655172413792901</v>
      </c>
      <c r="AG19" s="172"/>
    </row>
    <row r="20" spans="1:33" ht="16.5" customHeight="1">
      <c r="A20" s="199" t="s">
        <v>1838</v>
      </c>
      <c r="B20" s="37" t="s">
        <v>1835</v>
      </c>
      <c r="C20" s="177"/>
      <c r="D20" s="177"/>
      <c r="E20" s="38"/>
      <c r="F20" s="17"/>
      <c r="G20" s="17"/>
      <c r="H20" s="4"/>
      <c r="I20" s="30">
        <v>17.666666666666668</v>
      </c>
      <c r="J20" s="18">
        <v>1833.3333333333333</v>
      </c>
      <c r="K20" s="17">
        <f t="shared" si="1"/>
        <v>103.77358490566037</v>
      </c>
      <c r="L20" s="30">
        <v>17.666666666666668</v>
      </c>
      <c r="M20" s="18">
        <f>AVERAGE(M14:M19)</f>
        <v>1770.5006643183772</v>
      </c>
      <c r="N20" s="17">
        <f t="shared" si="3"/>
        <v>100.21701873500247</v>
      </c>
      <c r="O20" s="19">
        <f t="shared" si="4"/>
        <v>0</v>
      </c>
      <c r="P20" s="20">
        <f t="shared" si="5"/>
        <v>-3.5565661706579021</v>
      </c>
      <c r="Q20" s="21">
        <f t="shared" si="6"/>
        <v>0.96572763508275117</v>
      </c>
      <c r="R20" s="172"/>
      <c r="S20" s="28"/>
      <c r="T20" s="28"/>
      <c r="U20" s="4"/>
      <c r="V20" s="22"/>
      <c r="W20" s="17"/>
      <c r="X20" s="17"/>
      <c r="Y20" s="31">
        <f>SUM(Y14:Y19)</f>
        <v>0</v>
      </c>
      <c r="Z20" s="31">
        <f>SUM(Z14:Z19)</f>
        <v>0</v>
      </c>
      <c r="AA20" s="168"/>
      <c r="AB20" s="168"/>
      <c r="AC20" s="31">
        <f>SUM(AC14:AC19)</f>
        <v>6</v>
      </c>
      <c r="AD20" s="31">
        <f>SUM(AD14:AD19)</f>
        <v>0</v>
      </c>
      <c r="AE20" s="19">
        <f t="shared" si="8"/>
        <v>-62.832669014956082</v>
      </c>
      <c r="AF20" s="21">
        <f t="shared" si="9"/>
        <v>0.96572763508275128</v>
      </c>
      <c r="AG20" s="172"/>
    </row>
    <row r="21" spans="1:33" ht="15.75" customHeight="1">
      <c r="A21" s="194" t="s">
        <v>1839</v>
      </c>
      <c r="B21" s="37" t="s">
        <v>78</v>
      </c>
      <c r="C21" s="190" t="s">
        <v>95</v>
      </c>
      <c r="D21" s="190"/>
      <c r="E21" s="37">
        <v>57.73</v>
      </c>
      <c r="F21" s="4">
        <v>2303</v>
      </c>
      <c r="G21" s="4">
        <f t="shared" ref="G21:G26" si="19">E21*F21</f>
        <v>132952.19</v>
      </c>
      <c r="H21" s="22" t="s">
        <v>139</v>
      </c>
      <c r="I21" s="16">
        <v>14</v>
      </c>
      <c r="J21" s="18">
        <v>2000</v>
      </c>
      <c r="K21" s="17">
        <f t="shared" si="1"/>
        <v>142.85714285714286</v>
      </c>
      <c r="L21" s="16">
        <v>14</v>
      </c>
      <c r="M21" s="18">
        <f t="shared" ref="M21:M26" si="20">F21/V21*60</f>
        <v>1919.1666666666661</v>
      </c>
      <c r="N21" s="17">
        <f t="shared" si="3"/>
        <v>137.08333333333329</v>
      </c>
      <c r="O21" s="19">
        <f t="shared" si="4"/>
        <v>0</v>
      </c>
      <c r="P21" s="20">
        <f t="shared" si="5"/>
        <v>-5.7738095238095752</v>
      </c>
      <c r="Q21" s="21">
        <f t="shared" si="6"/>
        <v>0.95958333333333301</v>
      </c>
      <c r="R21" s="172">
        <f>Q27</f>
        <v>0.96071075379040827</v>
      </c>
      <c r="S21" s="28">
        <v>0.20833333333333334</v>
      </c>
      <c r="T21" s="28">
        <v>0.25833333333333336</v>
      </c>
      <c r="U21" s="4"/>
      <c r="V21" s="22">
        <f t="shared" ref="V21:V26" si="21">(T21-S21)*24*60</f>
        <v>72.000000000000028</v>
      </c>
      <c r="W21" s="28"/>
      <c r="X21" s="28"/>
      <c r="Y21" s="28"/>
      <c r="Z21" s="28"/>
      <c r="AA21" s="164"/>
      <c r="AB21" s="164"/>
      <c r="AC21" s="25">
        <v>6</v>
      </c>
      <c r="AD21" s="25"/>
      <c r="AE21" s="19">
        <f t="shared" si="8"/>
        <v>-80.83333333333394</v>
      </c>
      <c r="AF21" s="21">
        <f t="shared" si="9"/>
        <v>0.95958333333333301</v>
      </c>
      <c r="AG21" s="172">
        <f>AF27</f>
        <v>0.96071075379040816</v>
      </c>
    </row>
    <row r="22" spans="1:33" ht="15.75" customHeight="1">
      <c r="A22" s="195" t="s">
        <v>1839</v>
      </c>
      <c r="B22" s="37" t="s">
        <v>78</v>
      </c>
      <c r="C22" s="190" t="s">
        <v>96</v>
      </c>
      <c r="D22" s="190"/>
      <c r="E22" s="37">
        <v>53.68</v>
      </c>
      <c r="F22" s="4">
        <v>1334</v>
      </c>
      <c r="G22" s="4">
        <f t="shared" si="19"/>
        <v>71609.119999999995</v>
      </c>
      <c r="H22" s="22" t="s">
        <v>139</v>
      </c>
      <c r="I22" s="16">
        <v>16</v>
      </c>
      <c r="J22" s="18">
        <v>2000</v>
      </c>
      <c r="K22" s="17">
        <f t="shared" si="1"/>
        <v>125</v>
      </c>
      <c r="L22" s="16">
        <v>16</v>
      </c>
      <c r="M22" s="18">
        <f t="shared" si="20"/>
        <v>1905.7142857142851</v>
      </c>
      <c r="N22" s="17">
        <f t="shared" si="3"/>
        <v>119.10714285714282</v>
      </c>
      <c r="O22" s="19">
        <f t="shared" si="4"/>
        <v>0</v>
      </c>
      <c r="P22" s="20">
        <f t="shared" si="5"/>
        <v>-5.8928571428571814</v>
      </c>
      <c r="Q22" s="21">
        <f t="shared" si="6"/>
        <v>0.95285714285714251</v>
      </c>
      <c r="R22" s="172"/>
      <c r="S22" s="28">
        <v>0.26180555555555557</v>
      </c>
      <c r="T22" s="28">
        <v>0.29097222222222224</v>
      </c>
      <c r="U22" s="4">
        <f t="shared" ref="U22:U26" si="22">IF(S22=TIME(17,0,0),"",(S22-T21)*24*60)</f>
        <v>4.9999999999999822</v>
      </c>
      <c r="V22" s="22">
        <f t="shared" si="21"/>
        <v>42.000000000000014</v>
      </c>
      <c r="W22" s="23"/>
      <c r="X22" s="4"/>
      <c r="Y22" s="4"/>
      <c r="Z22" s="4"/>
      <c r="AA22" s="164"/>
      <c r="AB22" s="164"/>
      <c r="AC22" s="25"/>
      <c r="AD22" s="25"/>
      <c r="AE22" s="19">
        <f t="shared" si="8"/>
        <v>-94.285714285714903</v>
      </c>
      <c r="AF22" s="21">
        <f t="shared" si="9"/>
        <v>0.95285714285714251</v>
      </c>
      <c r="AG22" s="172"/>
    </row>
    <row r="23" spans="1:33" ht="15.75" customHeight="1">
      <c r="A23" s="195" t="s">
        <v>1839</v>
      </c>
      <c r="B23" s="37" t="s">
        <v>78</v>
      </c>
      <c r="C23" s="190" t="s">
        <v>97</v>
      </c>
      <c r="D23" s="190"/>
      <c r="E23" s="37">
        <v>50.49</v>
      </c>
      <c r="F23" s="4">
        <v>1863</v>
      </c>
      <c r="G23" s="4">
        <f t="shared" si="19"/>
        <v>94062.87000000001</v>
      </c>
      <c r="H23" s="22" t="s">
        <v>139</v>
      </c>
      <c r="I23" s="16">
        <v>15</v>
      </c>
      <c r="J23" s="18">
        <v>2000</v>
      </c>
      <c r="K23" s="17">
        <f t="shared" si="1"/>
        <v>133.33333333333334</v>
      </c>
      <c r="L23" s="16">
        <v>15</v>
      </c>
      <c r="M23" s="18">
        <f t="shared" si="20"/>
        <v>1927.241379310346</v>
      </c>
      <c r="N23" s="17">
        <f t="shared" si="3"/>
        <v>128.48275862068974</v>
      </c>
      <c r="O23" s="19">
        <f t="shared" si="4"/>
        <v>0</v>
      </c>
      <c r="P23" s="20">
        <f t="shared" si="5"/>
        <v>-4.8505747126436063</v>
      </c>
      <c r="Q23" s="21">
        <f t="shared" si="6"/>
        <v>0.963620689655173</v>
      </c>
      <c r="R23" s="172"/>
      <c r="S23" s="28">
        <v>0.70833333333333337</v>
      </c>
      <c r="T23" s="28">
        <v>0.74861111111111112</v>
      </c>
      <c r="U23" s="4" t="str">
        <f t="shared" si="22"/>
        <v/>
      </c>
      <c r="V23" s="22">
        <f t="shared" si="21"/>
        <v>57.999999999999957</v>
      </c>
      <c r="W23" s="23"/>
      <c r="X23" s="4"/>
      <c r="Y23" s="4"/>
      <c r="Z23" s="4"/>
      <c r="AA23" s="164"/>
      <c r="AB23" s="164"/>
      <c r="AC23" s="25"/>
      <c r="AD23" s="25"/>
      <c r="AE23" s="19">
        <f t="shared" si="8"/>
        <v>-72.758620689653981</v>
      </c>
      <c r="AF23" s="21">
        <f t="shared" si="9"/>
        <v>0.963620689655173</v>
      </c>
      <c r="AG23" s="172"/>
    </row>
    <row r="24" spans="1:33" ht="15.75" customHeight="1">
      <c r="A24" s="195" t="s">
        <v>1839</v>
      </c>
      <c r="B24" s="37" t="s">
        <v>78</v>
      </c>
      <c r="C24" s="190" t="s">
        <v>94</v>
      </c>
      <c r="D24" s="190"/>
      <c r="E24" s="37">
        <v>57.3</v>
      </c>
      <c r="F24" s="4">
        <v>1766</v>
      </c>
      <c r="G24" s="4">
        <f t="shared" si="19"/>
        <v>101191.79999999999</v>
      </c>
      <c r="H24" s="22" t="s">
        <v>139</v>
      </c>
      <c r="I24" s="16">
        <v>13</v>
      </c>
      <c r="J24" s="18">
        <v>2000</v>
      </c>
      <c r="K24" s="17">
        <f t="shared" si="1"/>
        <v>153.84615384615384</v>
      </c>
      <c r="L24" s="16">
        <v>13</v>
      </c>
      <c r="M24" s="18">
        <f t="shared" si="20"/>
        <v>1926.5454545454559</v>
      </c>
      <c r="N24" s="17">
        <f t="shared" si="3"/>
        <v>148.1958041958043</v>
      </c>
      <c r="O24" s="19">
        <f t="shared" si="4"/>
        <v>0</v>
      </c>
      <c r="P24" s="20">
        <f t="shared" si="5"/>
        <v>-5.6503496503495398</v>
      </c>
      <c r="Q24" s="21">
        <f t="shared" si="6"/>
        <v>0.96327272727272795</v>
      </c>
      <c r="R24" s="172"/>
      <c r="S24" s="28">
        <v>0.75416666666666665</v>
      </c>
      <c r="T24" s="28">
        <v>0.79236111111111107</v>
      </c>
      <c r="U24" s="4">
        <f t="shared" si="22"/>
        <v>7.9999999999999716</v>
      </c>
      <c r="V24" s="22">
        <f t="shared" si="21"/>
        <v>54.999999999999964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-73.454545454544132</v>
      </c>
      <c r="AF24" s="21">
        <f t="shared" si="9"/>
        <v>0.96327272727272795</v>
      </c>
      <c r="AG24" s="172"/>
    </row>
    <row r="25" spans="1:33" ht="15.75" customHeight="1">
      <c r="A25" s="195" t="s">
        <v>1839</v>
      </c>
      <c r="B25" s="37" t="s">
        <v>78</v>
      </c>
      <c r="C25" s="190" t="s">
        <v>99</v>
      </c>
      <c r="D25" s="190"/>
      <c r="E25" s="37">
        <v>53.68</v>
      </c>
      <c r="F25" s="4">
        <v>1806</v>
      </c>
      <c r="G25" s="4">
        <f t="shared" si="19"/>
        <v>96946.08</v>
      </c>
      <c r="H25" s="22" t="s">
        <v>139</v>
      </c>
      <c r="I25" s="16">
        <v>16</v>
      </c>
      <c r="J25" s="18">
        <v>1500</v>
      </c>
      <c r="K25" s="17">
        <f t="shared" si="1"/>
        <v>93.75</v>
      </c>
      <c r="L25" s="16">
        <v>16</v>
      </c>
      <c r="M25" s="18">
        <f t="shared" si="20"/>
        <v>1444.7999999999988</v>
      </c>
      <c r="N25" s="17">
        <f t="shared" si="3"/>
        <v>90.299999999999926</v>
      </c>
      <c r="O25" s="19">
        <f t="shared" si="4"/>
        <v>0</v>
      </c>
      <c r="P25" s="20">
        <f t="shared" si="5"/>
        <v>-3.4500000000000739</v>
      </c>
      <c r="Q25" s="21">
        <f t="shared" si="6"/>
        <v>0.96319999999999917</v>
      </c>
      <c r="R25" s="172"/>
      <c r="S25" s="28">
        <v>0.79652777777777772</v>
      </c>
      <c r="T25" s="28">
        <v>0.84861111111111109</v>
      </c>
      <c r="U25" s="4">
        <f t="shared" si="22"/>
        <v>5.9999999999999787</v>
      </c>
      <c r="V25" s="22">
        <f t="shared" si="21"/>
        <v>75.000000000000057</v>
      </c>
      <c r="W25" s="28">
        <f>T25</f>
        <v>0.84861111111111109</v>
      </c>
      <c r="X25" s="28">
        <f>S26</f>
        <v>0.88749999999999996</v>
      </c>
      <c r="Y25" s="4"/>
      <c r="Z25" s="4"/>
      <c r="AA25" s="164"/>
      <c r="AB25" s="164"/>
      <c r="AC25" s="25"/>
      <c r="AD25" s="25"/>
      <c r="AE25" s="19">
        <f t="shared" si="8"/>
        <v>-55.200000000001182</v>
      </c>
      <c r="AF25" s="21">
        <f t="shared" si="9"/>
        <v>0.96319999999999917</v>
      </c>
      <c r="AG25" s="172"/>
    </row>
    <row r="26" spans="1:33" ht="15.75" customHeight="1">
      <c r="A26" s="195" t="s">
        <v>1839</v>
      </c>
      <c r="B26" s="37" t="s">
        <v>78</v>
      </c>
      <c r="C26" s="190" t="s">
        <v>92</v>
      </c>
      <c r="D26" s="190"/>
      <c r="E26" s="37">
        <v>50.92</v>
      </c>
      <c r="F26" s="4">
        <v>1636</v>
      </c>
      <c r="G26" s="4">
        <f t="shared" si="19"/>
        <v>83305.12000000001</v>
      </c>
      <c r="H26" s="22" t="s">
        <v>139</v>
      </c>
      <c r="I26" s="16">
        <v>15</v>
      </c>
      <c r="J26" s="18">
        <v>2000</v>
      </c>
      <c r="K26" s="17">
        <f t="shared" si="1"/>
        <v>133.33333333333334</v>
      </c>
      <c r="L26" s="16">
        <v>15</v>
      </c>
      <c r="M26" s="18">
        <f t="shared" si="20"/>
        <v>1924.7058823529419</v>
      </c>
      <c r="N26" s="17">
        <f t="shared" si="3"/>
        <v>128.31372549019613</v>
      </c>
      <c r="O26" s="19">
        <f t="shared" si="4"/>
        <v>0</v>
      </c>
      <c r="P26" s="20">
        <f t="shared" si="5"/>
        <v>-5.0196078431372086</v>
      </c>
      <c r="Q26" s="21">
        <f t="shared" si="6"/>
        <v>0.96235294117647097</v>
      </c>
      <c r="R26" s="172"/>
      <c r="S26" s="28">
        <v>0.88749999999999996</v>
      </c>
      <c r="T26" s="28">
        <v>0.92291666666666661</v>
      </c>
      <c r="U26" s="4">
        <f t="shared" si="22"/>
        <v>55.999999999999957</v>
      </c>
      <c r="V26" s="22">
        <f t="shared" si="21"/>
        <v>50.999999999999979</v>
      </c>
      <c r="W26" s="23"/>
      <c r="X26" s="28"/>
      <c r="Y26" s="28"/>
      <c r="Z26" s="28"/>
      <c r="AA26" s="164"/>
      <c r="AB26" s="164"/>
      <c r="AC26" s="25"/>
      <c r="AD26" s="25"/>
      <c r="AE26" s="19">
        <f t="shared" si="8"/>
        <v>-75.294117647058101</v>
      </c>
      <c r="AF26" s="21">
        <f t="shared" si="9"/>
        <v>0.96235294117647097</v>
      </c>
      <c r="AG26" s="172"/>
    </row>
    <row r="27" spans="1:33" ht="15.75" customHeight="1">
      <c r="A27" s="195" t="s">
        <v>1839</v>
      </c>
      <c r="B27" s="37" t="s">
        <v>1835</v>
      </c>
      <c r="C27" s="177"/>
      <c r="D27" s="177"/>
      <c r="E27" s="38"/>
      <c r="F27" s="4"/>
      <c r="G27" s="4"/>
      <c r="H27" s="4"/>
      <c r="I27" s="30">
        <v>14.833333333333334</v>
      </c>
      <c r="J27" s="18">
        <v>1916.6666666666667</v>
      </c>
      <c r="K27" s="17">
        <f t="shared" si="1"/>
        <v>129.2134831460674</v>
      </c>
      <c r="L27" s="30">
        <v>14.833333333333334</v>
      </c>
      <c r="M27" s="18">
        <f>AVERAGE(M21:M26)</f>
        <v>1841.3622780982823</v>
      </c>
      <c r="N27" s="17">
        <f t="shared" si="3"/>
        <v>124.13678279314263</v>
      </c>
      <c r="O27" s="19">
        <f t="shared" si="4"/>
        <v>0</v>
      </c>
      <c r="P27" s="20">
        <f t="shared" si="5"/>
        <v>-5.0767003529247745</v>
      </c>
      <c r="Q27" s="21">
        <f t="shared" si="6"/>
        <v>0.96071075379040827</v>
      </c>
      <c r="R27" s="172"/>
      <c r="S27" s="28"/>
      <c r="T27" s="28"/>
      <c r="U27" s="17"/>
      <c r="V27" s="22"/>
      <c r="W27" s="17"/>
      <c r="X27" s="17"/>
      <c r="Y27" s="31">
        <f>SUM(Y21:Y26)</f>
        <v>0</v>
      </c>
      <c r="Z27" s="31">
        <f>SUM(Z21:Z26)</f>
        <v>0</v>
      </c>
      <c r="AA27" s="168"/>
      <c r="AB27" s="168"/>
      <c r="AC27" s="31">
        <f>SUM(AC21:AC26)</f>
        <v>6</v>
      </c>
      <c r="AD27" s="31">
        <f>SUM(AD21:AD26)</f>
        <v>0</v>
      </c>
      <c r="AE27" s="19">
        <f t="shared" si="8"/>
        <v>-75.304388568384411</v>
      </c>
      <c r="AF27" s="21">
        <f t="shared" si="9"/>
        <v>0.96071075379040816</v>
      </c>
      <c r="AG27" s="172"/>
    </row>
    <row r="28" spans="1:33" ht="15.75" customHeight="1">
      <c r="A28" s="193" t="s">
        <v>1840</v>
      </c>
      <c r="B28" s="37" t="s">
        <v>100</v>
      </c>
      <c r="C28" s="190" t="s">
        <v>101</v>
      </c>
      <c r="D28" s="190"/>
      <c r="E28" s="37">
        <v>31.29</v>
      </c>
      <c r="F28" s="4">
        <v>6800</v>
      </c>
      <c r="G28" s="4">
        <f t="shared" ref="G28:G32" si="23">E28*F28</f>
        <v>212772</v>
      </c>
      <c r="H28" s="22" t="s">
        <v>139</v>
      </c>
      <c r="I28" s="16">
        <v>18</v>
      </c>
      <c r="J28" s="18">
        <v>2400</v>
      </c>
      <c r="K28" s="17">
        <f t="shared" si="1"/>
        <v>133.33333333333334</v>
      </c>
      <c r="L28" s="16">
        <v>18</v>
      </c>
      <c r="M28" s="18">
        <f t="shared" ref="M28:M32" si="24">F28/V28*60</f>
        <v>2292.1348314606744</v>
      </c>
      <c r="N28" s="17">
        <f t="shared" si="3"/>
        <v>127.34082397003746</v>
      </c>
      <c r="O28" s="19">
        <f t="shared" si="4"/>
        <v>0</v>
      </c>
      <c r="P28" s="20">
        <f t="shared" si="5"/>
        <v>-5.9925093632958806</v>
      </c>
      <c r="Q28" s="21">
        <f t="shared" si="6"/>
        <v>0.9550561797752809</v>
      </c>
      <c r="R28" s="172">
        <f>Q33</f>
        <v>0.9566756579528114</v>
      </c>
      <c r="S28" s="28">
        <v>0.125</v>
      </c>
      <c r="T28" s="28">
        <v>0.24861111111111112</v>
      </c>
      <c r="U28" s="4"/>
      <c r="V28" s="22">
        <f t="shared" ref="V28:V32" si="25">(T28-S28)*24*60</f>
        <v>178</v>
      </c>
      <c r="W28" s="23">
        <f>T28</f>
        <v>0.24861111111111112</v>
      </c>
      <c r="X28" s="23">
        <f>S29</f>
        <v>0.26805555555555555</v>
      </c>
      <c r="Y28" s="23"/>
      <c r="Z28" s="23"/>
      <c r="AA28" s="164"/>
      <c r="AB28" s="164"/>
      <c r="AC28" s="25">
        <v>5</v>
      </c>
      <c r="AD28" s="25"/>
      <c r="AE28" s="19">
        <f t="shared" si="8"/>
        <v>-107.86516853932562</v>
      </c>
      <c r="AF28" s="21">
        <f t="shared" si="9"/>
        <v>0.95505617977528101</v>
      </c>
      <c r="AG28" s="172">
        <f>AF33</f>
        <v>0.9566756579528114</v>
      </c>
    </row>
    <row r="29" spans="1:33" ht="15.75" customHeight="1">
      <c r="A29" s="193" t="s">
        <v>1840</v>
      </c>
      <c r="B29" s="37" t="s">
        <v>100</v>
      </c>
      <c r="C29" s="190" t="s">
        <v>105</v>
      </c>
      <c r="D29" s="190"/>
      <c r="E29" s="37">
        <v>25.98</v>
      </c>
      <c r="F29" s="4">
        <v>2060</v>
      </c>
      <c r="G29" s="4">
        <f t="shared" si="23"/>
        <v>53518.8</v>
      </c>
      <c r="H29" s="22" t="s">
        <v>139</v>
      </c>
      <c r="I29" s="16">
        <v>21</v>
      </c>
      <c r="J29" s="18">
        <v>2400</v>
      </c>
      <c r="K29" s="17">
        <f t="shared" si="1"/>
        <v>114.28571428571429</v>
      </c>
      <c r="L29" s="16">
        <v>21</v>
      </c>
      <c r="M29" s="18">
        <f t="shared" si="24"/>
        <v>2288.8888888888901</v>
      </c>
      <c r="N29" s="17">
        <f t="shared" si="3"/>
        <v>108.99470899470904</v>
      </c>
      <c r="O29" s="19">
        <f t="shared" si="4"/>
        <v>0</v>
      </c>
      <c r="P29" s="20">
        <f t="shared" si="5"/>
        <v>-5.2910052910052485</v>
      </c>
      <c r="Q29" s="21">
        <f t="shared" si="6"/>
        <v>0.95370370370370405</v>
      </c>
      <c r="R29" s="172"/>
      <c r="S29" s="28">
        <v>0.26805555555555555</v>
      </c>
      <c r="T29" s="28">
        <v>0.30555555555555552</v>
      </c>
      <c r="U29" s="4">
        <f t="shared" ref="U29:U32" si="26">(S29-T28)*24*60</f>
        <v>27.999999999999979</v>
      </c>
      <c r="V29" s="22">
        <f t="shared" si="25"/>
        <v>53.999999999999972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8"/>
        <v>-111.11111111110995</v>
      </c>
      <c r="AF29" s="21">
        <f t="shared" si="9"/>
        <v>0.95370370370370416</v>
      </c>
      <c r="AG29" s="172"/>
    </row>
    <row r="30" spans="1:33" ht="15.75" customHeight="1">
      <c r="A30" s="193" t="s">
        <v>1840</v>
      </c>
      <c r="B30" s="37" t="s">
        <v>100</v>
      </c>
      <c r="C30" s="190" t="s">
        <v>102</v>
      </c>
      <c r="D30" s="190"/>
      <c r="E30" s="37">
        <v>26.2</v>
      </c>
      <c r="F30" s="4">
        <v>3782</v>
      </c>
      <c r="G30" s="4">
        <f t="shared" si="23"/>
        <v>99088.4</v>
      </c>
      <c r="H30" s="22" t="s">
        <v>139</v>
      </c>
      <c r="I30" s="16">
        <v>20</v>
      </c>
      <c r="J30" s="18">
        <v>2400</v>
      </c>
      <c r="K30" s="17">
        <f t="shared" si="1"/>
        <v>120</v>
      </c>
      <c r="L30" s="16">
        <v>20</v>
      </c>
      <c r="M30" s="18">
        <f t="shared" si="24"/>
        <v>2292.1212121212129</v>
      </c>
      <c r="N30" s="17">
        <f t="shared" si="3"/>
        <v>114.60606060606065</v>
      </c>
      <c r="O30" s="19">
        <f t="shared" si="4"/>
        <v>0</v>
      </c>
      <c r="P30" s="20">
        <f t="shared" si="5"/>
        <v>-5.3939393939393483</v>
      </c>
      <c r="Q30" s="21">
        <f t="shared" si="6"/>
        <v>0.95505050505050548</v>
      </c>
      <c r="R30" s="172"/>
      <c r="S30" s="28">
        <v>0.30902777777777773</v>
      </c>
      <c r="T30" s="28">
        <v>0.37777777777777771</v>
      </c>
      <c r="U30" s="4">
        <f t="shared" si="26"/>
        <v>4.9999999999999822</v>
      </c>
      <c r="V30" s="22">
        <f t="shared" si="25"/>
        <v>98.999999999999972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8"/>
        <v>-107.87878787878708</v>
      </c>
      <c r="AF30" s="21">
        <f t="shared" si="9"/>
        <v>0.95505050505050537</v>
      </c>
      <c r="AG30" s="172"/>
    </row>
    <row r="31" spans="1:33" ht="15.75" customHeight="1">
      <c r="A31" s="193" t="s">
        <v>1840</v>
      </c>
      <c r="B31" s="37" t="s">
        <v>100</v>
      </c>
      <c r="C31" s="190" t="s">
        <v>103</v>
      </c>
      <c r="D31" s="190"/>
      <c r="E31" s="37">
        <v>25.99</v>
      </c>
      <c r="F31" s="4">
        <v>3109</v>
      </c>
      <c r="G31" s="4">
        <f t="shared" si="23"/>
        <v>80802.909999999989</v>
      </c>
      <c r="H31" s="22" t="s">
        <v>139</v>
      </c>
      <c r="I31" s="16">
        <v>14</v>
      </c>
      <c r="J31" s="18">
        <v>2400</v>
      </c>
      <c r="K31" s="17">
        <f t="shared" si="1"/>
        <v>171.42857142857142</v>
      </c>
      <c r="L31" s="16">
        <v>14</v>
      </c>
      <c r="M31" s="18">
        <f t="shared" si="24"/>
        <v>2302.9629629629621</v>
      </c>
      <c r="N31" s="17">
        <f t="shared" si="3"/>
        <v>164.49735449735445</v>
      </c>
      <c r="O31" s="19">
        <f t="shared" si="4"/>
        <v>0</v>
      </c>
      <c r="P31" s="20">
        <f t="shared" si="5"/>
        <v>-6.9312169312169658</v>
      </c>
      <c r="Q31" s="21">
        <f t="shared" si="6"/>
        <v>0.9595679012345677</v>
      </c>
      <c r="R31" s="172"/>
      <c r="S31" s="28">
        <v>0.38263888888888881</v>
      </c>
      <c r="T31" s="28">
        <v>0.43888888888888883</v>
      </c>
      <c r="U31" s="4">
        <f t="shared" si="26"/>
        <v>6.9999999999999751</v>
      </c>
      <c r="V31" s="22">
        <f t="shared" si="25"/>
        <v>81.000000000000028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8"/>
        <v>-97.037037037037862</v>
      </c>
      <c r="AF31" s="21">
        <f t="shared" si="9"/>
        <v>0.95956790123456759</v>
      </c>
      <c r="AG31" s="172"/>
    </row>
    <row r="32" spans="1:33" ht="15.75" customHeight="1">
      <c r="A32" s="193" t="s">
        <v>1840</v>
      </c>
      <c r="B32" s="37" t="s">
        <v>100</v>
      </c>
      <c r="C32" s="190" t="s">
        <v>107</v>
      </c>
      <c r="D32" s="190"/>
      <c r="E32" s="37">
        <v>26.18</v>
      </c>
      <c r="F32" s="4">
        <v>1344</v>
      </c>
      <c r="G32" s="4">
        <f t="shared" si="23"/>
        <v>35185.919999999998</v>
      </c>
      <c r="H32" s="22" t="s">
        <v>139</v>
      </c>
      <c r="I32" s="16">
        <v>19</v>
      </c>
      <c r="J32" s="18">
        <v>2400</v>
      </c>
      <c r="K32" s="17">
        <f t="shared" si="1"/>
        <v>126.31578947368421</v>
      </c>
      <c r="L32" s="16">
        <v>19</v>
      </c>
      <c r="M32" s="18">
        <f t="shared" si="24"/>
        <v>2303.9999999999977</v>
      </c>
      <c r="N32" s="17">
        <f t="shared" si="3"/>
        <v>121.26315789473672</v>
      </c>
      <c r="O32" s="19">
        <f t="shared" si="4"/>
        <v>0</v>
      </c>
      <c r="P32" s="20">
        <f t="shared" si="5"/>
        <v>-5.0526315789474836</v>
      </c>
      <c r="Q32" s="21">
        <f t="shared" si="6"/>
        <v>0.95999999999999908</v>
      </c>
      <c r="R32" s="172"/>
      <c r="S32" s="28">
        <v>0.44444444444444436</v>
      </c>
      <c r="T32" s="28">
        <v>0.46874999999999994</v>
      </c>
      <c r="U32" s="4">
        <f t="shared" si="26"/>
        <v>7.9999999999999716</v>
      </c>
      <c r="V32" s="22">
        <f t="shared" si="25"/>
        <v>35.000000000000036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8"/>
        <v>-96.000000000002274</v>
      </c>
      <c r="AF32" s="21">
        <f t="shared" si="9"/>
        <v>0.95999999999999908</v>
      </c>
      <c r="AG32" s="172"/>
    </row>
    <row r="33" spans="1:33" ht="15.75" customHeight="1">
      <c r="A33" s="193" t="s">
        <v>1840</v>
      </c>
      <c r="B33" s="37" t="s">
        <v>1835</v>
      </c>
      <c r="C33" s="177"/>
      <c r="D33" s="177"/>
      <c r="E33" s="38"/>
      <c r="F33" s="4"/>
      <c r="G33" s="4"/>
      <c r="H33" s="4"/>
      <c r="I33" s="30">
        <v>18.399999999999999</v>
      </c>
      <c r="J33" s="18">
        <v>2400</v>
      </c>
      <c r="K33" s="17">
        <f t="shared" si="1"/>
        <v>130.43478260869566</v>
      </c>
      <c r="L33" s="30">
        <v>18.399999999999999</v>
      </c>
      <c r="M33" s="18">
        <f>AVERAGE(M28:M32)</f>
        <v>2296.0215790867474</v>
      </c>
      <c r="N33" s="17">
        <f t="shared" si="3"/>
        <v>124.78378147210584</v>
      </c>
      <c r="O33" s="19">
        <f t="shared" si="4"/>
        <v>0</v>
      </c>
      <c r="P33" s="20">
        <f t="shared" si="5"/>
        <v>-5.6510011365898123</v>
      </c>
      <c r="Q33" s="21">
        <f t="shared" si="6"/>
        <v>0.9566756579528114</v>
      </c>
      <c r="R33" s="172"/>
      <c r="S33" s="28"/>
      <c r="T33" s="28"/>
      <c r="U33" s="4"/>
      <c r="V33" s="22"/>
      <c r="W33" s="4"/>
      <c r="X33" s="4"/>
      <c r="Y33" s="31">
        <f>SUM(Y28:Y32)</f>
        <v>0</v>
      </c>
      <c r="Z33" s="31">
        <f>SUM(Z28:Z32)</f>
        <v>0</v>
      </c>
      <c r="AA33" s="168"/>
      <c r="AB33" s="168"/>
      <c r="AC33" s="31">
        <f>SUM(AC28:AC32)</f>
        <v>5</v>
      </c>
      <c r="AD33" s="31">
        <f>SUM(AD28:AD32)</f>
        <v>0</v>
      </c>
      <c r="AE33" s="19">
        <f t="shared" si="8"/>
        <v>-103.97842091325265</v>
      </c>
      <c r="AF33" s="21">
        <f t="shared" si="9"/>
        <v>0.9566756579528114</v>
      </c>
      <c r="AG33" s="172"/>
    </row>
    <row r="34" spans="1:33" ht="15.75" customHeight="1">
      <c r="A34" s="191" t="s">
        <v>1841</v>
      </c>
      <c r="B34" s="37" t="s">
        <v>100</v>
      </c>
      <c r="C34" s="165" t="s">
        <v>106</v>
      </c>
      <c r="D34" s="165"/>
      <c r="E34" s="37">
        <v>26.2</v>
      </c>
      <c r="F34" s="4">
        <v>5141</v>
      </c>
      <c r="G34" s="4">
        <f t="shared" ref="G34:G38" si="27">E34*F34</f>
        <v>134694.19999999998</v>
      </c>
      <c r="H34" s="22" t="s">
        <v>139</v>
      </c>
      <c r="I34" s="16">
        <v>18</v>
      </c>
      <c r="J34" s="18">
        <v>2400</v>
      </c>
      <c r="K34" s="17">
        <f t="shared" si="1"/>
        <v>133.33333333333334</v>
      </c>
      <c r="L34" s="16">
        <v>18</v>
      </c>
      <c r="M34" s="18">
        <f t="shared" ref="M34:M38" si="28">F34/V34*60</f>
        <v>2284.8888888888891</v>
      </c>
      <c r="N34" s="17">
        <f t="shared" si="3"/>
        <v>126.93827160493828</v>
      </c>
      <c r="O34" s="19">
        <f t="shared" si="4"/>
        <v>0</v>
      </c>
      <c r="P34" s="20">
        <f t="shared" si="5"/>
        <v>-6.3950617283950635</v>
      </c>
      <c r="Q34" s="21">
        <f t="shared" si="6"/>
        <v>0.95203703703703701</v>
      </c>
      <c r="R34" s="172">
        <f>Q39</f>
        <v>0.95404722102112249</v>
      </c>
      <c r="S34" s="28">
        <v>0.125</v>
      </c>
      <c r="T34" s="28">
        <v>0.21875</v>
      </c>
      <c r="U34" s="4"/>
      <c r="V34" s="22">
        <f t="shared" ref="V34:V38" si="29">(T34-S34)*24*60</f>
        <v>135</v>
      </c>
      <c r="W34" s="28">
        <f>T34</f>
        <v>0.21875</v>
      </c>
      <c r="X34" s="28">
        <f>S35</f>
        <v>0.23749999999999999</v>
      </c>
      <c r="Y34" s="28"/>
      <c r="Z34" s="28"/>
      <c r="AA34" s="164"/>
      <c r="AB34" s="164"/>
      <c r="AC34" s="25">
        <v>5</v>
      </c>
      <c r="AD34" s="25"/>
      <c r="AE34" s="19">
        <f t="shared" si="8"/>
        <v>-115.11111111111086</v>
      </c>
      <c r="AF34" s="21">
        <f t="shared" si="9"/>
        <v>0.95203703703703713</v>
      </c>
      <c r="AG34" s="172">
        <f>AF39</f>
        <v>0.95404722102112238</v>
      </c>
    </row>
    <row r="35" spans="1:33" ht="15.75" customHeight="1">
      <c r="A35" s="191" t="s">
        <v>1841</v>
      </c>
      <c r="B35" s="37" t="s">
        <v>100</v>
      </c>
      <c r="C35" s="165" t="s">
        <v>104</v>
      </c>
      <c r="D35" s="165"/>
      <c r="E35" s="37">
        <v>20.52</v>
      </c>
      <c r="F35" s="4">
        <v>2668</v>
      </c>
      <c r="G35" s="4">
        <f t="shared" si="27"/>
        <v>54747.360000000001</v>
      </c>
      <c r="H35" s="22" t="s">
        <v>139</v>
      </c>
      <c r="I35" s="16">
        <v>18</v>
      </c>
      <c r="J35" s="18">
        <v>2400</v>
      </c>
      <c r="K35" s="17">
        <f t="shared" si="1"/>
        <v>133.33333333333334</v>
      </c>
      <c r="L35" s="16">
        <v>18</v>
      </c>
      <c r="M35" s="18">
        <f t="shared" si="28"/>
        <v>2286.8571428571431</v>
      </c>
      <c r="N35" s="17">
        <f t="shared" si="3"/>
        <v>127.04761904761907</v>
      </c>
      <c r="O35" s="19">
        <f t="shared" si="4"/>
        <v>0</v>
      </c>
      <c r="P35" s="20">
        <f t="shared" si="5"/>
        <v>-6.2857142857142776</v>
      </c>
      <c r="Q35" s="21">
        <f t="shared" si="6"/>
        <v>0.95285714285714296</v>
      </c>
      <c r="R35" s="172"/>
      <c r="S35" s="28">
        <v>0.23749999999999999</v>
      </c>
      <c r="T35" s="28">
        <v>0.28611111111111109</v>
      </c>
      <c r="U35" s="4">
        <f t="shared" ref="U35:U38" si="30">(S35-T34)*24*60</f>
        <v>26.999999999999986</v>
      </c>
      <c r="V35" s="22">
        <f t="shared" si="29"/>
        <v>69.999999999999986</v>
      </c>
      <c r="W35" s="4"/>
      <c r="X35" s="4"/>
      <c r="Y35" s="4"/>
      <c r="Z35" s="4"/>
      <c r="AA35" s="164"/>
      <c r="AB35" s="164"/>
      <c r="AC35" s="25"/>
      <c r="AD35" s="25"/>
      <c r="AE35" s="19">
        <f t="shared" si="8"/>
        <v>-113.14285714285688</v>
      </c>
      <c r="AF35" s="21">
        <f t="shared" si="9"/>
        <v>0.95285714285714296</v>
      </c>
      <c r="AG35" s="172"/>
    </row>
    <row r="36" spans="1:33">
      <c r="A36" s="192" t="s">
        <v>1841</v>
      </c>
      <c r="B36" s="37" t="s">
        <v>100</v>
      </c>
      <c r="C36" s="165" t="s">
        <v>108</v>
      </c>
      <c r="D36" s="165"/>
      <c r="E36" s="37">
        <v>26.39</v>
      </c>
      <c r="F36" s="4">
        <v>4319</v>
      </c>
      <c r="G36" s="4">
        <f t="shared" si="27"/>
        <v>113978.41</v>
      </c>
      <c r="H36" s="22" t="s">
        <v>139</v>
      </c>
      <c r="I36" s="16">
        <v>19</v>
      </c>
      <c r="J36" s="18">
        <v>2400</v>
      </c>
      <c r="K36" s="17">
        <f t="shared" si="1"/>
        <v>126.31578947368421</v>
      </c>
      <c r="L36" s="16">
        <v>19</v>
      </c>
      <c r="M36" s="18">
        <f t="shared" si="28"/>
        <v>2293.2743362831857</v>
      </c>
      <c r="N36" s="17">
        <f t="shared" si="3"/>
        <v>120.6986492780624</v>
      </c>
      <c r="O36" s="19">
        <f t="shared" si="4"/>
        <v>0</v>
      </c>
      <c r="P36" s="20">
        <f t="shared" si="5"/>
        <v>-5.6171401956218006</v>
      </c>
      <c r="Q36" s="21">
        <f t="shared" si="6"/>
        <v>0.95553097345132743</v>
      </c>
      <c r="R36" s="172"/>
      <c r="S36" s="28">
        <v>0.29027777777777775</v>
      </c>
      <c r="T36" s="28">
        <v>0.36874999999999997</v>
      </c>
      <c r="U36" s="4">
        <f t="shared" si="30"/>
        <v>5.9999999999999787</v>
      </c>
      <c r="V36" s="22">
        <f t="shared" si="29"/>
        <v>113</v>
      </c>
      <c r="W36" s="4"/>
      <c r="X36" s="4"/>
      <c r="Y36" s="4"/>
      <c r="Z36" s="4"/>
      <c r="AA36" s="164"/>
      <c r="AB36" s="164"/>
      <c r="AC36" s="25"/>
      <c r="AD36" s="25"/>
      <c r="AE36" s="19">
        <f t="shared" si="8"/>
        <v>-106.72566371681432</v>
      </c>
      <c r="AF36" s="21">
        <f t="shared" si="9"/>
        <v>0.95553097345132731</v>
      </c>
      <c r="AG36" s="172"/>
    </row>
    <row r="37" spans="1:33">
      <c r="A37" s="192" t="s">
        <v>1841</v>
      </c>
      <c r="B37" s="37" t="s">
        <v>100</v>
      </c>
      <c r="C37" s="165" t="s">
        <v>137</v>
      </c>
      <c r="D37" s="165"/>
      <c r="E37" s="37">
        <v>20.21</v>
      </c>
      <c r="F37" s="4">
        <v>2490</v>
      </c>
      <c r="G37" s="4">
        <f t="shared" si="27"/>
        <v>50322.9</v>
      </c>
      <c r="H37" s="22" t="s">
        <v>139</v>
      </c>
      <c r="I37" s="16">
        <v>16</v>
      </c>
      <c r="J37" s="18">
        <v>2400</v>
      </c>
      <c r="K37" s="17">
        <f t="shared" si="1"/>
        <v>150</v>
      </c>
      <c r="L37" s="16">
        <v>16</v>
      </c>
      <c r="M37" s="18">
        <f t="shared" si="28"/>
        <v>2298.4615384615381</v>
      </c>
      <c r="N37" s="17">
        <f t="shared" si="3"/>
        <v>143.65384615384613</v>
      </c>
      <c r="O37" s="19">
        <f t="shared" si="4"/>
        <v>0</v>
      </c>
      <c r="P37" s="20">
        <f t="shared" si="5"/>
        <v>-6.346153846153868</v>
      </c>
      <c r="Q37" s="21">
        <f t="shared" si="6"/>
        <v>0.95769230769230751</v>
      </c>
      <c r="R37" s="172"/>
      <c r="S37" s="28">
        <v>0.37222222222222218</v>
      </c>
      <c r="T37" s="28">
        <v>0.41736111111111107</v>
      </c>
      <c r="U37" s="4">
        <f t="shared" si="30"/>
        <v>4.9999999999999822</v>
      </c>
      <c r="V37" s="22">
        <f t="shared" si="29"/>
        <v>65.000000000000014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8"/>
        <v>-101.53846153846189</v>
      </c>
      <c r="AF37" s="21">
        <f t="shared" si="9"/>
        <v>0.95769230769230751</v>
      </c>
      <c r="AG37" s="172"/>
    </row>
    <row r="38" spans="1:33">
      <c r="A38" s="192" t="s">
        <v>1841</v>
      </c>
      <c r="B38" s="37" t="s">
        <v>100</v>
      </c>
      <c r="C38" s="165" t="s">
        <v>134</v>
      </c>
      <c r="D38" s="165"/>
      <c r="E38" s="37">
        <v>20.52</v>
      </c>
      <c r="F38" s="4">
        <v>2247</v>
      </c>
      <c r="G38" s="4">
        <f t="shared" si="27"/>
        <v>46108.44</v>
      </c>
      <c r="H38" s="22" t="s">
        <v>139</v>
      </c>
      <c r="I38" s="16">
        <v>18</v>
      </c>
      <c r="J38" s="18">
        <v>2400</v>
      </c>
      <c r="K38" s="17">
        <f t="shared" si="1"/>
        <v>133.33333333333334</v>
      </c>
      <c r="L38" s="16">
        <v>18</v>
      </c>
      <c r="M38" s="18">
        <f t="shared" si="28"/>
        <v>2285.084745762711</v>
      </c>
      <c r="N38" s="17">
        <f t="shared" si="3"/>
        <v>126.94915254237283</v>
      </c>
      <c r="O38" s="19">
        <f t="shared" si="4"/>
        <v>0</v>
      </c>
      <c r="P38" s="20">
        <f t="shared" si="5"/>
        <v>-6.3841807909605137</v>
      </c>
      <c r="Q38" s="21">
        <f t="shared" si="6"/>
        <v>0.95211864406779612</v>
      </c>
      <c r="R38" s="172"/>
      <c r="S38" s="28">
        <v>0.42083333333333328</v>
      </c>
      <c r="T38" s="28">
        <v>0.46180555555555552</v>
      </c>
      <c r="U38" s="4">
        <f t="shared" si="30"/>
        <v>4.9999999999999822</v>
      </c>
      <c r="V38" s="22">
        <f t="shared" si="29"/>
        <v>59.000000000000028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8"/>
        <v>-114.91525423728899</v>
      </c>
      <c r="AF38" s="21">
        <f t="shared" si="9"/>
        <v>0.95211864406779623</v>
      </c>
      <c r="AG38" s="172"/>
    </row>
    <row r="39" spans="1:33">
      <c r="A39" s="192" t="s">
        <v>1841</v>
      </c>
      <c r="B39" s="17" t="s">
        <v>1835</v>
      </c>
      <c r="C39" s="177"/>
      <c r="D39" s="177"/>
      <c r="E39" s="38"/>
      <c r="F39" s="17"/>
      <c r="G39" s="17"/>
      <c r="H39" s="4"/>
      <c r="I39" s="30">
        <v>17.8</v>
      </c>
      <c r="J39" s="18">
        <v>2400</v>
      </c>
      <c r="K39" s="17">
        <f t="shared" si="1"/>
        <v>134.83146067415728</v>
      </c>
      <c r="L39" s="30">
        <v>17.8</v>
      </c>
      <c r="M39" s="18">
        <f>AVERAGE(M34:M38)</f>
        <v>2289.7133304506938</v>
      </c>
      <c r="N39" s="17">
        <f t="shared" si="3"/>
        <v>128.63558036239851</v>
      </c>
      <c r="O39" s="19">
        <f t="shared" si="4"/>
        <v>0</v>
      </c>
      <c r="P39" s="20">
        <f t="shared" si="5"/>
        <v>-6.1958803117587706</v>
      </c>
      <c r="Q39" s="21">
        <f t="shared" si="6"/>
        <v>0.95404722102112249</v>
      </c>
      <c r="R39" s="172"/>
      <c r="S39" s="28"/>
      <c r="T39" s="28"/>
      <c r="U39" s="17"/>
      <c r="V39" s="22"/>
      <c r="W39" s="17"/>
      <c r="X39" s="17"/>
      <c r="Y39" s="31">
        <f>SUM(Y34:Y38)</f>
        <v>0</v>
      </c>
      <c r="Z39" s="31">
        <f>SUM(Z34:Z38)</f>
        <v>0</v>
      </c>
      <c r="AA39" s="168"/>
      <c r="AB39" s="168"/>
      <c r="AC39" s="31">
        <f>SUM(AC34:AC38)</f>
        <v>5</v>
      </c>
      <c r="AD39" s="31">
        <f>SUM(AD34:AD38)</f>
        <v>0</v>
      </c>
      <c r="AE39" s="19">
        <f t="shared" si="8"/>
        <v>-110.28666954930623</v>
      </c>
      <c r="AF39" s="21">
        <f t="shared" si="9"/>
        <v>0.95404722102112238</v>
      </c>
      <c r="AG39" s="172"/>
    </row>
    <row r="40" spans="1:33" ht="15.75" customHeight="1">
      <c r="A40" s="184" t="s">
        <v>1842</v>
      </c>
      <c r="B40" s="37" t="s">
        <v>111</v>
      </c>
      <c r="C40" s="173" t="s">
        <v>403</v>
      </c>
      <c r="D40" s="174"/>
      <c r="E40" s="37">
        <v>34.36</v>
      </c>
      <c r="F40" s="4">
        <v>2892</v>
      </c>
      <c r="G40" s="4">
        <f t="shared" ref="G40:G50" si="31">E40*F40</f>
        <v>99369.12</v>
      </c>
      <c r="H40" s="22" t="s">
        <v>139</v>
      </c>
      <c r="I40" s="16">
        <v>10</v>
      </c>
      <c r="J40" s="18">
        <v>3000</v>
      </c>
      <c r="K40" s="17">
        <f t="shared" si="1"/>
        <v>300</v>
      </c>
      <c r="L40" s="16">
        <v>10</v>
      </c>
      <c r="M40" s="18">
        <f t="shared" ref="M40:M50" si="32">F40/V40*60</f>
        <v>2892.0000000000005</v>
      </c>
      <c r="N40" s="18">
        <f t="shared" si="3"/>
        <v>289.20000000000005</v>
      </c>
      <c r="O40" s="19">
        <f t="shared" si="4"/>
        <v>0</v>
      </c>
      <c r="P40" s="20">
        <f t="shared" si="5"/>
        <v>-10.799999999999955</v>
      </c>
      <c r="Q40" s="21">
        <f t="shared" si="6"/>
        <v>0.96400000000000019</v>
      </c>
      <c r="R40" s="187">
        <f>Q51</f>
        <v>0.95884983852662764</v>
      </c>
      <c r="S40" s="28">
        <v>0.20833333333333334</v>
      </c>
      <c r="T40" s="28">
        <v>0.25</v>
      </c>
      <c r="U40" s="28"/>
      <c r="V40" s="22">
        <f t="shared" ref="V40:V50" si="33">(T40-S40)*24*60</f>
        <v>59.999999999999986</v>
      </c>
      <c r="W40" s="23"/>
      <c r="X40" s="23"/>
      <c r="Y40" s="26"/>
      <c r="Z40" s="26"/>
      <c r="AA40" s="175"/>
      <c r="AB40" s="176"/>
      <c r="AC40" s="25">
        <v>11</v>
      </c>
      <c r="AD40" s="25"/>
      <c r="AE40" s="19">
        <f t="shared" si="8"/>
        <v>-107.99999999999955</v>
      </c>
      <c r="AF40" s="21">
        <f t="shared" si="9"/>
        <v>0.96400000000000019</v>
      </c>
      <c r="AG40" s="187">
        <f>AF51</f>
        <v>0.95884983852662753</v>
      </c>
    </row>
    <row r="41" spans="1:33" ht="15.75" customHeight="1">
      <c r="A41" s="185" t="s">
        <v>1842</v>
      </c>
      <c r="B41" s="37" t="s">
        <v>111</v>
      </c>
      <c r="C41" s="173" t="s">
        <v>114</v>
      </c>
      <c r="D41" s="174"/>
      <c r="E41" s="37">
        <v>35.119999999999997</v>
      </c>
      <c r="F41" s="4">
        <v>3300</v>
      </c>
      <c r="G41" s="4">
        <f t="shared" si="31"/>
        <v>115895.99999999999</v>
      </c>
      <c r="H41" s="22">
        <v>2</v>
      </c>
      <c r="I41" s="16">
        <v>10</v>
      </c>
      <c r="J41" s="18">
        <v>3000</v>
      </c>
      <c r="K41" s="17">
        <f t="shared" si="1"/>
        <v>300</v>
      </c>
      <c r="L41" s="16">
        <v>10</v>
      </c>
      <c r="M41" s="18">
        <f t="shared" si="32"/>
        <v>2869.5652173913045</v>
      </c>
      <c r="N41" s="18">
        <f t="shared" si="3"/>
        <v>286.95652173913044</v>
      </c>
      <c r="O41" s="19">
        <f t="shared" si="4"/>
        <v>0</v>
      </c>
      <c r="P41" s="20">
        <f t="shared" si="5"/>
        <v>-13.043478260869563</v>
      </c>
      <c r="Q41" s="21">
        <f t="shared" si="6"/>
        <v>0.95652173913043481</v>
      </c>
      <c r="R41" s="188"/>
      <c r="S41" s="28">
        <v>0.25347222222222221</v>
      </c>
      <c r="T41" s="28">
        <v>0.30138888888888887</v>
      </c>
      <c r="U41" s="4">
        <f t="shared" ref="U41:U50" si="34">(S41-T40)*24*60</f>
        <v>4.9999999999999822</v>
      </c>
      <c r="V41" s="22">
        <f t="shared" si="33"/>
        <v>69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8"/>
        <v>-130.43478260869551</v>
      </c>
      <c r="AF41" s="21">
        <f t="shared" si="9"/>
        <v>0.95652173913043481</v>
      </c>
      <c r="AG41" s="188"/>
    </row>
    <row r="42" spans="1:33" ht="15.75" customHeight="1">
      <c r="A42" s="185" t="s">
        <v>1842</v>
      </c>
      <c r="B42" s="37" t="s">
        <v>111</v>
      </c>
      <c r="C42" s="173" t="s">
        <v>115</v>
      </c>
      <c r="D42" s="174"/>
      <c r="E42" s="37">
        <v>26.78</v>
      </c>
      <c r="F42" s="4">
        <v>2633</v>
      </c>
      <c r="G42" s="4">
        <f t="shared" si="31"/>
        <v>70511.740000000005</v>
      </c>
      <c r="H42" s="22" t="s">
        <v>139</v>
      </c>
      <c r="I42" s="16">
        <v>10</v>
      </c>
      <c r="J42" s="18">
        <v>3000</v>
      </c>
      <c r="K42" s="17">
        <f t="shared" si="1"/>
        <v>300</v>
      </c>
      <c r="L42" s="16">
        <v>10</v>
      </c>
      <c r="M42" s="18">
        <f t="shared" si="32"/>
        <v>2872.3636363636383</v>
      </c>
      <c r="N42" s="18">
        <f t="shared" si="3"/>
        <v>287.23636363636382</v>
      </c>
      <c r="O42" s="19">
        <f t="shared" si="4"/>
        <v>0</v>
      </c>
      <c r="P42" s="20">
        <f t="shared" si="5"/>
        <v>-12.763636363636181</v>
      </c>
      <c r="Q42" s="21">
        <f t="shared" si="6"/>
        <v>0.95745454545454611</v>
      </c>
      <c r="R42" s="188"/>
      <c r="S42" s="28">
        <v>0.30486111111111108</v>
      </c>
      <c r="T42" s="28">
        <v>0.3430555555555555</v>
      </c>
      <c r="U42" s="4">
        <f t="shared" si="34"/>
        <v>4.9999999999999822</v>
      </c>
      <c r="V42" s="22">
        <f t="shared" si="33"/>
        <v>54.999999999999964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8"/>
        <v>-127.63636363636169</v>
      </c>
      <c r="AF42" s="21">
        <f t="shared" si="9"/>
        <v>0.95745454545454611</v>
      </c>
      <c r="AG42" s="188"/>
    </row>
    <row r="43" spans="1:33" ht="15.75" customHeight="1">
      <c r="A43" s="185" t="s">
        <v>1842</v>
      </c>
      <c r="B43" s="37" t="s">
        <v>111</v>
      </c>
      <c r="C43" s="173" t="s">
        <v>117</v>
      </c>
      <c r="D43" s="174"/>
      <c r="E43" s="37">
        <v>44.03</v>
      </c>
      <c r="F43" s="4">
        <v>922</v>
      </c>
      <c r="G43" s="4">
        <f t="shared" si="31"/>
        <v>40595.660000000003</v>
      </c>
      <c r="H43" s="22" t="s">
        <v>139</v>
      </c>
      <c r="I43" s="16">
        <v>10</v>
      </c>
      <c r="J43" s="18">
        <v>3000</v>
      </c>
      <c r="K43" s="17">
        <f t="shared" si="1"/>
        <v>300</v>
      </c>
      <c r="L43" s="16">
        <v>10</v>
      </c>
      <c r="M43" s="18">
        <f t="shared" si="32"/>
        <v>2911.578947368419</v>
      </c>
      <c r="N43" s="18">
        <f t="shared" si="3"/>
        <v>291.15789473684191</v>
      </c>
      <c r="O43" s="19">
        <f t="shared" si="4"/>
        <v>0</v>
      </c>
      <c r="P43" s="20">
        <f t="shared" si="5"/>
        <v>-8.8421052631580892</v>
      </c>
      <c r="Q43" s="21">
        <f t="shared" si="6"/>
        <v>0.97052631578947302</v>
      </c>
      <c r="R43" s="188"/>
      <c r="S43" s="28">
        <v>0.34652777777777771</v>
      </c>
      <c r="T43" s="28">
        <v>0.35972222222222217</v>
      </c>
      <c r="U43" s="4">
        <f t="shared" si="34"/>
        <v>4.9999999999999822</v>
      </c>
      <c r="V43" s="22">
        <f t="shared" si="33"/>
        <v>19.000000000000014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8"/>
        <v>-88.421052631581006</v>
      </c>
      <c r="AF43" s="21">
        <f t="shared" si="9"/>
        <v>0.97052631578947302</v>
      </c>
      <c r="AG43" s="188"/>
    </row>
    <row r="44" spans="1:33" ht="15.75" customHeight="1">
      <c r="A44" s="185" t="s">
        <v>1842</v>
      </c>
      <c r="B44" s="37" t="s">
        <v>111</v>
      </c>
      <c r="C44" s="173" t="s">
        <v>112</v>
      </c>
      <c r="D44" s="174"/>
      <c r="E44" s="37">
        <v>21.13</v>
      </c>
      <c r="F44" s="4">
        <v>2300</v>
      </c>
      <c r="G44" s="4">
        <f t="shared" si="31"/>
        <v>48599</v>
      </c>
      <c r="H44" s="22">
        <v>2</v>
      </c>
      <c r="I44" s="16">
        <v>10</v>
      </c>
      <c r="J44" s="18">
        <v>3000</v>
      </c>
      <c r="K44" s="17">
        <f t="shared" si="1"/>
        <v>300</v>
      </c>
      <c r="L44" s="16">
        <v>10</v>
      </c>
      <c r="M44" s="18">
        <f t="shared" si="32"/>
        <v>2875.0000000000009</v>
      </c>
      <c r="N44" s="18">
        <f t="shared" si="3"/>
        <v>287.50000000000011</v>
      </c>
      <c r="O44" s="19">
        <f t="shared" si="4"/>
        <v>0</v>
      </c>
      <c r="P44" s="20">
        <f t="shared" si="5"/>
        <v>-12.499999999999886</v>
      </c>
      <c r="Q44" s="21">
        <f t="shared" si="6"/>
        <v>0.9583333333333337</v>
      </c>
      <c r="R44" s="188"/>
      <c r="S44" s="28">
        <v>0.36319444444444438</v>
      </c>
      <c r="T44" s="28">
        <v>0.3965277777777777</v>
      </c>
      <c r="U44" s="4">
        <f t="shared" si="34"/>
        <v>4.9999999999999822</v>
      </c>
      <c r="V44" s="22">
        <f t="shared" si="33"/>
        <v>47.999999999999986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-124.99999999999909</v>
      </c>
      <c r="AF44" s="21">
        <f t="shared" si="9"/>
        <v>0.95833333333333359</v>
      </c>
      <c r="AG44" s="188"/>
    </row>
    <row r="45" spans="1:33" ht="15.75" customHeight="1">
      <c r="A45" s="185" t="s">
        <v>1842</v>
      </c>
      <c r="B45" s="37" t="s">
        <v>111</v>
      </c>
      <c r="C45" s="173" t="s">
        <v>113</v>
      </c>
      <c r="D45" s="174"/>
      <c r="E45" s="37">
        <v>27.17</v>
      </c>
      <c r="F45" s="4">
        <v>3900</v>
      </c>
      <c r="G45" s="4">
        <f t="shared" si="31"/>
        <v>105963</v>
      </c>
      <c r="H45" s="22">
        <v>2</v>
      </c>
      <c r="I45" s="16">
        <v>10</v>
      </c>
      <c r="J45" s="18">
        <v>3000</v>
      </c>
      <c r="K45" s="17">
        <f t="shared" si="1"/>
        <v>300</v>
      </c>
      <c r="L45" s="16">
        <v>10</v>
      </c>
      <c r="M45" s="18">
        <f t="shared" si="32"/>
        <v>2888.8888888888878</v>
      </c>
      <c r="N45" s="18">
        <f t="shared" si="3"/>
        <v>288.8888888888888</v>
      </c>
      <c r="O45" s="19">
        <f t="shared" si="4"/>
        <v>0</v>
      </c>
      <c r="P45" s="20">
        <f t="shared" si="5"/>
        <v>-11.1111111111112</v>
      </c>
      <c r="Q45" s="21">
        <f t="shared" si="6"/>
        <v>0.96296296296296269</v>
      </c>
      <c r="R45" s="188"/>
      <c r="S45" s="28">
        <v>0.40069444444444435</v>
      </c>
      <c r="T45" s="28">
        <v>0.45694444444444438</v>
      </c>
      <c r="U45" s="4">
        <f t="shared" si="34"/>
        <v>5.9999999999999787</v>
      </c>
      <c r="V45" s="22">
        <f t="shared" si="33"/>
        <v>81.000000000000028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8"/>
        <v>-111.11111111111222</v>
      </c>
      <c r="AF45" s="21">
        <f t="shared" si="9"/>
        <v>0.96296296296296258</v>
      </c>
      <c r="AG45" s="188"/>
    </row>
    <row r="46" spans="1:33" ht="15.75" customHeight="1">
      <c r="A46" s="185" t="s">
        <v>1842</v>
      </c>
      <c r="B46" s="37" t="s">
        <v>111</v>
      </c>
      <c r="C46" s="173" t="s">
        <v>116</v>
      </c>
      <c r="D46" s="174"/>
      <c r="E46" s="37">
        <v>35.869999999999997</v>
      </c>
      <c r="F46" s="4">
        <v>2300</v>
      </c>
      <c r="G46" s="4">
        <f t="shared" si="31"/>
        <v>82501</v>
      </c>
      <c r="H46" s="22">
        <v>2</v>
      </c>
      <c r="I46" s="16">
        <v>9</v>
      </c>
      <c r="J46" s="18">
        <v>3000</v>
      </c>
      <c r="K46" s="17">
        <f t="shared" si="1"/>
        <v>333.33333333333331</v>
      </c>
      <c r="L46" s="16">
        <v>9</v>
      </c>
      <c r="M46" s="18">
        <f t="shared" si="32"/>
        <v>2875.0000000000009</v>
      </c>
      <c r="N46" s="18">
        <f t="shared" si="3"/>
        <v>319.44444444444457</v>
      </c>
      <c r="O46" s="19">
        <f t="shared" si="4"/>
        <v>0</v>
      </c>
      <c r="P46" s="20">
        <f t="shared" si="5"/>
        <v>-13.888888888888744</v>
      </c>
      <c r="Q46" s="21">
        <f t="shared" si="6"/>
        <v>0.95833333333333381</v>
      </c>
      <c r="R46" s="188"/>
      <c r="S46" s="28">
        <v>0.46249999999999991</v>
      </c>
      <c r="T46" s="28">
        <v>0.49583333333333324</v>
      </c>
      <c r="U46" s="4">
        <f t="shared" si="34"/>
        <v>7.9999999999999716</v>
      </c>
      <c r="V46" s="22">
        <f t="shared" si="33"/>
        <v>47.999999999999986</v>
      </c>
      <c r="W46" s="23">
        <f>T46</f>
        <v>0.49583333333333324</v>
      </c>
      <c r="X46" s="23">
        <f>S47</f>
        <v>0.53611111111111098</v>
      </c>
      <c r="Y46" s="26"/>
      <c r="Z46" s="26"/>
      <c r="AA46" s="175"/>
      <c r="AB46" s="176"/>
      <c r="AC46" s="25"/>
      <c r="AD46" s="25"/>
      <c r="AE46" s="19">
        <f t="shared" si="8"/>
        <v>-124.99999999999909</v>
      </c>
      <c r="AF46" s="21">
        <f t="shared" si="9"/>
        <v>0.95833333333333359</v>
      </c>
      <c r="AG46" s="188"/>
    </row>
    <row r="47" spans="1:33" ht="15.75" customHeight="1">
      <c r="A47" s="185" t="s">
        <v>1842</v>
      </c>
      <c r="B47" s="37" t="s">
        <v>111</v>
      </c>
      <c r="C47" s="173" t="s">
        <v>116</v>
      </c>
      <c r="D47" s="174"/>
      <c r="E47" s="37">
        <v>35.869999999999997</v>
      </c>
      <c r="F47" s="4">
        <v>1527</v>
      </c>
      <c r="G47" s="4">
        <f t="shared" si="31"/>
        <v>54773.49</v>
      </c>
      <c r="H47" s="22" t="s">
        <v>139</v>
      </c>
      <c r="I47" s="16">
        <v>9</v>
      </c>
      <c r="J47" s="18">
        <v>3000</v>
      </c>
      <c r="K47" s="17">
        <f t="shared" si="1"/>
        <v>333.33333333333331</v>
      </c>
      <c r="L47" s="16">
        <v>9</v>
      </c>
      <c r="M47" s="18">
        <f t="shared" si="32"/>
        <v>2863.1249999999964</v>
      </c>
      <c r="N47" s="18">
        <f t="shared" si="3"/>
        <v>318.1249999999996</v>
      </c>
      <c r="O47" s="19">
        <f t="shared" si="4"/>
        <v>0</v>
      </c>
      <c r="P47" s="20">
        <f t="shared" si="5"/>
        <v>-15.208333333333712</v>
      </c>
      <c r="Q47" s="21">
        <f t="shared" si="6"/>
        <v>0.95437499999999886</v>
      </c>
      <c r="R47" s="188"/>
      <c r="S47" s="28">
        <v>0.53611111111111098</v>
      </c>
      <c r="T47" s="28">
        <v>0.55833333333333324</v>
      </c>
      <c r="U47" s="4">
        <f t="shared" si="34"/>
        <v>57.999999999999957</v>
      </c>
      <c r="V47" s="22">
        <f t="shared" si="33"/>
        <v>32.000000000000043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8"/>
        <v>-136.87500000000364</v>
      </c>
      <c r="AF47" s="21">
        <f t="shared" si="9"/>
        <v>0.95437499999999875</v>
      </c>
      <c r="AG47" s="188"/>
    </row>
    <row r="48" spans="1:33" ht="15.75" customHeight="1">
      <c r="A48" s="185" t="s">
        <v>1842</v>
      </c>
      <c r="B48" s="37" t="s">
        <v>111</v>
      </c>
      <c r="C48" s="173" t="s">
        <v>112</v>
      </c>
      <c r="D48" s="174"/>
      <c r="E48" s="37">
        <v>21.13</v>
      </c>
      <c r="F48" s="4">
        <v>2376</v>
      </c>
      <c r="G48" s="4">
        <f t="shared" si="31"/>
        <v>50204.88</v>
      </c>
      <c r="H48" s="22" t="s">
        <v>139</v>
      </c>
      <c r="I48" s="16">
        <v>10</v>
      </c>
      <c r="J48" s="18">
        <v>3000</v>
      </c>
      <c r="K48" s="17">
        <f t="shared" si="1"/>
        <v>300</v>
      </c>
      <c r="L48" s="16">
        <v>10</v>
      </c>
      <c r="M48" s="18">
        <f t="shared" si="32"/>
        <v>2851.2000000000007</v>
      </c>
      <c r="N48" s="18">
        <f t="shared" si="3"/>
        <v>285.12000000000006</v>
      </c>
      <c r="O48" s="19">
        <f t="shared" si="4"/>
        <v>0</v>
      </c>
      <c r="P48" s="20">
        <f t="shared" si="5"/>
        <v>-14.879999999999939</v>
      </c>
      <c r="Q48" s="21">
        <f t="shared" si="6"/>
        <v>0.95040000000000024</v>
      </c>
      <c r="R48" s="188"/>
      <c r="S48" s="28">
        <v>0.56388888888888877</v>
      </c>
      <c r="T48" s="28">
        <v>0.59861111111111098</v>
      </c>
      <c r="U48" s="4">
        <f t="shared" si="34"/>
        <v>7.9999999999999716</v>
      </c>
      <c r="V48" s="22">
        <f t="shared" si="33"/>
        <v>49.999999999999986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-148.79999999999927</v>
      </c>
      <c r="AF48" s="21">
        <f t="shared" si="9"/>
        <v>0.95040000000000024</v>
      </c>
      <c r="AG48" s="188"/>
    </row>
    <row r="49" spans="1:33" ht="15.75" customHeight="1">
      <c r="A49" s="185" t="s">
        <v>1842</v>
      </c>
      <c r="B49" s="37" t="s">
        <v>111</v>
      </c>
      <c r="C49" s="173" t="s">
        <v>113</v>
      </c>
      <c r="D49" s="174"/>
      <c r="E49" s="37">
        <v>27.17</v>
      </c>
      <c r="F49" s="4">
        <v>2670</v>
      </c>
      <c r="G49" s="4">
        <f t="shared" si="31"/>
        <v>72543.900000000009</v>
      </c>
      <c r="H49" s="22" t="s">
        <v>139</v>
      </c>
      <c r="I49" s="16">
        <v>10</v>
      </c>
      <c r="J49" s="18">
        <v>3000</v>
      </c>
      <c r="K49" s="17">
        <f t="shared" si="1"/>
        <v>300</v>
      </c>
      <c r="L49" s="16">
        <v>10</v>
      </c>
      <c r="M49" s="18">
        <f t="shared" si="32"/>
        <v>2860.7142857142881</v>
      </c>
      <c r="N49" s="18">
        <f t="shared" si="3"/>
        <v>286.07142857142878</v>
      </c>
      <c r="O49" s="19">
        <f t="shared" si="4"/>
        <v>0</v>
      </c>
      <c r="P49" s="20">
        <f t="shared" si="5"/>
        <v>-13.928571428571217</v>
      </c>
      <c r="Q49" s="21">
        <f t="shared" si="6"/>
        <v>0.95357142857142929</v>
      </c>
      <c r="R49" s="188"/>
      <c r="S49" s="28">
        <v>0.60347222222222208</v>
      </c>
      <c r="T49" s="28">
        <v>0.64236111111111094</v>
      </c>
      <c r="U49" s="4">
        <f t="shared" si="34"/>
        <v>6.9999999999999751</v>
      </c>
      <c r="V49" s="22">
        <f t="shared" si="33"/>
        <v>55.999999999999957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-139.28571428571195</v>
      </c>
      <c r="AF49" s="21">
        <f t="shared" si="9"/>
        <v>0.9535714285714294</v>
      </c>
      <c r="AG49" s="188"/>
    </row>
    <row r="50" spans="1:33" ht="15.75" customHeight="1">
      <c r="A50" s="185" t="s">
        <v>1842</v>
      </c>
      <c r="B50" s="37" t="s">
        <v>111</v>
      </c>
      <c r="C50" s="173" t="s">
        <v>114</v>
      </c>
      <c r="D50" s="174"/>
      <c r="E50" s="37">
        <v>35.119999999999997</v>
      </c>
      <c r="F50" s="4">
        <v>2210</v>
      </c>
      <c r="G50" s="4">
        <f t="shared" si="31"/>
        <v>77615.199999999997</v>
      </c>
      <c r="H50" s="22" t="s">
        <v>139</v>
      </c>
      <c r="I50" s="16">
        <v>10</v>
      </c>
      <c r="J50" s="18">
        <v>3000</v>
      </c>
      <c r="K50" s="17">
        <f t="shared" si="1"/>
        <v>300</v>
      </c>
      <c r="L50" s="16">
        <v>10</v>
      </c>
      <c r="M50" s="18">
        <f t="shared" si="32"/>
        <v>2882.608695652174</v>
      </c>
      <c r="N50" s="18">
        <f t="shared" si="3"/>
        <v>288.26086956521738</v>
      </c>
      <c r="O50" s="19">
        <f t="shared" si="4"/>
        <v>0</v>
      </c>
      <c r="P50" s="20">
        <f t="shared" si="5"/>
        <v>-11.739130434782624</v>
      </c>
      <c r="Q50" s="21">
        <f t="shared" si="6"/>
        <v>0.96086956521739131</v>
      </c>
      <c r="R50" s="188"/>
      <c r="S50" s="28">
        <v>0.64652777777777759</v>
      </c>
      <c r="T50" s="28">
        <v>0.67847222222222203</v>
      </c>
      <c r="U50" s="4">
        <f t="shared" si="34"/>
        <v>5.9999999999999787</v>
      </c>
      <c r="V50" s="22">
        <f t="shared" si="33"/>
        <v>46</v>
      </c>
      <c r="W50" s="23"/>
      <c r="X50" s="23"/>
      <c r="Y50" s="26"/>
      <c r="Z50" s="26"/>
      <c r="AA50" s="175"/>
      <c r="AB50" s="176"/>
      <c r="AC50" s="25"/>
      <c r="AD50" s="25"/>
      <c r="AE50" s="19">
        <f t="shared" si="8"/>
        <v>-117.39130434782601</v>
      </c>
      <c r="AF50" s="21">
        <f t="shared" si="9"/>
        <v>0.96086956521739131</v>
      </c>
      <c r="AG50" s="188"/>
    </row>
    <row r="51" spans="1:33" ht="15.75" customHeight="1">
      <c r="A51" s="186" t="s">
        <v>1842</v>
      </c>
      <c r="B51" s="37" t="s">
        <v>1835</v>
      </c>
      <c r="C51" s="166"/>
      <c r="D51" s="167"/>
      <c r="E51" s="41"/>
      <c r="F51" s="4"/>
      <c r="G51" s="4"/>
      <c r="H51" s="4"/>
      <c r="I51" s="30">
        <v>9.8181818181818183</v>
      </c>
      <c r="J51" s="18">
        <v>3000</v>
      </c>
      <c r="K51" s="17">
        <f t="shared" si="1"/>
        <v>305.55555555555554</v>
      </c>
      <c r="L51" s="30">
        <v>9.8181818181818183</v>
      </c>
      <c r="M51" s="18">
        <f>AVERAGE(M40:M50)</f>
        <v>2876.5495155798826</v>
      </c>
      <c r="N51" s="17">
        <f t="shared" si="3"/>
        <v>292.98189510535843</v>
      </c>
      <c r="O51" s="19">
        <f t="shared" si="4"/>
        <v>0</v>
      </c>
      <c r="P51" s="20">
        <f t="shared" si="5"/>
        <v>-12.57366045019711</v>
      </c>
      <c r="Q51" s="21">
        <f t="shared" si="6"/>
        <v>0.95884983852662764</v>
      </c>
      <c r="R51" s="189"/>
      <c r="S51" s="28"/>
      <c r="T51" s="28"/>
      <c r="U51" s="4"/>
      <c r="V51" s="22"/>
      <c r="W51" s="23"/>
      <c r="X51" s="23"/>
      <c r="Y51" s="31">
        <f>SUM(Y40:Y50)</f>
        <v>0</v>
      </c>
      <c r="Z51" s="31">
        <f>SUM(Z40:Z50)</f>
        <v>0</v>
      </c>
      <c r="AA51" s="180"/>
      <c r="AB51" s="181"/>
      <c r="AC51" s="31">
        <f>SUM(AC40:AC50)</f>
        <v>11</v>
      </c>
      <c r="AD51" s="31">
        <f>SUM(AD40:AD50)</f>
        <v>0</v>
      </c>
      <c r="AE51" s="19">
        <f t="shared" si="8"/>
        <v>-123.45048442011739</v>
      </c>
      <c r="AF51" s="21">
        <f t="shared" si="9"/>
        <v>0.95884983852662753</v>
      </c>
      <c r="AG51" s="189"/>
    </row>
    <row r="52" spans="1:33" ht="15.75" customHeight="1">
      <c r="A52" s="182" t="s">
        <v>1843</v>
      </c>
      <c r="B52" s="37" t="s">
        <v>84</v>
      </c>
      <c r="C52" s="165" t="s">
        <v>118</v>
      </c>
      <c r="D52" s="165"/>
      <c r="E52" s="37">
        <v>46</v>
      </c>
      <c r="F52" s="42">
        <v>771</v>
      </c>
      <c r="G52" s="4">
        <f t="shared" ref="G52:G61" si="35">E52*F52</f>
        <v>35466</v>
      </c>
      <c r="H52" s="22" t="s">
        <v>139</v>
      </c>
      <c r="I52" s="16">
        <v>17</v>
      </c>
      <c r="J52" s="18">
        <v>2000</v>
      </c>
      <c r="K52" s="17">
        <f t="shared" si="1"/>
        <v>117.64705882352941</v>
      </c>
      <c r="L52" s="16">
        <v>17</v>
      </c>
      <c r="M52" s="18">
        <f t="shared" ref="M52:M61" si="36">F52/V52*60</f>
        <v>1927.5000000000005</v>
      </c>
      <c r="N52" s="18">
        <f t="shared" si="3"/>
        <v>113.38235294117649</v>
      </c>
      <c r="O52" s="19">
        <f t="shared" si="4"/>
        <v>0</v>
      </c>
      <c r="P52" s="20">
        <f t="shared" si="5"/>
        <v>-4.2647058823529136</v>
      </c>
      <c r="Q52" s="21">
        <f t="shared" si="6"/>
        <v>0.96375000000000022</v>
      </c>
      <c r="R52" s="172">
        <f>Q62</f>
        <v>0.93886472951946498</v>
      </c>
      <c r="S52" s="28">
        <v>0.20833333333333334</v>
      </c>
      <c r="T52" s="28">
        <v>0.22500000000000001</v>
      </c>
      <c r="U52" s="28"/>
      <c r="V52" s="22">
        <f t="shared" ref="V52:V61" si="37">(T52-S52)*24*60</f>
        <v>23.999999999999993</v>
      </c>
      <c r="W52" s="28"/>
      <c r="X52" s="28"/>
      <c r="Y52" s="28"/>
      <c r="Z52" s="28"/>
      <c r="AA52" s="164"/>
      <c r="AB52" s="164"/>
      <c r="AC52" s="25">
        <v>10</v>
      </c>
      <c r="AD52" s="25"/>
      <c r="AE52" s="19">
        <f t="shared" si="8"/>
        <v>-72.499999999999545</v>
      </c>
      <c r="AF52" s="21">
        <f t="shared" si="9"/>
        <v>0.96375000000000022</v>
      </c>
      <c r="AG52" s="172">
        <f>AF62</f>
        <v>0.93886472951946498</v>
      </c>
    </row>
    <row r="53" spans="1:33" ht="15.75" customHeight="1">
      <c r="A53" s="182" t="s">
        <v>1843</v>
      </c>
      <c r="B53" s="37" t="s">
        <v>84</v>
      </c>
      <c r="C53" s="165" t="s">
        <v>119</v>
      </c>
      <c r="D53" s="165"/>
      <c r="E53" s="37">
        <v>46</v>
      </c>
      <c r="F53" s="42">
        <v>897</v>
      </c>
      <c r="G53" s="4">
        <f t="shared" si="35"/>
        <v>41262</v>
      </c>
      <c r="H53" s="22" t="s">
        <v>139</v>
      </c>
      <c r="I53" s="16">
        <v>17</v>
      </c>
      <c r="J53" s="18">
        <v>2000</v>
      </c>
      <c r="K53" s="17">
        <f t="shared" si="1"/>
        <v>117.64705882352941</v>
      </c>
      <c r="L53" s="16">
        <v>17</v>
      </c>
      <c r="M53" s="18">
        <f t="shared" si="36"/>
        <v>1922.1428571428587</v>
      </c>
      <c r="N53" s="18">
        <f t="shared" si="3"/>
        <v>113.06722689075639</v>
      </c>
      <c r="O53" s="19">
        <f t="shared" si="4"/>
        <v>0</v>
      </c>
      <c r="P53" s="20">
        <f t="shared" si="5"/>
        <v>-4.5798319327730184</v>
      </c>
      <c r="Q53" s="21">
        <f t="shared" si="6"/>
        <v>0.96107142857142935</v>
      </c>
      <c r="R53" s="172"/>
      <c r="S53" s="28">
        <v>0.22916666666666669</v>
      </c>
      <c r="T53" s="28">
        <v>0.24861111111111112</v>
      </c>
      <c r="U53" s="4">
        <f t="shared" ref="U53:U61" si="38">IF(S53=TIME(17,0,0),"",(S53-T52)*24*60)</f>
        <v>6.0000000000000187</v>
      </c>
      <c r="V53" s="22">
        <f t="shared" si="37"/>
        <v>27.999999999999979</v>
      </c>
      <c r="W53" s="23"/>
      <c r="X53" s="23"/>
      <c r="Y53" s="23"/>
      <c r="Z53" s="23"/>
      <c r="AA53" s="164"/>
      <c r="AB53" s="164"/>
      <c r="AC53" s="25"/>
      <c r="AD53" s="25"/>
      <c r="AE53" s="19">
        <f t="shared" si="8"/>
        <v>-77.857142857141298</v>
      </c>
      <c r="AF53" s="21">
        <f t="shared" si="9"/>
        <v>0.96107142857142935</v>
      </c>
      <c r="AG53" s="172"/>
    </row>
    <row r="54" spans="1:33" ht="15.75" customHeight="1">
      <c r="A54" s="182" t="s">
        <v>1843</v>
      </c>
      <c r="B54" s="37" t="s">
        <v>78</v>
      </c>
      <c r="C54" s="173" t="s">
        <v>120</v>
      </c>
      <c r="D54" s="174"/>
      <c r="E54" s="37">
        <v>56.43</v>
      </c>
      <c r="F54" s="42">
        <v>1700</v>
      </c>
      <c r="G54" s="4">
        <f t="shared" si="35"/>
        <v>95931</v>
      </c>
      <c r="H54" s="22" t="s">
        <v>139</v>
      </c>
      <c r="I54" s="16">
        <v>22</v>
      </c>
      <c r="J54" s="18">
        <v>2000</v>
      </c>
      <c r="K54" s="17">
        <f t="shared" si="1"/>
        <v>90.909090909090907</v>
      </c>
      <c r="L54" s="16">
        <v>22</v>
      </c>
      <c r="M54" s="18">
        <f t="shared" si="36"/>
        <v>1728.8135593220331</v>
      </c>
      <c r="N54" s="18">
        <f t="shared" si="3"/>
        <v>78.582434514637868</v>
      </c>
      <c r="O54" s="19">
        <f t="shared" si="4"/>
        <v>0</v>
      </c>
      <c r="P54" s="20">
        <f t="shared" si="5"/>
        <v>-12.326656394453039</v>
      </c>
      <c r="Q54" s="21">
        <f t="shared" si="6"/>
        <v>0.86440677966101653</v>
      </c>
      <c r="R54" s="172"/>
      <c r="S54" s="28">
        <v>0.25416666666666665</v>
      </c>
      <c r="T54" s="28">
        <v>0.2951388888888889</v>
      </c>
      <c r="U54" s="4">
        <f t="shared" si="38"/>
        <v>7.9999999999999716</v>
      </c>
      <c r="V54" s="22">
        <f t="shared" si="37"/>
        <v>59.000000000000028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8"/>
        <v>-271.18644067796686</v>
      </c>
      <c r="AF54" s="21">
        <f t="shared" si="9"/>
        <v>0.86440677966101653</v>
      </c>
      <c r="AG54" s="172"/>
    </row>
    <row r="55" spans="1:33" ht="15.75" customHeight="1">
      <c r="A55" s="182" t="s">
        <v>1843</v>
      </c>
      <c r="B55" s="37" t="s">
        <v>78</v>
      </c>
      <c r="C55" s="43" t="s">
        <v>121</v>
      </c>
      <c r="D55" s="44"/>
      <c r="E55" s="37">
        <v>51.75</v>
      </c>
      <c r="F55" s="42">
        <v>1505</v>
      </c>
      <c r="G55" s="4">
        <f t="shared" si="35"/>
        <v>77883.75</v>
      </c>
      <c r="H55" s="22" t="s">
        <v>139</v>
      </c>
      <c r="I55" s="16">
        <v>25</v>
      </c>
      <c r="J55" s="18">
        <v>2000</v>
      </c>
      <c r="K55" s="17">
        <f t="shared" si="1"/>
        <v>80</v>
      </c>
      <c r="L55" s="16">
        <v>25</v>
      </c>
      <c r="M55" s="18">
        <f t="shared" si="36"/>
        <v>1736.5384615384623</v>
      </c>
      <c r="N55" s="18">
        <f t="shared" si="3"/>
        <v>69.461538461538495</v>
      </c>
      <c r="O55" s="19">
        <f t="shared" si="4"/>
        <v>0</v>
      </c>
      <c r="P55" s="20">
        <f t="shared" si="5"/>
        <v>-10.538461538461505</v>
      </c>
      <c r="Q55" s="21">
        <f t="shared" si="6"/>
        <v>0.86826923076923124</v>
      </c>
      <c r="R55" s="172"/>
      <c r="S55" s="28">
        <v>0.29930555555555555</v>
      </c>
      <c r="T55" s="28">
        <v>0.33541666666666664</v>
      </c>
      <c r="U55" s="4">
        <f t="shared" si="38"/>
        <v>5.9999999999999787</v>
      </c>
      <c r="V55" s="22">
        <f t="shared" si="37"/>
        <v>51.999999999999972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8"/>
        <v>-263.46153846153766</v>
      </c>
      <c r="AF55" s="21">
        <f t="shared" si="9"/>
        <v>0.86826923076923113</v>
      </c>
      <c r="AG55" s="172"/>
    </row>
    <row r="56" spans="1:33" ht="15.75" customHeight="1">
      <c r="A56" s="182" t="s">
        <v>1843</v>
      </c>
      <c r="B56" s="37" t="s">
        <v>78</v>
      </c>
      <c r="C56" s="43" t="s">
        <v>122</v>
      </c>
      <c r="D56" s="44"/>
      <c r="E56" s="37">
        <v>54.09</v>
      </c>
      <c r="F56" s="42">
        <v>1127</v>
      </c>
      <c r="G56" s="4">
        <f t="shared" si="35"/>
        <v>60959.43</v>
      </c>
      <c r="H56" s="22" t="s">
        <v>139</v>
      </c>
      <c r="I56" s="16">
        <v>19</v>
      </c>
      <c r="J56" s="18">
        <v>2000</v>
      </c>
      <c r="K56" s="17">
        <f t="shared" si="1"/>
        <v>105.26315789473684</v>
      </c>
      <c r="L56" s="16">
        <v>19</v>
      </c>
      <c r="M56" s="18">
        <f t="shared" si="36"/>
        <v>1827.5675675675661</v>
      </c>
      <c r="N56" s="18">
        <f t="shared" si="3"/>
        <v>96.187766714082429</v>
      </c>
      <c r="O56" s="19">
        <f t="shared" si="4"/>
        <v>0</v>
      </c>
      <c r="P56" s="20">
        <f t="shared" si="5"/>
        <v>-9.0753911806544068</v>
      </c>
      <c r="Q56" s="21">
        <f t="shared" si="6"/>
        <v>0.91378378378378311</v>
      </c>
      <c r="R56" s="172"/>
      <c r="S56" s="28">
        <v>0.33888888888888885</v>
      </c>
      <c r="T56" s="28">
        <v>0.36458333333333331</v>
      </c>
      <c r="U56" s="4">
        <f t="shared" si="38"/>
        <v>4.9999999999999822</v>
      </c>
      <c r="V56" s="22">
        <f t="shared" si="37"/>
        <v>37.000000000000028</v>
      </c>
      <c r="W56" s="23"/>
      <c r="X56" s="23"/>
      <c r="Y56" s="26"/>
      <c r="Z56" s="26"/>
      <c r="AA56" s="164"/>
      <c r="AB56" s="164"/>
      <c r="AC56" s="25"/>
      <c r="AD56" s="25"/>
      <c r="AE56" s="19">
        <f t="shared" si="8"/>
        <v>-172.43243243243387</v>
      </c>
      <c r="AF56" s="21">
        <f t="shared" si="9"/>
        <v>0.91378378378378311</v>
      </c>
      <c r="AG56" s="172"/>
    </row>
    <row r="57" spans="1:33" ht="15.75" customHeight="1">
      <c r="A57" s="182" t="s">
        <v>1843</v>
      </c>
      <c r="B57" s="37" t="s">
        <v>78</v>
      </c>
      <c r="C57" s="173" t="s">
        <v>123</v>
      </c>
      <c r="D57" s="174"/>
      <c r="E57" s="37">
        <v>55.56</v>
      </c>
      <c r="F57" s="42">
        <v>1000</v>
      </c>
      <c r="G57" s="4">
        <f t="shared" si="35"/>
        <v>55560</v>
      </c>
      <c r="H57" s="22">
        <v>2</v>
      </c>
      <c r="I57" s="16">
        <v>17</v>
      </c>
      <c r="J57" s="18">
        <v>2000</v>
      </c>
      <c r="K57" s="17">
        <f t="shared" si="1"/>
        <v>117.64705882352941</v>
      </c>
      <c r="L57" s="16">
        <v>17</v>
      </c>
      <c r="M57" s="18">
        <f t="shared" si="36"/>
        <v>1935.483870967739</v>
      </c>
      <c r="N57" s="18">
        <f t="shared" si="3"/>
        <v>113.85199240986699</v>
      </c>
      <c r="O57" s="19">
        <f t="shared" si="4"/>
        <v>0</v>
      </c>
      <c r="P57" s="20">
        <f t="shared" si="5"/>
        <v>-3.7950664136624113</v>
      </c>
      <c r="Q57" s="21">
        <f t="shared" si="6"/>
        <v>0.96774193548386955</v>
      </c>
      <c r="R57" s="172"/>
      <c r="S57" s="28">
        <v>0.70833333333333337</v>
      </c>
      <c r="T57" s="28">
        <v>0.72986111111111118</v>
      </c>
      <c r="U57" s="4" t="str">
        <f t="shared" si="38"/>
        <v/>
      </c>
      <c r="V57" s="22">
        <f t="shared" si="37"/>
        <v>31.00000000000005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8"/>
        <v>-64.516129032261006</v>
      </c>
      <c r="AF57" s="21">
        <f t="shared" si="9"/>
        <v>0.96774193548386944</v>
      </c>
      <c r="AG57" s="172"/>
    </row>
    <row r="58" spans="1:33" ht="15.75" customHeight="1">
      <c r="A58" s="182" t="s">
        <v>1843</v>
      </c>
      <c r="B58" s="37" t="s">
        <v>78</v>
      </c>
      <c r="C58" s="173" t="s">
        <v>124</v>
      </c>
      <c r="D58" s="174"/>
      <c r="E58" s="37">
        <v>55.32</v>
      </c>
      <c r="F58" s="42">
        <v>1422</v>
      </c>
      <c r="G58" s="4">
        <f t="shared" si="35"/>
        <v>78665.039999999994</v>
      </c>
      <c r="H58" s="22" t="s">
        <v>139</v>
      </c>
      <c r="I58" s="16">
        <v>15</v>
      </c>
      <c r="J58" s="18">
        <v>2000</v>
      </c>
      <c r="K58" s="17">
        <f t="shared" si="1"/>
        <v>133.33333333333334</v>
      </c>
      <c r="L58" s="16">
        <v>15</v>
      </c>
      <c r="M58" s="18">
        <f t="shared" si="36"/>
        <v>1939.0909090909092</v>
      </c>
      <c r="N58" s="18">
        <f t="shared" si="3"/>
        <v>129.27272727272728</v>
      </c>
      <c r="O58" s="19">
        <f t="shared" si="4"/>
        <v>0</v>
      </c>
      <c r="P58" s="20">
        <f t="shared" si="5"/>
        <v>-4.0606060606060623</v>
      </c>
      <c r="Q58" s="21">
        <f t="shared" si="6"/>
        <v>0.96954545454545449</v>
      </c>
      <c r="R58" s="172"/>
      <c r="S58" s="28">
        <v>0.73402777777777783</v>
      </c>
      <c r="T58" s="28">
        <v>0.76458333333333339</v>
      </c>
      <c r="U58" s="4">
        <f t="shared" si="38"/>
        <v>5.9999999999999787</v>
      </c>
      <c r="V58" s="22">
        <f t="shared" si="37"/>
        <v>44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8"/>
        <v>-60.909090909090764</v>
      </c>
      <c r="AF58" s="21">
        <f t="shared" si="9"/>
        <v>0.9695454545454546</v>
      </c>
      <c r="AG58" s="172"/>
    </row>
    <row r="59" spans="1:33" ht="15.75" customHeight="1">
      <c r="A59" s="182" t="s">
        <v>1843</v>
      </c>
      <c r="B59" s="37" t="s">
        <v>78</v>
      </c>
      <c r="C59" s="173" t="s">
        <v>125</v>
      </c>
      <c r="D59" s="174"/>
      <c r="E59" s="37">
        <v>54.29</v>
      </c>
      <c r="F59" s="42">
        <v>1603</v>
      </c>
      <c r="G59" s="4">
        <f t="shared" si="35"/>
        <v>87026.87</v>
      </c>
      <c r="H59" s="22" t="s">
        <v>139</v>
      </c>
      <c r="I59" s="16">
        <v>20</v>
      </c>
      <c r="J59" s="18">
        <v>2000</v>
      </c>
      <c r="K59" s="17">
        <f t="shared" si="1"/>
        <v>100</v>
      </c>
      <c r="L59" s="16">
        <v>20</v>
      </c>
      <c r="M59" s="18">
        <f t="shared" si="36"/>
        <v>1923.6000000000006</v>
      </c>
      <c r="N59" s="18">
        <f t="shared" si="3"/>
        <v>96.180000000000035</v>
      </c>
      <c r="O59" s="19">
        <f t="shared" si="4"/>
        <v>0</v>
      </c>
      <c r="P59" s="20">
        <f t="shared" si="5"/>
        <v>-3.8199999999999648</v>
      </c>
      <c r="Q59" s="21">
        <f t="shared" si="6"/>
        <v>0.96180000000000032</v>
      </c>
      <c r="R59" s="172"/>
      <c r="S59" s="28">
        <v>0.7680555555555556</v>
      </c>
      <c r="T59" s="28">
        <v>0.80277777777777781</v>
      </c>
      <c r="U59" s="4">
        <f t="shared" si="38"/>
        <v>4.9999999999999822</v>
      </c>
      <c r="V59" s="22">
        <f t="shared" si="37"/>
        <v>49.999999999999986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8"/>
        <v>-76.399999999999409</v>
      </c>
      <c r="AF59" s="21">
        <f t="shared" si="9"/>
        <v>0.96180000000000032</v>
      </c>
      <c r="AG59" s="172"/>
    </row>
    <row r="60" spans="1:33">
      <c r="A60" s="182" t="s">
        <v>1843</v>
      </c>
      <c r="B60" s="37" t="s">
        <v>78</v>
      </c>
      <c r="C60" s="173" t="s">
        <v>126</v>
      </c>
      <c r="D60" s="174"/>
      <c r="E60" s="37">
        <v>57.73</v>
      </c>
      <c r="F60" s="42">
        <v>1195</v>
      </c>
      <c r="G60" s="4">
        <f t="shared" si="35"/>
        <v>68987.349999999991</v>
      </c>
      <c r="H60" s="22" t="s">
        <v>139</v>
      </c>
      <c r="I60" s="16">
        <v>16</v>
      </c>
      <c r="J60" s="18">
        <v>1500</v>
      </c>
      <c r="K60" s="17">
        <f t="shared" si="1"/>
        <v>93.75</v>
      </c>
      <c r="L60" s="16">
        <v>16</v>
      </c>
      <c r="M60" s="18">
        <f t="shared" si="36"/>
        <v>1434.0000000000005</v>
      </c>
      <c r="N60" s="18">
        <f t="shared" si="3"/>
        <v>89.625000000000028</v>
      </c>
      <c r="O60" s="19">
        <f t="shared" si="4"/>
        <v>0</v>
      </c>
      <c r="P60" s="20">
        <f t="shared" si="5"/>
        <v>-4.1249999999999716</v>
      </c>
      <c r="Q60" s="21">
        <f t="shared" si="6"/>
        <v>0.95600000000000029</v>
      </c>
      <c r="R60" s="172"/>
      <c r="S60" s="28">
        <v>0.80833333333333335</v>
      </c>
      <c r="T60" s="28">
        <v>0.84305555555555556</v>
      </c>
      <c r="U60" s="4">
        <f t="shared" si="38"/>
        <v>7.9999999999999716</v>
      </c>
      <c r="V60" s="22">
        <f t="shared" si="37"/>
        <v>49.999999999999986</v>
      </c>
      <c r="W60" s="23">
        <f>T60</f>
        <v>0.84305555555555556</v>
      </c>
      <c r="X60" s="23">
        <f>S61</f>
        <v>0.88472222222222219</v>
      </c>
      <c r="Y60" s="26"/>
      <c r="Z60" s="26"/>
      <c r="AA60" s="175"/>
      <c r="AB60" s="176"/>
      <c r="AC60" s="25"/>
      <c r="AD60" s="25"/>
      <c r="AE60" s="19">
        <f t="shared" si="8"/>
        <v>-65.999999999999545</v>
      </c>
      <c r="AF60" s="21">
        <f t="shared" si="9"/>
        <v>0.95600000000000029</v>
      </c>
      <c r="AG60" s="172"/>
    </row>
    <row r="61" spans="1:33">
      <c r="A61" s="182" t="s">
        <v>1843</v>
      </c>
      <c r="B61" s="37" t="s">
        <v>78</v>
      </c>
      <c r="C61" s="173" t="s">
        <v>123</v>
      </c>
      <c r="D61" s="174"/>
      <c r="E61" s="37">
        <v>55.56</v>
      </c>
      <c r="F61" s="42">
        <v>1031</v>
      </c>
      <c r="G61" s="4">
        <f t="shared" si="35"/>
        <v>57282.36</v>
      </c>
      <c r="H61" s="22" t="s">
        <v>139</v>
      </c>
      <c r="I61" s="16">
        <v>17</v>
      </c>
      <c r="J61" s="18">
        <v>2000</v>
      </c>
      <c r="K61" s="17">
        <f t="shared" si="1"/>
        <v>117.64705882352941</v>
      </c>
      <c r="L61" s="16">
        <v>17</v>
      </c>
      <c r="M61" s="18">
        <f t="shared" si="36"/>
        <v>1933.1249999999975</v>
      </c>
      <c r="N61" s="18">
        <f t="shared" si="3"/>
        <v>113.7132352941175</v>
      </c>
      <c r="O61" s="19">
        <f t="shared" si="4"/>
        <v>0</v>
      </c>
      <c r="P61" s="20">
        <f t="shared" si="5"/>
        <v>-3.9338235294119102</v>
      </c>
      <c r="Q61" s="21">
        <f t="shared" si="6"/>
        <v>0.96656249999999877</v>
      </c>
      <c r="R61" s="172"/>
      <c r="S61" s="28">
        <v>0.88472222222222219</v>
      </c>
      <c r="T61" s="28">
        <v>0.90694444444444444</v>
      </c>
      <c r="U61" s="4">
        <f t="shared" si="38"/>
        <v>59.999999999999943</v>
      </c>
      <c r="V61" s="22">
        <f t="shared" si="37"/>
        <v>32.000000000000043</v>
      </c>
      <c r="W61" s="23"/>
      <c r="X61" s="23"/>
      <c r="Y61" s="26"/>
      <c r="Z61" s="26"/>
      <c r="AA61" s="175"/>
      <c r="AB61" s="176"/>
      <c r="AC61" s="25"/>
      <c r="AD61" s="25"/>
      <c r="AE61" s="19">
        <f t="shared" si="8"/>
        <v>-66.875000000002501</v>
      </c>
      <c r="AF61" s="21">
        <f t="shared" si="9"/>
        <v>0.96656249999999877</v>
      </c>
      <c r="AG61" s="172"/>
    </row>
    <row r="62" spans="1:33">
      <c r="A62" s="183" t="s">
        <v>1843</v>
      </c>
      <c r="B62" s="37" t="s">
        <v>1835</v>
      </c>
      <c r="C62" s="177"/>
      <c r="D62" s="177"/>
      <c r="E62" s="38"/>
      <c r="F62" s="17"/>
      <c r="G62" s="17"/>
      <c r="H62" s="4"/>
      <c r="I62" s="30">
        <v>18.5</v>
      </c>
      <c r="J62" s="18">
        <v>1950</v>
      </c>
      <c r="K62" s="17">
        <f t="shared" si="1"/>
        <v>105.4054054054054</v>
      </c>
      <c r="L62" s="30">
        <v>18.5</v>
      </c>
      <c r="M62" s="18">
        <f>AVERAGE(M52:M61)</f>
        <v>1830.7862225629567</v>
      </c>
      <c r="N62" s="17">
        <f t="shared" si="3"/>
        <v>98.9614174358355</v>
      </c>
      <c r="O62" s="19">
        <f t="shared" si="4"/>
        <v>0</v>
      </c>
      <c r="P62" s="20">
        <f t="shared" si="5"/>
        <v>-6.4439879695699034</v>
      </c>
      <c r="Q62" s="21">
        <f t="shared" si="6"/>
        <v>0.93886472951946498</v>
      </c>
      <c r="R62" s="172"/>
      <c r="S62" s="28"/>
      <c r="T62" s="28"/>
      <c r="U62" s="4"/>
      <c r="V62" s="22"/>
      <c r="W62" s="17"/>
      <c r="X62" s="17"/>
      <c r="Y62" s="31">
        <f>SUM(Y52:Y61)</f>
        <v>0</v>
      </c>
      <c r="Z62" s="31">
        <f>SUM(Z52:Z61)</f>
        <v>0</v>
      </c>
      <c r="AA62" s="168"/>
      <c r="AB62" s="168"/>
      <c r="AC62" s="31">
        <f>SUM(AC52:AC61)</f>
        <v>10</v>
      </c>
      <c r="AD62" s="31">
        <f>SUM(AD52:AD61)</f>
        <v>0</v>
      </c>
      <c r="AE62" s="19">
        <f>M62-J62</f>
        <v>-119.21377743704329</v>
      </c>
      <c r="AF62" s="21">
        <f t="shared" si="9"/>
        <v>0.93886472951946498</v>
      </c>
      <c r="AG62" s="172"/>
    </row>
    <row r="63" spans="1:33" ht="15.75" customHeight="1">
      <c r="A63" s="178" t="s">
        <v>1844</v>
      </c>
      <c r="B63" s="4" t="s">
        <v>84</v>
      </c>
      <c r="C63" s="165" t="s">
        <v>127</v>
      </c>
      <c r="D63" s="165"/>
      <c r="E63" s="37">
        <v>26.97</v>
      </c>
      <c r="F63" s="42">
        <v>1618</v>
      </c>
      <c r="G63" s="4">
        <f t="shared" ref="G63:G67" si="39">E63*F63</f>
        <v>43637.46</v>
      </c>
      <c r="H63" s="22" t="s">
        <v>139</v>
      </c>
      <c r="I63" s="16">
        <v>8</v>
      </c>
      <c r="J63" s="18">
        <v>1500</v>
      </c>
      <c r="K63" s="17">
        <f t="shared" si="1"/>
        <v>187.5</v>
      </c>
      <c r="L63" s="16">
        <v>8</v>
      </c>
      <c r="M63" s="18">
        <f t="shared" ref="M63:M67" si="40">F63/V63*60</f>
        <v>1427.6470588235302</v>
      </c>
      <c r="N63" s="17">
        <f t="shared" si="3"/>
        <v>178.45588235294127</v>
      </c>
      <c r="O63" s="19">
        <f t="shared" si="4"/>
        <v>0</v>
      </c>
      <c r="P63" s="20">
        <f t="shared" si="5"/>
        <v>-9.0441176470587266</v>
      </c>
      <c r="Q63" s="21">
        <f t="shared" si="6"/>
        <v>0.95176470588235351</v>
      </c>
      <c r="R63" s="172">
        <f>Q68</f>
        <v>0.95463287389854734</v>
      </c>
      <c r="S63" s="28">
        <v>0.20833333333333334</v>
      </c>
      <c r="T63" s="28">
        <v>0.25555555555555554</v>
      </c>
      <c r="U63" s="4"/>
      <c r="V63" s="22">
        <f t="shared" ref="V63:V67" si="41">(T63-S63)*24*60</f>
        <v>67.999999999999957</v>
      </c>
      <c r="W63" s="28"/>
      <c r="X63" s="28"/>
      <c r="Y63" s="28"/>
      <c r="Z63" s="28"/>
      <c r="AA63" s="164"/>
      <c r="AB63" s="164"/>
      <c r="AC63" s="25">
        <v>5</v>
      </c>
      <c r="AD63" s="25"/>
      <c r="AE63" s="19">
        <f t="shared" ref="AE63:AE74" si="42">M63-J63</f>
        <v>-72.352941176469812</v>
      </c>
      <c r="AF63" s="21">
        <f t="shared" si="9"/>
        <v>0.95176470588235351</v>
      </c>
      <c r="AG63" s="172">
        <f>AF68</f>
        <v>0.95463287389854734</v>
      </c>
    </row>
    <row r="64" spans="1:33" ht="15.75" customHeight="1">
      <c r="A64" s="178" t="s">
        <v>1844</v>
      </c>
      <c r="B64" s="4" t="s">
        <v>84</v>
      </c>
      <c r="C64" s="165" t="s">
        <v>128</v>
      </c>
      <c r="D64" s="165"/>
      <c r="E64" s="37">
        <v>27.4</v>
      </c>
      <c r="F64" s="42">
        <v>625</v>
      </c>
      <c r="G64" s="4">
        <f t="shared" si="39"/>
        <v>17125</v>
      </c>
      <c r="H64" s="22" t="s">
        <v>139</v>
      </c>
      <c r="I64" s="16">
        <v>10</v>
      </c>
      <c r="J64" s="18">
        <v>1500</v>
      </c>
      <c r="K64" s="17">
        <f t="shared" si="1"/>
        <v>150</v>
      </c>
      <c r="L64" s="16">
        <v>10</v>
      </c>
      <c r="M64" s="18">
        <f t="shared" si="40"/>
        <v>1442.3076923076931</v>
      </c>
      <c r="N64" s="17">
        <f t="shared" si="3"/>
        <v>144.23076923076931</v>
      </c>
      <c r="O64" s="19">
        <f t="shared" si="4"/>
        <v>0</v>
      </c>
      <c r="P64" s="20">
        <f t="shared" si="5"/>
        <v>-5.7692307692306883</v>
      </c>
      <c r="Q64" s="21">
        <f t="shared" si="6"/>
        <v>0.96153846153846212</v>
      </c>
      <c r="R64" s="172"/>
      <c r="S64" s="28">
        <v>0.26041666666666663</v>
      </c>
      <c r="T64" s="28">
        <v>0.27847222222222218</v>
      </c>
      <c r="U64" s="4">
        <f t="shared" ref="U64:U67" si="43">(S64-T63)*24*60</f>
        <v>6.9999999999999751</v>
      </c>
      <c r="V64" s="22">
        <f t="shared" si="41"/>
        <v>25.999999999999986</v>
      </c>
      <c r="W64" s="4"/>
      <c r="X64" s="4"/>
      <c r="Y64" s="4"/>
      <c r="Z64" s="4"/>
      <c r="AA64" s="164"/>
      <c r="AB64" s="164"/>
      <c r="AC64" s="25"/>
      <c r="AD64" s="25"/>
      <c r="AE64" s="19">
        <f t="shared" si="42"/>
        <v>-57.69230769230694</v>
      </c>
      <c r="AF64" s="21">
        <f t="shared" si="9"/>
        <v>0.96153846153846201</v>
      </c>
      <c r="AG64" s="172"/>
    </row>
    <row r="65" spans="1:33" ht="15.75" customHeight="1">
      <c r="A65" s="178" t="s">
        <v>1844</v>
      </c>
      <c r="B65" s="4" t="s">
        <v>111</v>
      </c>
      <c r="C65" s="165" t="s">
        <v>129</v>
      </c>
      <c r="D65" s="165"/>
      <c r="E65" s="37">
        <v>31</v>
      </c>
      <c r="F65" s="42">
        <v>603</v>
      </c>
      <c r="G65" s="4">
        <f t="shared" si="39"/>
        <v>18693</v>
      </c>
      <c r="H65" s="22" t="s">
        <v>139</v>
      </c>
      <c r="I65" s="16">
        <v>13</v>
      </c>
      <c r="J65" s="18">
        <v>2000</v>
      </c>
      <c r="K65" s="17">
        <f t="shared" si="1"/>
        <v>153.84615384615384</v>
      </c>
      <c r="L65" s="16">
        <v>13</v>
      </c>
      <c r="M65" s="18">
        <f t="shared" si="40"/>
        <v>1904.210526315788</v>
      </c>
      <c r="N65" s="17">
        <f t="shared" si="3"/>
        <v>146.47773279352216</v>
      </c>
      <c r="O65" s="19">
        <f t="shared" si="4"/>
        <v>0</v>
      </c>
      <c r="P65" s="20">
        <f t="shared" si="5"/>
        <v>-7.3684210526316747</v>
      </c>
      <c r="Q65" s="21">
        <f t="shared" si="6"/>
        <v>0.95210526315789412</v>
      </c>
      <c r="R65" s="172"/>
      <c r="S65" s="28">
        <v>0.28263888888888883</v>
      </c>
      <c r="T65" s="28">
        <v>0.29583333333333328</v>
      </c>
      <c r="U65" s="4">
        <f t="shared" si="43"/>
        <v>5.9999999999999787</v>
      </c>
      <c r="V65" s="22">
        <f t="shared" si="41"/>
        <v>19.000000000000014</v>
      </c>
      <c r="W65" s="4"/>
      <c r="X65" s="4"/>
      <c r="Y65" s="4"/>
      <c r="Z65" s="4"/>
      <c r="AA65" s="164"/>
      <c r="AB65" s="164"/>
      <c r="AC65" s="25"/>
      <c r="AD65" s="25"/>
      <c r="AE65" s="19">
        <f t="shared" si="42"/>
        <v>-95.789473684211998</v>
      </c>
      <c r="AF65" s="21">
        <f t="shared" si="9"/>
        <v>0.95210526315789401</v>
      </c>
      <c r="AG65" s="172"/>
    </row>
    <row r="66" spans="1:33" ht="15.75" customHeight="1">
      <c r="A66" s="178" t="s">
        <v>1844</v>
      </c>
      <c r="B66" s="4" t="s">
        <v>111</v>
      </c>
      <c r="C66" s="165" t="s">
        <v>130</v>
      </c>
      <c r="D66" s="165"/>
      <c r="E66" s="37">
        <v>37.85</v>
      </c>
      <c r="F66" s="42">
        <v>2038</v>
      </c>
      <c r="G66" s="4">
        <f t="shared" si="39"/>
        <v>77138.3</v>
      </c>
      <c r="H66" s="22" t="s">
        <v>139</v>
      </c>
      <c r="I66" s="16">
        <v>12</v>
      </c>
      <c r="J66" s="18">
        <v>2000</v>
      </c>
      <c r="K66" s="17">
        <f t="shared" si="1"/>
        <v>166.66666666666666</v>
      </c>
      <c r="L66" s="16">
        <v>12</v>
      </c>
      <c r="M66" s="18">
        <f t="shared" si="40"/>
        <v>1910.6249999999995</v>
      </c>
      <c r="N66" s="17">
        <f t="shared" si="3"/>
        <v>159.21874999999997</v>
      </c>
      <c r="O66" s="19">
        <f t="shared" si="4"/>
        <v>0</v>
      </c>
      <c r="P66" s="20">
        <f t="shared" si="5"/>
        <v>-7.4479166666666856</v>
      </c>
      <c r="Q66" s="21">
        <f t="shared" si="6"/>
        <v>0.9553124999999999</v>
      </c>
      <c r="R66" s="172"/>
      <c r="S66" s="28">
        <v>0.29930555555555549</v>
      </c>
      <c r="T66" s="28">
        <v>0.34374999999999994</v>
      </c>
      <c r="U66" s="4">
        <f t="shared" si="43"/>
        <v>4.9999999999999822</v>
      </c>
      <c r="V66" s="22">
        <f t="shared" si="41"/>
        <v>64.000000000000014</v>
      </c>
      <c r="W66" s="4"/>
      <c r="X66" s="4"/>
      <c r="Y66" s="4"/>
      <c r="Z66" s="4"/>
      <c r="AA66" s="164"/>
      <c r="AB66" s="164"/>
      <c r="AC66" s="25"/>
      <c r="AD66" s="25"/>
      <c r="AE66" s="19">
        <f t="shared" si="42"/>
        <v>-89.375000000000455</v>
      </c>
      <c r="AF66" s="21">
        <f t="shared" si="9"/>
        <v>0.95531249999999979</v>
      </c>
      <c r="AG66" s="172"/>
    </row>
    <row r="67" spans="1:33">
      <c r="A67" s="179" t="s">
        <v>1844</v>
      </c>
      <c r="B67" s="4" t="s">
        <v>111</v>
      </c>
      <c r="C67" s="165" t="s">
        <v>131</v>
      </c>
      <c r="D67" s="165"/>
      <c r="E67" s="37">
        <v>34.36</v>
      </c>
      <c r="F67" s="42">
        <v>1240</v>
      </c>
      <c r="G67" s="4">
        <f t="shared" si="39"/>
        <v>42606.400000000001</v>
      </c>
      <c r="H67" s="22" t="s">
        <v>139</v>
      </c>
      <c r="I67" s="16">
        <v>10</v>
      </c>
      <c r="J67" s="18">
        <v>3000</v>
      </c>
      <c r="K67" s="17">
        <f t="shared" si="1"/>
        <v>300</v>
      </c>
      <c r="L67" s="16">
        <v>10</v>
      </c>
      <c r="M67" s="18">
        <f t="shared" si="40"/>
        <v>2861.5384615384633</v>
      </c>
      <c r="N67" s="17">
        <f t="shared" si="3"/>
        <v>286.1538461538463</v>
      </c>
      <c r="O67" s="19">
        <f t="shared" si="4"/>
        <v>0</v>
      </c>
      <c r="P67" s="20">
        <f t="shared" si="5"/>
        <v>-13.846153846153697</v>
      </c>
      <c r="Q67" s="21">
        <f t="shared" si="6"/>
        <v>0.95384615384615434</v>
      </c>
      <c r="R67" s="172"/>
      <c r="S67" s="28">
        <v>0.34722222222222215</v>
      </c>
      <c r="T67" s="28">
        <v>0.3652777777777777</v>
      </c>
      <c r="U67" s="4">
        <f t="shared" si="43"/>
        <v>4.9999999999999822</v>
      </c>
      <c r="V67" s="22">
        <f t="shared" si="41"/>
        <v>25.999999999999986</v>
      </c>
      <c r="W67" s="23"/>
      <c r="X67" s="23"/>
      <c r="Y67" s="23"/>
      <c r="Z67" s="23"/>
      <c r="AA67" s="164"/>
      <c r="AB67" s="164"/>
      <c r="AC67" s="25"/>
      <c r="AD67" s="25"/>
      <c r="AE67" s="19">
        <f t="shared" si="42"/>
        <v>-138.46153846153675</v>
      </c>
      <c r="AF67" s="21">
        <f t="shared" si="9"/>
        <v>0.95384615384615445</v>
      </c>
      <c r="AG67" s="172"/>
    </row>
    <row r="68" spans="1:33">
      <c r="A68" s="179" t="s">
        <v>1844</v>
      </c>
      <c r="B68" s="37" t="s">
        <v>1835</v>
      </c>
      <c r="C68" s="177"/>
      <c r="D68" s="177"/>
      <c r="E68" s="38"/>
      <c r="F68" s="17"/>
      <c r="G68" s="17"/>
      <c r="H68" s="4"/>
      <c r="I68" s="30">
        <v>10.6</v>
      </c>
      <c r="J68" s="18">
        <v>2000</v>
      </c>
      <c r="K68" s="17">
        <f t="shared" si="1"/>
        <v>188.67924528301887</v>
      </c>
      <c r="L68" s="30">
        <v>10.6</v>
      </c>
      <c r="M68" s="18">
        <f>AVERAGE(M63:M67)</f>
        <v>1909.2657477970947</v>
      </c>
      <c r="N68" s="17">
        <f t="shared" si="3"/>
        <v>180.11941016953725</v>
      </c>
      <c r="O68" s="19">
        <f t="shared" si="4"/>
        <v>0</v>
      </c>
      <c r="P68" s="20">
        <f t="shared" si="5"/>
        <v>-8.5598351134816255</v>
      </c>
      <c r="Q68" s="21">
        <f t="shared" si="6"/>
        <v>0.95463287389854734</v>
      </c>
      <c r="R68" s="172"/>
      <c r="S68" s="28"/>
      <c r="T68" s="28"/>
      <c r="U68" s="17"/>
      <c r="V68" s="22"/>
      <c r="W68" s="17"/>
      <c r="X68" s="17"/>
      <c r="Y68" s="31">
        <f>SUM(Y63:Y67)</f>
        <v>0</v>
      </c>
      <c r="Z68" s="31">
        <f>SUM(Z63:Z67)</f>
        <v>0</v>
      </c>
      <c r="AA68" s="168"/>
      <c r="AB68" s="168"/>
      <c r="AC68" s="31">
        <f>SUM(AC63:AC67)</f>
        <v>5</v>
      </c>
      <c r="AD68" s="31">
        <f>SUM(AD63:AD67)</f>
        <v>0</v>
      </c>
      <c r="AE68" s="19">
        <f t="shared" si="42"/>
        <v>-90.734252202905282</v>
      </c>
      <c r="AF68" s="21">
        <f t="shared" si="9"/>
        <v>0.95463287389854734</v>
      </c>
      <c r="AG68" s="172"/>
    </row>
    <row r="69" spans="1:33" ht="15.75" customHeight="1">
      <c r="A69" s="169" t="s">
        <v>1845</v>
      </c>
      <c r="B69" s="4" t="s">
        <v>100</v>
      </c>
      <c r="C69" s="165" t="s">
        <v>133</v>
      </c>
      <c r="D69" s="165"/>
      <c r="E69" s="37">
        <v>20.2</v>
      </c>
      <c r="F69" s="4">
        <v>1366</v>
      </c>
      <c r="G69" s="4">
        <f t="shared" ref="G69:G73" si="44">E69*F69</f>
        <v>27593.200000000001</v>
      </c>
      <c r="H69" s="22" t="s">
        <v>139</v>
      </c>
      <c r="I69" s="16">
        <v>19</v>
      </c>
      <c r="J69" s="18">
        <v>2400</v>
      </c>
      <c r="K69" s="17">
        <f t="shared" ref="K69:K74" si="45">J69/I69</f>
        <v>126.31578947368421</v>
      </c>
      <c r="L69" s="16">
        <v>19</v>
      </c>
      <c r="M69" s="18">
        <f t="shared" ref="M69:M73" si="46">F69/V69*60</f>
        <v>2341.7142857142862</v>
      </c>
      <c r="N69" s="17">
        <f t="shared" ref="N69:N74" si="47">M69/L69</f>
        <v>123.24812030075191</v>
      </c>
      <c r="O69" s="19">
        <f t="shared" ref="O69:O74" si="48">L69-I69</f>
        <v>0</v>
      </c>
      <c r="P69" s="20">
        <f t="shared" ref="P69:P74" si="49">N69-K69</f>
        <v>-3.0676691729322982</v>
      </c>
      <c r="Q69" s="21">
        <f t="shared" ref="Q69:Q74" si="50">N69/K69</f>
        <v>0.97571428571428598</v>
      </c>
      <c r="R69" s="172">
        <f>Q74</f>
        <v>0.95962960797837693</v>
      </c>
      <c r="S69" s="28">
        <v>0.125</v>
      </c>
      <c r="T69" s="28">
        <v>0.14930555555555555</v>
      </c>
      <c r="U69" s="28"/>
      <c r="V69" s="22">
        <f t="shared" ref="V69:V73" si="51">(T69-S69)*24*60</f>
        <v>34.999999999999993</v>
      </c>
      <c r="W69" s="23">
        <f>T69</f>
        <v>0.14930555555555555</v>
      </c>
      <c r="X69" s="23">
        <f>S70</f>
        <v>0.16944444444444445</v>
      </c>
      <c r="Y69" s="23"/>
      <c r="Z69" s="23"/>
      <c r="AA69" s="164"/>
      <c r="AB69" s="164"/>
      <c r="AC69" s="25">
        <v>5</v>
      </c>
      <c r="AD69" s="25"/>
      <c r="AE69" s="19">
        <f t="shared" si="42"/>
        <v>-58.285714285713766</v>
      </c>
      <c r="AF69" s="21">
        <f t="shared" ref="AF69:AF74" si="52">M69/J69</f>
        <v>0.97571428571428598</v>
      </c>
      <c r="AG69" s="172">
        <f>AF74</f>
        <v>0.95962960797837693</v>
      </c>
    </row>
    <row r="70" spans="1:33" ht="15.75" customHeight="1">
      <c r="A70" s="170" t="s">
        <v>1845</v>
      </c>
      <c r="B70" s="4" t="s">
        <v>100</v>
      </c>
      <c r="C70" s="165" t="s">
        <v>109</v>
      </c>
      <c r="D70" s="165"/>
      <c r="E70" s="37">
        <v>24.45</v>
      </c>
      <c r="F70" s="4">
        <v>2147</v>
      </c>
      <c r="G70" s="4">
        <f t="shared" si="44"/>
        <v>52494.15</v>
      </c>
      <c r="H70" s="22" t="s">
        <v>139</v>
      </c>
      <c r="I70" s="16">
        <v>20</v>
      </c>
      <c r="J70" s="18">
        <v>2400</v>
      </c>
      <c r="K70" s="17">
        <f t="shared" si="45"/>
        <v>120</v>
      </c>
      <c r="L70" s="16">
        <v>20</v>
      </c>
      <c r="M70" s="18">
        <f t="shared" si="46"/>
        <v>2300.3571428571431</v>
      </c>
      <c r="N70" s="17">
        <f t="shared" si="47"/>
        <v>115.01785714285715</v>
      </c>
      <c r="O70" s="19">
        <f t="shared" si="48"/>
        <v>0</v>
      </c>
      <c r="P70" s="20">
        <f t="shared" si="49"/>
        <v>-4.982142857142847</v>
      </c>
      <c r="Q70" s="21">
        <f t="shared" si="50"/>
        <v>0.95848214285714295</v>
      </c>
      <c r="R70" s="172"/>
      <c r="S70" s="28">
        <v>0.16944444444444445</v>
      </c>
      <c r="T70" s="28">
        <v>0.20833333333333334</v>
      </c>
      <c r="U70" s="4">
        <f t="shared" ref="U70:U73" si="53">(S70-T69)*24*60</f>
        <v>29.000000000000018</v>
      </c>
      <c r="V70" s="22">
        <f t="shared" si="51"/>
        <v>56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42"/>
        <v>-99.642857142856883</v>
      </c>
      <c r="AF70" s="21">
        <f t="shared" si="52"/>
        <v>0.95848214285714295</v>
      </c>
      <c r="AG70" s="172"/>
    </row>
    <row r="71" spans="1:33" ht="15.75" customHeight="1">
      <c r="A71" s="170" t="s">
        <v>1845</v>
      </c>
      <c r="B71" s="4" t="s">
        <v>100</v>
      </c>
      <c r="C71" s="165" t="s">
        <v>136</v>
      </c>
      <c r="D71" s="165"/>
      <c r="E71" s="37">
        <v>24.43</v>
      </c>
      <c r="F71" s="4">
        <v>5032</v>
      </c>
      <c r="G71" s="4">
        <f t="shared" si="44"/>
        <v>122931.76</v>
      </c>
      <c r="H71" s="22" t="s">
        <v>139</v>
      </c>
      <c r="I71" s="16">
        <v>14</v>
      </c>
      <c r="J71" s="18">
        <v>2400</v>
      </c>
      <c r="K71" s="17">
        <f t="shared" si="45"/>
        <v>171.42857142857142</v>
      </c>
      <c r="L71" s="16">
        <v>14</v>
      </c>
      <c r="M71" s="18">
        <f t="shared" si="46"/>
        <v>2287.2727272727261</v>
      </c>
      <c r="N71" s="17">
        <f t="shared" si="47"/>
        <v>163.37662337662329</v>
      </c>
      <c r="O71" s="19">
        <f t="shared" si="48"/>
        <v>0</v>
      </c>
      <c r="P71" s="20">
        <f t="shared" si="49"/>
        <v>-8.0519480519481306</v>
      </c>
      <c r="Q71" s="21">
        <f t="shared" si="50"/>
        <v>0.95303030303030256</v>
      </c>
      <c r="R71" s="172"/>
      <c r="S71" s="28">
        <v>0.21180555555555555</v>
      </c>
      <c r="T71" s="28">
        <v>0.30347222222222225</v>
      </c>
      <c r="U71" s="4">
        <f t="shared" si="53"/>
        <v>4.9999999999999822</v>
      </c>
      <c r="V71" s="22">
        <f t="shared" si="51"/>
        <v>132.00000000000006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42"/>
        <v>-112.72727272727388</v>
      </c>
      <c r="AF71" s="21">
        <f t="shared" si="52"/>
        <v>0.95303030303030256</v>
      </c>
      <c r="AG71" s="172"/>
    </row>
    <row r="72" spans="1:33" ht="15.75" customHeight="1">
      <c r="A72" s="170" t="s">
        <v>1845</v>
      </c>
      <c r="B72" s="4" t="s">
        <v>100</v>
      </c>
      <c r="C72" s="165" t="s">
        <v>138</v>
      </c>
      <c r="D72" s="165"/>
      <c r="E72" s="37">
        <v>22.69</v>
      </c>
      <c r="F72" s="4">
        <v>613</v>
      </c>
      <c r="G72" s="4">
        <f t="shared" si="44"/>
        <v>13908.970000000001</v>
      </c>
      <c r="H72" s="22" t="s">
        <v>139</v>
      </c>
      <c r="I72" s="16">
        <v>15</v>
      </c>
      <c r="J72" s="18">
        <v>2400</v>
      </c>
      <c r="K72" s="17">
        <f t="shared" si="45"/>
        <v>160</v>
      </c>
      <c r="L72" s="16">
        <v>15</v>
      </c>
      <c r="M72" s="18">
        <f t="shared" si="46"/>
        <v>2298.7499999999968</v>
      </c>
      <c r="N72" s="17">
        <f t="shared" si="47"/>
        <v>153.2499999999998</v>
      </c>
      <c r="O72" s="19">
        <f t="shared" si="48"/>
        <v>0</v>
      </c>
      <c r="P72" s="20">
        <f t="shared" si="49"/>
        <v>-6.750000000000199</v>
      </c>
      <c r="Q72" s="21">
        <f t="shared" si="50"/>
        <v>0.95781249999999873</v>
      </c>
      <c r="R72" s="172"/>
      <c r="S72" s="28">
        <v>0.30902777777777779</v>
      </c>
      <c r="T72" s="28">
        <v>0.32013888888888892</v>
      </c>
      <c r="U72" s="4">
        <f t="shared" si="53"/>
        <v>7.9999999999999716</v>
      </c>
      <c r="V72" s="22">
        <f t="shared" si="51"/>
        <v>16.000000000000021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42"/>
        <v>-101.25000000000318</v>
      </c>
      <c r="AF72" s="21">
        <f t="shared" si="52"/>
        <v>0.95781249999999862</v>
      </c>
      <c r="AG72" s="172"/>
    </row>
    <row r="73" spans="1:33" ht="15.75" customHeight="1">
      <c r="A73" s="170" t="s">
        <v>1845</v>
      </c>
      <c r="B73" s="4" t="s">
        <v>100</v>
      </c>
      <c r="C73" s="165" t="s">
        <v>135</v>
      </c>
      <c r="D73" s="165"/>
      <c r="E73" s="37">
        <v>19.02</v>
      </c>
      <c r="F73" s="4">
        <v>7358</v>
      </c>
      <c r="G73" s="4">
        <f t="shared" si="44"/>
        <v>139949.16</v>
      </c>
      <c r="H73" s="22" t="s">
        <v>139</v>
      </c>
      <c r="I73" s="16">
        <v>15</v>
      </c>
      <c r="J73" s="18">
        <v>2400</v>
      </c>
      <c r="K73" s="17">
        <f t="shared" si="45"/>
        <v>160</v>
      </c>
      <c r="L73" s="16">
        <v>15</v>
      </c>
      <c r="M73" s="18">
        <f t="shared" si="46"/>
        <v>2287.4611398963725</v>
      </c>
      <c r="N73" s="17">
        <f t="shared" si="47"/>
        <v>152.49740932642484</v>
      </c>
      <c r="O73" s="19">
        <f t="shared" si="48"/>
        <v>0</v>
      </c>
      <c r="P73" s="20">
        <f t="shared" si="49"/>
        <v>-7.5025906735751562</v>
      </c>
      <c r="Q73" s="21">
        <f t="shared" si="50"/>
        <v>0.95310880829015532</v>
      </c>
      <c r="R73" s="172"/>
      <c r="S73" s="28">
        <v>0.32361111111111113</v>
      </c>
      <c r="T73" s="28">
        <v>0.45763888888888893</v>
      </c>
      <c r="U73" s="4">
        <f t="shared" si="53"/>
        <v>4.9999999999999822</v>
      </c>
      <c r="V73" s="22">
        <f t="shared" si="51"/>
        <v>193.00000000000003</v>
      </c>
      <c r="W73" s="23"/>
      <c r="X73" s="23"/>
      <c r="Y73" s="23"/>
      <c r="Z73" s="23"/>
      <c r="AA73" s="164"/>
      <c r="AB73" s="164"/>
      <c r="AC73" s="25"/>
      <c r="AD73" s="25"/>
      <c r="AE73" s="19">
        <f t="shared" si="42"/>
        <v>-112.53886010362748</v>
      </c>
      <c r="AF73" s="21">
        <f t="shared" si="52"/>
        <v>0.95310880829015521</v>
      </c>
      <c r="AG73" s="172"/>
    </row>
    <row r="74" spans="1:33" ht="16.5" customHeight="1">
      <c r="A74" s="171" t="s">
        <v>1845</v>
      </c>
      <c r="B74" s="37" t="s">
        <v>1835</v>
      </c>
      <c r="C74" s="166"/>
      <c r="D74" s="167"/>
      <c r="E74" s="38"/>
      <c r="F74" s="17"/>
      <c r="G74" s="17"/>
      <c r="H74" s="4"/>
      <c r="I74" s="30">
        <v>16.600000000000001</v>
      </c>
      <c r="J74" s="18">
        <v>2400</v>
      </c>
      <c r="K74" s="17">
        <f t="shared" si="45"/>
        <v>144.57831325301203</v>
      </c>
      <c r="L74" s="30">
        <v>16.600000000000001</v>
      </c>
      <c r="M74" s="18">
        <f>AVERAGE(M69:M73)</f>
        <v>2303.1110591481047</v>
      </c>
      <c r="N74" s="17">
        <f t="shared" si="47"/>
        <v>138.74163006916291</v>
      </c>
      <c r="O74" s="19">
        <f t="shared" si="48"/>
        <v>0</v>
      </c>
      <c r="P74" s="20">
        <f t="shared" si="49"/>
        <v>-5.836683183849118</v>
      </c>
      <c r="Q74" s="21">
        <f t="shared" si="50"/>
        <v>0.95962960797837693</v>
      </c>
      <c r="R74" s="172"/>
      <c r="S74" s="28"/>
      <c r="T74" s="28"/>
      <c r="U74" s="17"/>
      <c r="V74" s="22"/>
      <c r="W74" s="17"/>
      <c r="X74" s="17"/>
      <c r="Y74" s="31">
        <f>SUM(Y69:Y73)</f>
        <v>0</v>
      </c>
      <c r="Z74" s="31">
        <f>SUM(Z69:Z73)</f>
        <v>0</v>
      </c>
      <c r="AA74" s="168"/>
      <c r="AB74" s="168"/>
      <c r="AC74" s="31">
        <f>SUM(AC69:AC73)</f>
        <v>5</v>
      </c>
      <c r="AD74" s="31">
        <f>SUM(AD69:AD73)</f>
        <v>0</v>
      </c>
      <c r="AE74" s="19">
        <f t="shared" si="42"/>
        <v>-96.888940851895313</v>
      </c>
      <c r="AF74" s="21">
        <f t="shared" si="52"/>
        <v>0.95962960797837693</v>
      </c>
      <c r="AG74" s="172"/>
    </row>
    <row r="75" spans="1:33">
      <c r="D75" s="33"/>
      <c r="E75" s="33"/>
    </row>
  </sheetData>
  <mergeCells count="201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14:A20"/>
    <mergeCell ref="C14:D14"/>
    <mergeCell ref="R14:R20"/>
    <mergeCell ref="AA14:AB14"/>
    <mergeCell ref="AG14:AG20"/>
    <mergeCell ref="C18:D18"/>
    <mergeCell ref="AA18:AB18"/>
    <mergeCell ref="C19:D19"/>
    <mergeCell ref="AA19:AB19"/>
    <mergeCell ref="C20:D20"/>
    <mergeCell ref="AA20:AB20"/>
    <mergeCell ref="C15:D15"/>
    <mergeCell ref="AA15:AB15"/>
    <mergeCell ref="C16:D16"/>
    <mergeCell ref="AA16:AB16"/>
    <mergeCell ref="C17:D17"/>
    <mergeCell ref="AA17:AB17"/>
    <mergeCell ref="A11:A13"/>
    <mergeCell ref="C11:D11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G28:AG33"/>
    <mergeCell ref="C29:D29"/>
    <mergeCell ref="AA29:AB29"/>
    <mergeCell ref="C30:D30"/>
    <mergeCell ref="AA30:AB30"/>
    <mergeCell ref="C31:D31"/>
    <mergeCell ref="AA24:AB24"/>
    <mergeCell ref="C25:D25"/>
    <mergeCell ref="AA25:AB25"/>
    <mergeCell ref="C26:D26"/>
    <mergeCell ref="AA26:AB26"/>
    <mergeCell ref="C27:D27"/>
    <mergeCell ref="AA27:AB27"/>
    <mergeCell ref="AA31:AB31"/>
    <mergeCell ref="C32:D32"/>
    <mergeCell ref="AA32:AB32"/>
    <mergeCell ref="C33:D33"/>
    <mergeCell ref="AA33:AB33"/>
    <mergeCell ref="A34:A39"/>
    <mergeCell ref="C34:D34"/>
    <mergeCell ref="R34:R39"/>
    <mergeCell ref="AA34:AB34"/>
    <mergeCell ref="AA39:AB39"/>
    <mergeCell ref="A28:A33"/>
    <mergeCell ref="C28:D28"/>
    <mergeCell ref="R28:R33"/>
    <mergeCell ref="AA28:AB28"/>
    <mergeCell ref="AG40:AG51"/>
    <mergeCell ref="C41:D41"/>
    <mergeCell ref="AA41:AB41"/>
    <mergeCell ref="C42:D42"/>
    <mergeCell ref="AA42:AB42"/>
    <mergeCell ref="C43:D43"/>
    <mergeCell ref="AG34:AG39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C47:D47"/>
    <mergeCell ref="AA47:AB47"/>
    <mergeCell ref="C48:D48"/>
    <mergeCell ref="AA48:AB48"/>
    <mergeCell ref="C49:D49"/>
    <mergeCell ref="AA49:AB49"/>
    <mergeCell ref="AA43:AB43"/>
    <mergeCell ref="C44:D44"/>
    <mergeCell ref="AA44:AB44"/>
    <mergeCell ref="C45:D45"/>
    <mergeCell ref="AA45:AB45"/>
    <mergeCell ref="C46:D46"/>
    <mergeCell ref="AA46:AB46"/>
    <mergeCell ref="R40:R51"/>
    <mergeCell ref="AA40:AB40"/>
    <mergeCell ref="C50:D50"/>
    <mergeCell ref="AA50:AB50"/>
    <mergeCell ref="C51:D51"/>
    <mergeCell ref="AA51:AB51"/>
    <mergeCell ref="A52:A62"/>
    <mergeCell ref="C52:D52"/>
    <mergeCell ref="R52:R62"/>
    <mergeCell ref="AA52:AB52"/>
    <mergeCell ref="AA58:AB58"/>
    <mergeCell ref="C59:D59"/>
    <mergeCell ref="A40:A51"/>
    <mergeCell ref="C40:D40"/>
    <mergeCell ref="AG63:AG68"/>
    <mergeCell ref="C64:D64"/>
    <mergeCell ref="AA64:AB64"/>
    <mergeCell ref="C65:D65"/>
    <mergeCell ref="AA65:AB65"/>
    <mergeCell ref="C66:D66"/>
    <mergeCell ref="AA59:AB59"/>
    <mergeCell ref="C60:D60"/>
    <mergeCell ref="AA60:AB60"/>
    <mergeCell ref="C61:D61"/>
    <mergeCell ref="AA61:AB61"/>
    <mergeCell ref="C62:D62"/>
    <mergeCell ref="AA62:AB62"/>
    <mergeCell ref="AG52:AG62"/>
    <mergeCell ref="C53:D53"/>
    <mergeCell ref="AA53:AB53"/>
    <mergeCell ref="C54:D54"/>
    <mergeCell ref="AA54:AB54"/>
    <mergeCell ref="AA55:AB55"/>
    <mergeCell ref="AA56:AB56"/>
    <mergeCell ref="C57:D57"/>
    <mergeCell ref="AA57:AB57"/>
    <mergeCell ref="C58:D58"/>
    <mergeCell ref="AA66:AB66"/>
    <mergeCell ref="C67:D67"/>
    <mergeCell ref="AA67:AB67"/>
    <mergeCell ref="C68:D68"/>
    <mergeCell ref="AA68:AB68"/>
    <mergeCell ref="A69:A74"/>
    <mergeCell ref="C69:D69"/>
    <mergeCell ref="R69:R74"/>
    <mergeCell ref="AA69:AB69"/>
    <mergeCell ref="AA74:AB74"/>
    <mergeCell ref="A63:A68"/>
    <mergeCell ref="C63:D63"/>
    <mergeCell ref="R63:R68"/>
    <mergeCell ref="AA63:AB63"/>
    <mergeCell ref="AG69:AG74"/>
    <mergeCell ref="C70:D70"/>
    <mergeCell ref="AA70:AB70"/>
    <mergeCell ref="C71:D71"/>
    <mergeCell ref="AA71:AB71"/>
    <mergeCell ref="C72:D72"/>
    <mergeCell ref="AA72:AB72"/>
    <mergeCell ref="C73:D73"/>
    <mergeCell ref="AA73:AB73"/>
    <mergeCell ref="C74:D74"/>
  </mergeCells>
  <phoneticPr fontId="3" type="noConversion"/>
  <conditionalFormatting sqref="O5:O74">
    <cfRule type="cellIs" dxfId="198" priority="1" operator="greaterThan">
      <formula>0</formula>
    </cfRule>
  </conditionalFormatting>
  <conditionalFormatting sqref="P5:P74">
    <cfRule type="cellIs" dxfId="197" priority="4" operator="lessThan">
      <formula>0</formula>
    </cfRule>
  </conditionalFormatting>
  <conditionalFormatting sqref="Q5:Q74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R5:R11 AG5:AG11">
    <cfRule type="cellIs" dxfId="194" priority="87" operator="lessThan">
      <formula>0.8</formula>
    </cfRule>
  </conditionalFormatting>
  <conditionalFormatting sqref="AE5:AE74">
    <cfRule type="cellIs" dxfId="193" priority="17" operator="lessThan">
      <formula>0</formula>
    </cfRule>
  </conditionalFormatting>
  <conditionalFormatting sqref="AF5:AF74">
    <cfRule type="cellIs" dxfId="192" priority="15" operator="greaterThan">
      <formula>1</formula>
    </cfRule>
    <cfRule type="cellIs" dxfId="191" priority="16" operator="lessThan">
      <formula>0.8</formula>
    </cfRule>
  </conditionalFormatting>
  <conditionalFormatting sqref="AG14:AG66 R14:R74">
    <cfRule type="cellIs" dxfId="190" priority="5" operator="lessThan">
      <formula>0.8</formula>
    </cfRule>
  </conditionalFormatting>
  <dataValidations count="1">
    <dataValidation type="list" allowBlank="1" showInputMessage="1" showErrorMessage="1" sqref="AB10 AA5:AB9 AB67 AA10:AA67 AB12:AB63 AA68:AB74" xr:uid="{00000000-0002-0000-1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Q32"/>
  <sheetViews>
    <sheetView zoomScale="85" zoomScaleNormal="85" workbookViewId="0">
      <selection activeCell="C6" sqref="C6:D6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1665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1666</v>
      </c>
      <c r="C3" s="153" t="str">
        <f>TEXT('0219 4度C'!A2,"yyyy.mm.ddaaaa")</f>
        <v>2026.02.19星期四</v>
      </c>
      <c r="D3" s="154"/>
      <c r="E3" s="47" t="s">
        <v>1667</v>
      </c>
      <c r="F3" s="155">
        <f>'0219 4度C'!D1</f>
        <v>128366</v>
      </c>
      <c r="G3" s="156"/>
      <c r="H3" s="47" t="s">
        <v>1668</v>
      </c>
      <c r="I3" s="157">
        <f>'0219 4度C'!F1</f>
        <v>4453164.9000000004</v>
      </c>
      <c r="J3" s="158"/>
      <c r="K3" s="48"/>
      <c r="L3" s="49"/>
      <c r="M3" s="49"/>
      <c r="N3" s="49"/>
    </row>
    <row r="4" spans="2:17" ht="28.5" customHeight="1">
      <c r="B4" s="159" t="s">
        <v>1669</v>
      </c>
      <c r="C4" s="145" t="s">
        <v>1670</v>
      </c>
      <c r="D4" s="146"/>
      <c r="E4" s="162" t="s">
        <v>1671</v>
      </c>
      <c r="F4" s="163"/>
      <c r="G4" s="162" t="s">
        <v>1672</v>
      </c>
      <c r="H4" s="163"/>
      <c r="I4" s="162" t="s">
        <v>1673</v>
      </c>
      <c r="J4" s="163"/>
      <c r="K4" s="143" t="s">
        <v>1674</v>
      </c>
      <c r="L4" s="144"/>
      <c r="M4" s="144" t="s">
        <v>1675</v>
      </c>
      <c r="N4" s="144"/>
    </row>
    <row r="5" spans="2:17" ht="28.5" customHeight="1">
      <c r="B5" s="160"/>
      <c r="C5" s="145" t="s">
        <v>1676</v>
      </c>
      <c r="D5" s="146"/>
      <c r="E5" s="145" t="s">
        <v>1677</v>
      </c>
      <c r="F5" s="146"/>
      <c r="G5" s="147" t="s">
        <v>1678</v>
      </c>
      <c r="H5" s="148"/>
      <c r="I5" s="149" t="s">
        <v>1679</v>
      </c>
      <c r="J5" s="150"/>
      <c r="K5" s="50" t="s">
        <v>1680</v>
      </c>
      <c r="L5" s="51" t="s">
        <v>1681</v>
      </c>
      <c r="M5" s="50" t="s">
        <v>1680</v>
      </c>
      <c r="N5" s="51" t="s">
        <v>1682</v>
      </c>
    </row>
    <row r="6" spans="2:17" ht="28.5" customHeight="1">
      <c r="B6" s="160"/>
      <c r="C6" s="145" t="s">
        <v>158</v>
      </c>
      <c r="D6" s="146"/>
      <c r="E6" s="137">
        <f>AVERAGE(D13:M13)</f>
        <v>143.04682462633284</v>
      </c>
      <c r="F6" s="138">
        <f>AVERAGE(D31:O31,D13:J13)</f>
        <v>145.80338424678047</v>
      </c>
      <c r="G6" s="139">
        <f>AVERAGE(D13:J13)</f>
        <v>145.80338424678047</v>
      </c>
      <c r="H6" s="140"/>
      <c r="I6" s="139">
        <f>AVERAGE(K13:M13)</f>
        <v>136.61485217862165</v>
      </c>
      <c r="J6" s="140"/>
      <c r="K6" s="141">
        <f>'0219 4度C'!Y2</f>
        <v>0</v>
      </c>
      <c r="L6" s="126">
        <f>'0219 4度C'!Z2</f>
        <v>0</v>
      </c>
      <c r="M6" s="142">
        <f>'0219 4度C'!AC2</f>
        <v>57</v>
      </c>
      <c r="N6" s="126">
        <f>'0219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137.17103665688683</v>
      </c>
      <c r="F7" s="130">
        <f>AVERAGE(D32:O32,D14:J14)</f>
        <v>139.94799396938603</v>
      </c>
      <c r="G7" s="131">
        <f>AVERAGE(D14:J14)</f>
        <v>139.94799396938603</v>
      </c>
      <c r="H7" s="132"/>
      <c r="I7" s="131">
        <f>AVERAGE(K14:M14)</f>
        <v>130.69146959438868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0.95826569445035936</v>
      </c>
      <c r="F8" s="134">
        <f>AVERAGE(D15:J15,D33:O33)</f>
        <v>0.95894925392081121</v>
      </c>
      <c r="G8" s="135">
        <f>AVERAGE(D15:J15)</f>
        <v>0.95894925392081121</v>
      </c>
      <c r="H8" s="136"/>
      <c r="I8" s="135">
        <f>AVERAGE(K15:M15)</f>
        <v>0.95667072235263895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1683</v>
      </c>
      <c r="N9" s="49"/>
      <c r="O9" s="49"/>
      <c r="P9" s="49"/>
      <c r="Q9" s="49"/>
    </row>
    <row r="10" spans="2:17" ht="30" customHeight="1">
      <c r="B10" s="109" t="s">
        <v>162</v>
      </c>
      <c r="C10" s="110"/>
      <c r="D10" s="111" t="s">
        <v>1684</v>
      </c>
      <c r="E10" s="112"/>
      <c r="F10" s="112"/>
      <c r="G10" s="112"/>
      <c r="H10" s="112"/>
      <c r="I10" s="112"/>
      <c r="J10" s="113"/>
      <c r="K10" s="114" t="s">
        <v>1685</v>
      </c>
      <c r="L10" s="115"/>
      <c r="M10" s="116"/>
      <c r="P10" s="55"/>
      <c r="Q10" s="55"/>
    </row>
    <row r="11" spans="2:17" ht="17.25" customHeight="1">
      <c r="B11" s="117" t="s">
        <v>1686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1687</v>
      </c>
      <c r="C13" s="62" t="s">
        <v>1688</v>
      </c>
      <c r="D13" s="63">
        <f>SUMIFS('0219 4度C'!$K:$K,'0219 4度C'!$A:$A,"新豐6線",'0219 4度C'!$B:$B,"平均")</f>
        <v>113.63636363636363</v>
      </c>
      <c r="E13" s="64">
        <f>SUMIFS('0219 4度C'!$K:$K,'0219 4度C'!$A:$A,"新豐2線",'0219 4度C'!$B:$B,"平均")</f>
        <v>83.333333333333329</v>
      </c>
      <c r="F13" s="65">
        <f>SUMIFS('0219 4度C'!$K:$K,'0219 4度C'!$A:$A,"新豐5線",'0219 4度C'!$B:$B,"平均")</f>
        <v>100</v>
      </c>
      <c r="G13" s="65">
        <f>SUMIFS('0219 4度C'!$K:$K,'0219 4度C'!$A:$A,"新豐7線",'0219 4度C'!$B:$B,"平均")</f>
        <v>127.77777777777779</v>
      </c>
      <c r="H13" s="65">
        <f>SUMIFS('0219 4度C'!$K:$K,'0219 4度C'!$A:$A,"新豐3線",'0219 4度C'!$B:$B,"平均")</f>
        <v>303.030303030303</v>
      </c>
      <c r="I13" s="65">
        <f>SUMIFS('0219 4度C'!$K:$K,'0219 4度C'!$A:$A,"新豐1線",'0219 4度C'!$B:$B,"平均")</f>
        <v>104.16666666666666</v>
      </c>
      <c r="J13" s="66">
        <f>SUMIFS('0219 4度C'!$K:$K,'0219 4度C'!$A:$A,"新豐10線",'0219 4度C'!$B:$B,"平均")</f>
        <v>188.67924528301887</v>
      </c>
      <c r="K13" s="67">
        <f>SUMIFS('0219 4度C'!$K:$K,'0219 4度C'!$A:$A,"新豐8線",'0219 4度C'!$B:$B,"平均")</f>
        <v>130.43478260869566</v>
      </c>
      <c r="L13" s="68">
        <f>SUMIFS('0219 4度C'!$K:$K,'0219 4度C'!$A:$A,"新豐9線",'0219 4度C'!$B:$B,"平均")</f>
        <v>134.83146067415728</v>
      </c>
      <c r="M13" s="66">
        <f>SUMIFS('0219 4度C'!$K:$K,'0219 4度C'!$A:$A,"新豐4線",'0219 4度C'!$B:$B,"平均")</f>
        <v>144.57831325301203</v>
      </c>
    </row>
    <row r="14" spans="2:17" ht="39.6" customHeight="1">
      <c r="B14" s="122"/>
      <c r="C14" s="69" t="s">
        <v>323</v>
      </c>
      <c r="D14" s="70">
        <f>SUMIFS('0219 4度C'!$N:$N,'0219 4度C'!$A:$A,"新豐6線",'0219 4度C'!$B:$B,"平均")</f>
        <v>110.33494727172065</v>
      </c>
      <c r="E14" s="71">
        <f>SUMIFS('0219 4度C'!$N:$N,'0219 4度C'!$A:$A,"新豐2線",'0219 4度C'!$B:$B,"平均")</f>
        <v>79.629697562566207</v>
      </c>
      <c r="F14" s="71">
        <f>SUMIFS('0219 4度C'!$N:$N,'0219 4度C'!$A:$A,"新豐5線",'0219 4度C'!$B:$B,"平均")</f>
        <v>96.057374074479313</v>
      </c>
      <c r="G14" s="71">
        <f>SUMIFS('0219 4度C'!$N:$N,'0219 4度C'!$A:$A,"新豐7線",'0219 4度C'!$B:$B,"平均")</f>
        <v>122.78811117915211</v>
      </c>
      <c r="H14" s="71">
        <f>SUMIFS('0219 4度C'!$N:$N,'0219 4度C'!$A:$A,"新豐3線",'0219 4度C'!$B:$B,"平均")</f>
        <v>290.72873389010374</v>
      </c>
      <c r="I14" s="71">
        <f>SUMIFS('0219 4度C'!$N:$N,'0219 4度C'!$A:$A,"新豐1線",'0219 4度C'!$B:$B,"平均")</f>
        <v>97.836575726929411</v>
      </c>
      <c r="J14" s="72">
        <f>SUMIFS('0219 4度C'!$N:$N,'0219 4度C'!$A:$A,"新豐10線",'0219 4度C'!$B:$B,"平均")</f>
        <v>182.26051808075104</v>
      </c>
      <c r="K14" s="73">
        <f>SUMIFS('0219 4度C'!$N:$N,'0219 4度C'!$A:$A,"新豐8線",'0219 4度C'!$B:$B,"平均")</f>
        <v>125.12512916979125</v>
      </c>
      <c r="L14" s="74">
        <f>SUMIFS('0219 4度C'!$N:$N,'0219 4度C'!$A:$A,"新豐9線",'0219 4度C'!$B:$B,"平均")</f>
        <v>128.64065219401652</v>
      </c>
      <c r="M14" s="72">
        <f>SUMIFS('0219 4度C'!$N:$N,'0219 4度C'!$A:$A,"新豐4線",'0219 4度C'!$B:$B,"平均")</f>
        <v>138.30862741935823</v>
      </c>
    </row>
    <row r="15" spans="2:17" ht="40.15" customHeight="1">
      <c r="B15" s="123"/>
      <c r="C15" s="75" t="s">
        <v>1689</v>
      </c>
      <c r="D15" s="76">
        <f t="shared" ref="D15:M15" si="0">D14/D13</f>
        <v>0.97094753599114181</v>
      </c>
      <c r="E15" s="77">
        <f t="shared" si="0"/>
        <v>0.95555637075079458</v>
      </c>
      <c r="F15" s="77">
        <f t="shared" si="0"/>
        <v>0.96057374074479318</v>
      </c>
      <c r="G15" s="77">
        <f t="shared" si="0"/>
        <v>0.96095043531510338</v>
      </c>
      <c r="H15" s="77">
        <f t="shared" si="0"/>
        <v>0.95940482183734244</v>
      </c>
      <c r="I15" s="77">
        <f t="shared" si="0"/>
        <v>0.9392311269785224</v>
      </c>
      <c r="J15" s="78">
        <f t="shared" si="0"/>
        <v>0.96598074582798055</v>
      </c>
      <c r="K15" s="76">
        <f t="shared" si="0"/>
        <v>0.9592926569683996</v>
      </c>
      <c r="L15" s="77">
        <f t="shared" si="0"/>
        <v>0.95408483710562264</v>
      </c>
      <c r="M15" s="78">
        <f t="shared" si="0"/>
        <v>0.9566346729838946</v>
      </c>
    </row>
    <row r="16" spans="2:17" ht="17.25" customHeight="1">
      <c r="B16" s="124" t="s">
        <v>1690</v>
      </c>
      <c r="C16" s="79" t="s">
        <v>1691</v>
      </c>
      <c r="D16" s="80">
        <f>VLOOKUP("新豐6線",'0219 4度C'!$A:$T,19,0)</f>
        <v>0.70833333333333337</v>
      </c>
      <c r="E16" s="81">
        <f>VLOOKUP("新豐2線",'0219 4度C'!$A:$T,19,0)</f>
        <v>0.20833333333333334</v>
      </c>
      <c r="F16" s="81">
        <f>VLOOKUP("新豐5線",'0219 4度C'!$A:$T,19,0)</f>
        <v>0.20833333333333334</v>
      </c>
      <c r="G16" s="81">
        <f>VLOOKUP("新豐7線",'0219 4度C'!$A:$T,19,0)</f>
        <v>0.20833333333333334</v>
      </c>
      <c r="H16" s="81">
        <f>VLOOKUP("新豐3線",'0219 4度C'!$A:$T,19,0)</f>
        <v>0.20833333333333334</v>
      </c>
      <c r="I16" s="81">
        <f>VLOOKUP("新豐1線",'0219 4度C'!$A:$T,19,0)</f>
        <v>0.20833333333333334</v>
      </c>
      <c r="J16" s="82">
        <f>VLOOKUP("新豐10線",'0219 4度C'!$A:$T,19,0)</f>
        <v>0.20833333333333334</v>
      </c>
      <c r="K16" s="83">
        <f>VLOOKUP("新豐8線",'0219 4度C'!$A:$T,19,0)</f>
        <v>0.125</v>
      </c>
      <c r="L16" s="84">
        <f>VLOOKUP("新豐9線",'0219 4度C'!$A:$T,19,0)</f>
        <v>0.125</v>
      </c>
      <c r="M16" s="85">
        <f>VLOOKUP("新豐4線",'0219 4度C'!$A:$T,19,0)</f>
        <v>0.125</v>
      </c>
    </row>
    <row r="17" spans="2:13" ht="17.25" customHeight="1">
      <c r="B17" s="125"/>
      <c r="C17" s="79" t="s">
        <v>1692</v>
      </c>
      <c r="D17" s="83">
        <f>LOOKUP(2,1/(('0219 4度C'!$A:$A="新豐6線")*('0219 4度C'!$T:$T&lt;&gt;"")),'0219 4度C'!$T:$T)</f>
        <v>0.83124999999999993</v>
      </c>
      <c r="E17" s="81">
        <f>LOOKUP(2,1/(('0219 4度C'!$A:$A="新豐2線")*('0219 4度C'!$T:$T&lt;&gt;"")),'0219 4度C'!$T:$T)</f>
        <v>0.3979166666666667</v>
      </c>
      <c r="F17" s="81">
        <f>LOOKUP(2,1/(('0219 4度C'!$A:$A="新豐5線")*('0219 4度C'!$T:$T&lt;&gt;"")),'0219 4度C'!$T:$T)</f>
        <v>0.8534722222222223</v>
      </c>
      <c r="G17" s="81">
        <f>LOOKUP(2,1/(('0219 4度C'!$A:$A="新豐7線")*('0219 4度C'!$T:$T&lt;&gt;"")),'0219 4度C'!$T:$T)</f>
        <v>0.85555555555555562</v>
      </c>
      <c r="H17" s="81">
        <f>LOOKUP(2,1/(('0219 4度C'!$A:$A="新豐3線")*('0219 4度C'!$T:$T&lt;&gt;"")),'0219 4度C'!$T:$T)</f>
        <v>0.67222222222222205</v>
      </c>
      <c r="I17" s="81">
        <f>LOOKUP(2,1/(('0219 4度C'!$A:$A="新豐1線")*('0219 4度C'!$T:$T&lt;&gt;"")),'0219 4度C'!$T:$T)</f>
        <v>0.84861111111111109</v>
      </c>
      <c r="J17" s="82">
        <f>LOOKUP(2,1/(('0219 4度C'!$A:$A="新豐10線")*('0219 4度C'!$T:$T&lt;&gt;"")),'0219 4度C'!$T:$T)</f>
        <v>0.37986111111111104</v>
      </c>
      <c r="K17" s="80">
        <f>LOOKUP(2,1/(('0219 4度C'!$A:$A="新豐8線")*('0219 4度C'!$T:$T&lt;&gt;"")),'0219 4度C'!$T:$T)</f>
        <v>0.4770833333333333</v>
      </c>
      <c r="L17" s="81">
        <f>LOOKUP(2,1/(('0219 4度C'!$A:$A="新豐9線")*('0219 4度C'!$T:$T&lt;&gt;"")),'0219 4度C'!$T:$T)</f>
        <v>0.4770833333333333</v>
      </c>
      <c r="M17" s="82">
        <f>LOOKUP(2,1/(('0219 4度C'!$A:$A="新豐4線")*('0219 4度C'!$T:$T&lt;&gt;"")),'0219 4度C'!$T:$T)</f>
        <v>0.47916666666666663</v>
      </c>
    </row>
    <row r="18" spans="2:13" ht="17.25" customHeight="1">
      <c r="B18" s="103" t="s">
        <v>1693</v>
      </c>
      <c r="C18" s="86" t="s">
        <v>1694</v>
      </c>
      <c r="D18" s="87">
        <f>SUMIFS('0219 4度C'!$Y:$Y,'0219 4度C'!$A:$A,"新豐6線",'0219 4度C'!$B:$B,"平均")</f>
        <v>0</v>
      </c>
      <c r="E18" s="88">
        <f>SUMIFS('0219 4度C'!$Y:$Y,'0219 4度C'!$A:$A,"新豐2線",'0219 4度C'!$B:$B,"平均")</f>
        <v>0</v>
      </c>
      <c r="F18" s="88">
        <f>SUMIFS('0219 4度C'!$Y:$Y,'0219 4度C'!$A:$A,"新豐5線",'0219 4度C'!$B:$B,"平均")</f>
        <v>0</v>
      </c>
      <c r="G18" s="88">
        <f>SUMIFS('0219 4度C'!$Y:$Y,'0219 4度C'!$A:$A,"新豐7線",'0219 4度C'!$B:$B,"平均")</f>
        <v>0</v>
      </c>
      <c r="H18" s="88">
        <f>SUMIFS('0219 4度C'!$Y:$Y,'0219 4度C'!$A:$A,"新豐3線",'0219 4度C'!$B:$B,"平均")</f>
        <v>0</v>
      </c>
      <c r="I18" s="88">
        <f>SUMIFS('0219 4度C'!$Y:$Y,'0219 4度C'!$A:$A,"新豐1線",'0219 4度C'!$B:$B,"平均")</f>
        <v>0</v>
      </c>
      <c r="J18" s="89">
        <f>SUMIFS('0219 4度C'!$Y:$Y,'0219 4度C'!$A:$A,"新豐10線",'0219 4度C'!$B:$B,"平均")</f>
        <v>0</v>
      </c>
      <c r="K18" s="90">
        <f>SUMIFS('0219 4度C'!$Y:$Y,'0219 4度C'!$A:$A,"新豐8線",'0219 4度C'!$B:$B,"平均")</f>
        <v>0</v>
      </c>
      <c r="L18" s="88">
        <f>SUMIFS('0219 4度C'!$Y:$Y,'0219 4度C'!$A:$A,"新豐9線",'0219 4度C'!$B:$B,"平均")</f>
        <v>0</v>
      </c>
      <c r="M18" s="89">
        <f>SUMIFS('0219 4度C'!$Y:$Y,'0219 4度C'!$A:$A,"新豐4線",'0219 4度C'!$B:$B,"平均")</f>
        <v>0</v>
      </c>
    </row>
    <row r="19" spans="2:13" ht="17.25" customHeight="1">
      <c r="B19" s="104"/>
      <c r="C19" s="86" t="s">
        <v>1695</v>
      </c>
      <c r="D19" s="87">
        <f>SUMIFS('0219 4度C'!$Z:$Z,'0219 4度C'!$A:$A,"新豐6線",'0219 4度C'!$B:$B,"平均")</f>
        <v>0</v>
      </c>
      <c r="E19" s="88">
        <f>SUMIFS('0219 4度C'!$Z:$Z,'0219 4度C'!$A:$A,"新豐2線",'0219 4度C'!$B:$B,"平均")</f>
        <v>0</v>
      </c>
      <c r="F19" s="88">
        <f>SUMIFS('0219 4度C'!$Z:$Z,'0219 4度C'!$A:$A,"新豐5線",'0219 4度C'!$B:$B,"平均")</f>
        <v>0</v>
      </c>
      <c r="G19" s="88">
        <f>SUMIFS('0219 4度C'!$Z:$Z,'0219 4度C'!$A:$A,"新豐7線",'0219 4度C'!$B:$B,"平均")</f>
        <v>0</v>
      </c>
      <c r="H19" s="88">
        <f>SUMIFS('0219 4度C'!$Z:$Z,'0219 4度C'!$A:$A,"新豐3線",'0219 4度C'!$B:$B,"平均")</f>
        <v>0</v>
      </c>
      <c r="I19" s="88">
        <f>SUMIFS('0219 4度C'!$Z:$Z,'0219 4度C'!$A:$A,"新豐1線",'0219 4度C'!$B:$B,"平均")</f>
        <v>0</v>
      </c>
      <c r="J19" s="89">
        <f>SUMIFS('0219 4度C'!$Z:$Z,'0219 4度C'!$A:$A,"新豐10線",'0219 4度C'!$B:$B,"平均")</f>
        <v>0</v>
      </c>
      <c r="K19" s="90">
        <f>SUMIFS('0219 4度C'!$Z:$Z,'0219 4度C'!$A:$A,"新豐8線",'0219 4度C'!$B:$B,"平均")</f>
        <v>0</v>
      </c>
      <c r="L19" s="88">
        <f>SUMIFS('0219 4度C'!$Z:$Z,'0219 4度C'!$A:$A,"新豐9線",'0219 4度C'!$B:$B,"平均")</f>
        <v>0</v>
      </c>
      <c r="M19" s="89">
        <f>SUMIFS('0219 4度C'!$Z:$Z,'0219 4度C'!$A:$A,"新豐4線",'0219 4度C'!$B:$B,"平均")</f>
        <v>0</v>
      </c>
    </row>
    <row r="20" spans="2:13" ht="17.25" customHeight="1">
      <c r="B20" s="103" t="s">
        <v>1696</v>
      </c>
      <c r="C20" s="86" t="s">
        <v>1694</v>
      </c>
      <c r="D20" s="87">
        <f>SUMIFS('0219 4度C'!$AC:$AC,'0219 4度C'!$A:$A,"新豐6線",'0219 4度C'!$B:$B,"平均")</f>
        <v>5</v>
      </c>
      <c r="E20" s="88">
        <f>SUMIFS('0219 4度C'!$AC:$AC,'0219 4度C'!$A:$A,"新豐2線",'0219 4度C'!$B:$B,"平均")</f>
        <v>2</v>
      </c>
      <c r="F20" s="88">
        <f>SUMIFS('0219 4度C'!$AC:$AC,'0219 4度C'!$A:$A,"新豐5線",'0219 4度C'!$B:$B,"平均")</f>
        <v>5</v>
      </c>
      <c r="G20" s="88">
        <f>SUMIFS('0219 4度C'!$AC:$AC,'0219 4度C'!$A:$A,"新豐7線",'0219 4度C'!$B:$B,"平均")</f>
        <v>6</v>
      </c>
      <c r="H20" s="88">
        <f>SUMIFS('0219 4度C'!$AC:$AC,'0219 4度C'!$A:$A,"新豐3線",'0219 4度C'!$B:$B,"平均")</f>
        <v>10</v>
      </c>
      <c r="I20" s="88">
        <f>SUMIFS('0219 4度C'!$AC:$AC,'0219 4度C'!$A:$A,"新豐1線",'0219 4度C'!$B:$B,"平均")</f>
        <v>9</v>
      </c>
      <c r="J20" s="89">
        <f>SUMIFS('0219 4度C'!$AC:$AC,'0219 4度C'!$A:$A,"新豐10線",'0219 4度C'!$B:$B,"平均")</f>
        <v>5</v>
      </c>
      <c r="K20" s="90">
        <f>SUMIFS('0219 4度C'!$AC:$AC,'0219 4度C'!$A:$A,"新豐8線",'0219 4度C'!$B:$B,"平均")</f>
        <v>5</v>
      </c>
      <c r="L20" s="88">
        <f>SUMIFS('0219 4度C'!$AC:$AC,'0219 4度C'!$A:$A,"新豐9線",'0219 4度C'!$B:$B,"平均")</f>
        <v>5</v>
      </c>
      <c r="M20" s="89">
        <f>SUMIFS('0219 4度C'!$AC:$AC,'0219 4度C'!$A:$A,"新豐4線",'0219 4度C'!$B:$B,"平均")</f>
        <v>5</v>
      </c>
    </row>
    <row r="21" spans="2:13" ht="17.25" customHeight="1">
      <c r="B21" s="104"/>
      <c r="C21" s="86" t="s">
        <v>1697</v>
      </c>
      <c r="D21" s="87">
        <f>SUMIFS('0219 4度C'!$AD:$AD,'0219 4度C'!$A:$A,"新豐6線",'0219 4度C'!$B:$B,"平均")</f>
        <v>0</v>
      </c>
      <c r="E21" s="88">
        <f>SUMIFS('0219 4度C'!$AD:$AD,'0219 4度C'!$A:$A,"新豐2線",'0219 4度C'!$B:$B,"平均")</f>
        <v>0</v>
      </c>
      <c r="F21" s="88">
        <f>SUMIFS('0219 4度C'!$AD:$AD,'0219 4度C'!$A:$A,"新豐5線",'0219 4度C'!$B:$B,"平均")</f>
        <v>0</v>
      </c>
      <c r="G21" s="88">
        <f>SUMIFS('0219 4度C'!$AD:$AD,'0219 4度C'!$A:$A,"新豐7線",'0219 4度C'!$B:$B,"平均")</f>
        <v>0</v>
      </c>
      <c r="H21" s="88">
        <f>SUMIFS('0219 4度C'!$AD:$AD,'0219 4度C'!$A:$A,"新豐3線",'0219 4度C'!$B:$B,"平均")</f>
        <v>0</v>
      </c>
      <c r="I21" s="88">
        <f>SUMIFS('0219 4度C'!$AD:$AD,'0219 4度C'!$A:$A,"新豐1線",'0219 4度C'!$B:$B,"平均")</f>
        <v>0</v>
      </c>
      <c r="J21" s="89">
        <f>SUMIFS('0219 4度C'!$AD:$AD,'0219 4度C'!$A:$A,"新豐10線",'0219 4度C'!$B:$B,"平均")</f>
        <v>0</v>
      </c>
      <c r="K21" s="90">
        <f>SUMIFS('0219 4度C'!$AD:$AD,'0219 4度C'!$A:$A,"新豐8線",'0219 4度C'!$B:$B,"平均")</f>
        <v>0</v>
      </c>
      <c r="L21" s="88">
        <f>SUMIFS('0219 4度C'!$AD:$AD,'0219 4度C'!$A:$A,"新豐9線",'0219 4度C'!$B:$B,"平均")</f>
        <v>0</v>
      </c>
      <c r="M21" s="89">
        <f>SUMIFS('0219 4度C'!$AD:$AD,'0219 4度C'!$A:$A,"新豐4線",'0219 4度C'!$B:$B,"平均")</f>
        <v>0</v>
      </c>
    </row>
    <row r="22" spans="2:13" ht="17.25" customHeight="1">
      <c r="B22" s="105" t="s">
        <v>1698</v>
      </c>
      <c r="C22" s="106"/>
      <c r="D22" s="91">
        <f>SUMIFS('0219 4度C'!$I:$I,'0219 4度C'!$A:$A,"新豐6線",'0219 4度C'!$B:$B,"平均")</f>
        <v>17.600000000000001</v>
      </c>
      <c r="E22" s="92">
        <f>SUMIFS('0219 4度C'!$I:$I,'0219 4度C'!$A:$A,"新豐2線",'0219 4度C'!$B:$B,"平均")</f>
        <v>18</v>
      </c>
      <c r="F22" s="92">
        <f>SUMIFS('0219 4度C'!$I:$I,'0219 4度C'!$A:$A,"新豐5線",'0219 4度C'!$B:$B,"平均")</f>
        <v>18</v>
      </c>
      <c r="G22" s="92">
        <f>SUMIFS('0219 4度C'!$I:$I,'0219 4度C'!$A:$A,"新豐7線",'0219 4度C'!$B:$B,"平均")</f>
        <v>15</v>
      </c>
      <c r="H22" s="92">
        <f>SUMIFS('0219 4度C'!$I:$I,'0219 4度C'!$A:$A,"新豐3線",'0219 4度C'!$B:$B,"平均")</f>
        <v>9.9</v>
      </c>
      <c r="I22" s="92">
        <f>SUMIFS('0219 4度C'!$I:$I,'0219 4度C'!$A:$A,"新豐1線",'0219 4度C'!$B:$B,"平均")</f>
        <v>18.666666666666668</v>
      </c>
      <c r="J22" s="93">
        <f>SUMIFS('0219 4度C'!$I:$I,'0219 4度C'!$A:$A,"新豐10線",'0219 4度C'!$B:$B,"平均")</f>
        <v>10.6</v>
      </c>
      <c r="K22" s="91">
        <f>SUMIFS('0219 4度C'!$I:$I,'0219 4度C'!$A:$A,"新豐8線",'0219 4度C'!$B:$B,"平均")</f>
        <v>18.399999999999999</v>
      </c>
      <c r="L22" s="92">
        <f>SUMIFS('0219 4度C'!$I:$I,'0219 4度C'!$A:$A,"新豐9線",'0219 4度C'!$B:$B,"平均")</f>
        <v>17.8</v>
      </c>
      <c r="M22" s="93">
        <f>SUMIFS('0219 4度C'!$I:$I,'0219 4度C'!$A:$A,"新豐4線",'0219 4度C'!$B:$B,"平均")</f>
        <v>16.600000000000001</v>
      </c>
    </row>
    <row r="23" spans="2:13" ht="17.25" customHeight="1">
      <c r="B23" s="105" t="s">
        <v>1699</v>
      </c>
      <c r="C23" s="106"/>
      <c r="D23" s="94" t="s">
        <v>191</v>
      </c>
      <c r="E23" s="95" t="s">
        <v>192</v>
      </c>
      <c r="F23" s="95" t="s">
        <v>1700</v>
      </c>
      <c r="G23" s="95" t="s">
        <v>1701</v>
      </c>
      <c r="H23" s="95" t="s">
        <v>194</v>
      </c>
      <c r="I23" s="95" t="s">
        <v>191</v>
      </c>
      <c r="J23" s="96" t="s">
        <v>194</v>
      </c>
      <c r="K23" s="94" t="s">
        <v>1702</v>
      </c>
      <c r="L23" s="95" t="s">
        <v>1702</v>
      </c>
      <c r="M23" s="96" t="s">
        <v>1702</v>
      </c>
    </row>
    <row r="24" spans="2:13" ht="17.25" customHeight="1">
      <c r="B24" s="105" t="s">
        <v>1703</v>
      </c>
      <c r="C24" s="106"/>
      <c r="D24" s="94"/>
      <c r="E24" s="95"/>
      <c r="F24" s="95" t="s">
        <v>1704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1705</v>
      </c>
      <c r="C25" s="108"/>
      <c r="D25" s="97"/>
      <c r="E25" s="98" t="s">
        <v>1706</v>
      </c>
      <c r="F25" s="101" t="s">
        <v>1707</v>
      </c>
      <c r="G25" s="102"/>
      <c r="H25" s="98" t="s">
        <v>1708</v>
      </c>
      <c r="I25" s="98" t="s">
        <v>1709</v>
      </c>
      <c r="J25" s="99" t="s">
        <v>1708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8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13">
    <pageSetUpPr fitToPage="1"/>
  </sheetPr>
  <dimension ref="A1:AG72"/>
  <sheetViews>
    <sheetView zoomScale="80" zoomScaleNormal="80" workbookViewId="0">
      <pane ySplit="4" topLeftCell="A5" activePane="bottomLeft" state="frozen"/>
      <selection activeCell="C3" sqref="C3:D4"/>
      <selection pane="bottomLeft" activeCell="C3" sqref="C3:D4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1710</v>
      </c>
      <c r="B1" s="1"/>
      <c r="C1" s="2" t="s">
        <v>1711</v>
      </c>
      <c r="D1" s="3">
        <f>SUM(F5:F71)</f>
        <v>128366</v>
      </c>
      <c r="E1" s="4" t="s">
        <v>1712</v>
      </c>
      <c r="F1" s="1">
        <f>SUM(G5:G71)</f>
        <v>4453164.9000000004</v>
      </c>
      <c r="G1" s="1" t="s">
        <v>1713</v>
      </c>
      <c r="H1" s="5">
        <f>L10+L13+L49+L59+L19+L65+L32+L38+L26+L71</f>
        <v>160.56666666666666</v>
      </c>
      <c r="I1" s="214" t="s">
        <v>1714</v>
      </c>
      <c r="J1" s="214"/>
      <c r="K1" s="214"/>
      <c r="L1" s="214" t="s">
        <v>1715</v>
      </c>
      <c r="M1" s="214"/>
      <c r="N1" s="214"/>
      <c r="O1" s="214" t="s">
        <v>1716</v>
      </c>
      <c r="P1" s="214"/>
      <c r="Q1" s="214"/>
      <c r="R1" s="214"/>
      <c r="S1" s="214" t="s">
        <v>1717</v>
      </c>
      <c r="T1" s="214"/>
      <c r="U1" s="214"/>
      <c r="V1" s="214"/>
      <c r="W1" s="214"/>
      <c r="X1" s="214"/>
      <c r="Y1" s="6" t="s">
        <v>1718</v>
      </c>
      <c r="Z1" s="7" t="s">
        <v>1719</v>
      </c>
      <c r="AA1" s="215" t="s">
        <v>1720</v>
      </c>
      <c r="AB1" s="215"/>
      <c r="AC1" s="8" t="s">
        <v>1718</v>
      </c>
      <c r="AD1" s="7" t="s">
        <v>1721</v>
      </c>
      <c r="AE1" s="214" t="s">
        <v>1722</v>
      </c>
      <c r="AF1" s="216"/>
      <c r="AG1" s="216"/>
    </row>
    <row r="2" spans="1:33" ht="26.25" customHeight="1">
      <c r="A2" s="35">
        <v>46072</v>
      </c>
      <c r="B2" s="36" t="s">
        <v>539</v>
      </c>
      <c r="C2" s="2" t="s">
        <v>1687</v>
      </c>
      <c r="D2" s="10">
        <f>AVERAGE(N10,N13,N49,N59,N19,N65,N26,N32,N38,N71)</f>
        <v>137.17103665688688</v>
      </c>
      <c r="E2" s="11" t="s">
        <v>14</v>
      </c>
      <c r="F2" s="12">
        <f>F1/D1</f>
        <v>34.691155757755169</v>
      </c>
      <c r="G2" s="1" t="s">
        <v>1723</v>
      </c>
      <c r="H2" s="13">
        <f>COUNT(H5:H71)</f>
        <v>3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SUM(Y10+Y13+Y19+Y26+Y32+Y38+Y49+Y59+Y65+Y71)</f>
        <v>0</v>
      </c>
      <c r="Z2" s="14">
        <f>SUM(Z10+Z13+Z19+Z26+Z32+Z38+Z49+Z59+Z65+Z71)</f>
        <v>0</v>
      </c>
      <c r="AA2" s="215"/>
      <c r="AB2" s="215"/>
      <c r="AC2" s="14">
        <f>SUM(AC10+AC13+AC19+AC26+AC32+AC38+AC49+AC59+AC65+AC71)</f>
        <v>57</v>
      </c>
      <c r="AD2" s="14">
        <f>SUM(AD10+AD13+AD19+AD26+AD32+AD38+AD49+AD59+AD65+AD71)</f>
        <v>0</v>
      </c>
      <c r="AE2" s="216"/>
      <c r="AF2" s="216"/>
      <c r="AG2" s="216"/>
    </row>
    <row r="3" spans="1:33" ht="40.5" customHeight="1">
      <c r="A3" s="164" t="s">
        <v>1724</v>
      </c>
      <c r="B3" s="164" t="s">
        <v>1725</v>
      </c>
      <c r="C3" s="164" t="s">
        <v>1726</v>
      </c>
      <c r="D3" s="164"/>
      <c r="E3" s="212" t="s">
        <v>1727</v>
      </c>
      <c r="F3" s="164" t="s">
        <v>1728</v>
      </c>
      <c r="G3" s="212" t="s">
        <v>1729</v>
      </c>
      <c r="H3" s="206" t="s">
        <v>1730</v>
      </c>
      <c r="I3" s="204" t="s">
        <v>1731</v>
      </c>
      <c r="J3" s="201" t="s">
        <v>1732</v>
      </c>
      <c r="K3" s="211" t="s">
        <v>1687</v>
      </c>
      <c r="L3" s="204" t="s">
        <v>1731</v>
      </c>
      <c r="M3" s="201" t="s">
        <v>1732</v>
      </c>
      <c r="N3" s="211" t="s">
        <v>1687</v>
      </c>
      <c r="O3" s="204" t="s">
        <v>1731</v>
      </c>
      <c r="P3" s="211" t="s">
        <v>1687</v>
      </c>
      <c r="Q3" s="202" t="s">
        <v>1733</v>
      </c>
      <c r="R3" s="182" t="s">
        <v>1734</v>
      </c>
      <c r="S3" s="164" t="s">
        <v>30</v>
      </c>
      <c r="T3" s="164"/>
      <c r="U3" s="206" t="s">
        <v>31</v>
      </c>
      <c r="V3" s="206" t="s">
        <v>1735</v>
      </c>
      <c r="W3" s="164" t="s">
        <v>1736</v>
      </c>
      <c r="X3" s="164"/>
      <c r="Y3" s="207" t="s">
        <v>1737</v>
      </c>
      <c r="Z3" s="168"/>
      <c r="AA3" s="208" t="s">
        <v>1738</v>
      </c>
      <c r="AB3" s="209"/>
      <c r="AC3" s="207" t="s">
        <v>1739</v>
      </c>
      <c r="AD3" s="168"/>
      <c r="AE3" s="201" t="s">
        <v>1740</v>
      </c>
      <c r="AF3" s="202" t="s">
        <v>1741</v>
      </c>
      <c r="AG3" s="182" t="s">
        <v>1742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1743</v>
      </c>
      <c r="X4" s="4" t="s">
        <v>1744</v>
      </c>
      <c r="Y4" s="15" t="s">
        <v>1745</v>
      </c>
      <c r="Z4" s="15" t="s">
        <v>1746</v>
      </c>
      <c r="AA4" s="210"/>
      <c r="AB4" s="209"/>
      <c r="AC4" s="15" t="s">
        <v>1747</v>
      </c>
      <c r="AD4" s="15" t="s">
        <v>1748</v>
      </c>
      <c r="AE4" s="201"/>
      <c r="AF4" s="202"/>
      <c r="AG4" s="182"/>
    </row>
    <row r="5" spans="1:33">
      <c r="A5" s="203" t="s">
        <v>1749</v>
      </c>
      <c r="B5" s="37" t="s">
        <v>78</v>
      </c>
      <c r="C5" s="205" t="s">
        <v>79</v>
      </c>
      <c r="D5" s="205"/>
      <c r="E5" s="37">
        <v>50.67</v>
      </c>
      <c r="F5" s="4">
        <v>1390</v>
      </c>
      <c r="G5" s="4">
        <f t="shared" ref="G5:G9" si="0">E5*F5</f>
        <v>70431.3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9" si="2">F5/V5*60</f>
        <v>1939.5348837209301</v>
      </c>
      <c r="N5" s="17">
        <f t="shared" ref="N5:N68" si="3">M5/L5</f>
        <v>114.09028727770178</v>
      </c>
      <c r="O5" s="19">
        <f t="shared" ref="O5:O68" si="4">L5-I5</f>
        <v>0</v>
      </c>
      <c r="P5" s="20">
        <f t="shared" ref="P5:P68" si="5">N5-K5</f>
        <v>-3.5567715458276297</v>
      </c>
      <c r="Q5" s="21">
        <f t="shared" ref="Q5:Q68" si="6">N5/K5</f>
        <v>0.96976744186046515</v>
      </c>
      <c r="R5" s="172">
        <f>Q10</f>
        <v>0.97094753599114181</v>
      </c>
      <c r="S5" s="28">
        <v>0.70833333333333337</v>
      </c>
      <c r="T5" s="28">
        <v>0.73819444444444449</v>
      </c>
      <c r="U5" s="4"/>
      <c r="V5" s="22">
        <f t="shared" ref="V5:V9" si="7">(T5-S5)*24*60</f>
        <v>43.000000000000007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8" si="8">M5-J5</f>
        <v>-60.465116279069889</v>
      </c>
      <c r="AF5" s="21">
        <f t="shared" ref="AF5:AF68" si="9">M5/J5</f>
        <v>0.96976744186046504</v>
      </c>
      <c r="AG5" s="172">
        <f>AF10</f>
        <v>0.97094753599114181</v>
      </c>
    </row>
    <row r="6" spans="1:33">
      <c r="A6" s="204" t="s">
        <v>1750</v>
      </c>
      <c r="B6" s="37" t="s">
        <v>78</v>
      </c>
      <c r="C6" s="205" t="s">
        <v>80</v>
      </c>
      <c r="D6" s="205"/>
      <c r="E6" s="37">
        <v>54.09</v>
      </c>
      <c r="F6" s="4">
        <v>1160</v>
      </c>
      <c r="G6" s="4">
        <f t="shared" si="0"/>
        <v>62744.4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1933.3333333333321</v>
      </c>
      <c r="N6" s="17">
        <f t="shared" si="3"/>
        <v>101.75438596491222</v>
      </c>
      <c r="O6" s="19">
        <f t="shared" si="4"/>
        <v>0</v>
      </c>
      <c r="P6" s="20">
        <f t="shared" si="5"/>
        <v>-3.5087719298246185</v>
      </c>
      <c r="Q6" s="21">
        <f t="shared" si="6"/>
        <v>0.96666666666666612</v>
      </c>
      <c r="R6" s="172"/>
      <c r="S6" s="28">
        <v>0.74305555555555558</v>
      </c>
      <c r="T6" s="28">
        <v>0.7680555555555556</v>
      </c>
      <c r="U6" s="4">
        <f t="shared" ref="U6:U9" si="10">IF(S6=TIME(17,0,0),"",(S6-T5)*24*60)</f>
        <v>6.9999999999999751</v>
      </c>
      <c r="V6" s="22">
        <f t="shared" si="7"/>
        <v>36.000000000000028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-66.666666666667879</v>
      </c>
      <c r="AF6" s="21">
        <f t="shared" si="9"/>
        <v>0.96666666666666601</v>
      </c>
      <c r="AG6" s="172"/>
    </row>
    <row r="7" spans="1:33">
      <c r="A7" s="204" t="s">
        <v>1750</v>
      </c>
      <c r="B7" s="37" t="s">
        <v>78</v>
      </c>
      <c r="C7" s="196" t="s">
        <v>81</v>
      </c>
      <c r="D7" s="197"/>
      <c r="E7" s="37">
        <v>50.29</v>
      </c>
      <c r="F7" s="4">
        <v>513</v>
      </c>
      <c r="G7" s="4">
        <f t="shared" si="0"/>
        <v>25798.77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1923.7500000000068</v>
      </c>
      <c r="N7" s="17">
        <f t="shared" si="3"/>
        <v>120.23437500000043</v>
      </c>
      <c r="O7" s="19">
        <f t="shared" si="4"/>
        <v>0</v>
      </c>
      <c r="P7" s="20">
        <f t="shared" si="5"/>
        <v>-4.7656249999995737</v>
      </c>
      <c r="Q7" s="21">
        <f t="shared" si="6"/>
        <v>0.96187500000000337</v>
      </c>
      <c r="R7" s="172"/>
      <c r="S7" s="28">
        <v>0.7729166666666667</v>
      </c>
      <c r="T7" s="28">
        <v>0.78402777777777777</v>
      </c>
      <c r="U7" s="4">
        <f t="shared" si="10"/>
        <v>6.9999999999999751</v>
      </c>
      <c r="V7" s="22">
        <f t="shared" si="7"/>
        <v>15.999999999999943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-76.249999999993179</v>
      </c>
      <c r="AF7" s="21">
        <f t="shared" si="9"/>
        <v>0.96187500000000337</v>
      </c>
      <c r="AG7" s="172"/>
    </row>
    <row r="8" spans="1:33">
      <c r="A8" s="204" t="s">
        <v>1750</v>
      </c>
      <c r="B8" s="37" t="s">
        <v>78</v>
      </c>
      <c r="C8" s="196" t="s">
        <v>82</v>
      </c>
      <c r="D8" s="197"/>
      <c r="E8" s="37">
        <v>57.3</v>
      </c>
      <c r="F8" s="4">
        <v>1353</v>
      </c>
      <c r="G8" s="4">
        <f t="shared" si="0"/>
        <v>77526.899999999994</v>
      </c>
      <c r="H8" s="22" t="s">
        <v>139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1932.857142857142</v>
      </c>
      <c r="N8" s="17">
        <f t="shared" si="3"/>
        <v>128.8571428571428</v>
      </c>
      <c r="O8" s="19">
        <f t="shared" si="4"/>
        <v>0</v>
      </c>
      <c r="P8" s="20">
        <f t="shared" si="5"/>
        <v>-4.4761904761905384</v>
      </c>
      <c r="Q8" s="21">
        <f t="shared" si="6"/>
        <v>0.96642857142857097</v>
      </c>
      <c r="R8" s="172"/>
      <c r="S8" s="28">
        <v>0.78749999999999998</v>
      </c>
      <c r="T8" s="28">
        <v>0.81666666666666665</v>
      </c>
      <c r="U8" s="4">
        <f t="shared" si="10"/>
        <v>4.9999999999999822</v>
      </c>
      <c r="V8" s="22">
        <f t="shared" si="7"/>
        <v>42.000000000000014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-67.14285714285802</v>
      </c>
      <c r="AF8" s="21">
        <f t="shared" si="9"/>
        <v>0.96642857142857097</v>
      </c>
      <c r="AG8" s="172"/>
    </row>
    <row r="9" spans="1:33">
      <c r="A9" s="204" t="s">
        <v>1750</v>
      </c>
      <c r="B9" s="37" t="s">
        <v>78</v>
      </c>
      <c r="C9" s="196" t="s">
        <v>83</v>
      </c>
      <c r="D9" s="197"/>
      <c r="E9" s="37">
        <v>50.67</v>
      </c>
      <c r="F9" s="4">
        <v>495</v>
      </c>
      <c r="G9" s="4">
        <f t="shared" si="0"/>
        <v>25081.65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1980.0000000000068</v>
      </c>
      <c r="N9" s="17">
        <f t="shared" si="3"/>
        <v>94.285714285714604</v>
      </c>
      <c r="O9" s="19">
        <f t="shared" si="4"/>
        <v>0</v>
      </c>
      <c r="P9" s="20">
        <f t="shared" si="5"/>
        <v>-0.95238095238063636</v>
      </c>
      <c r="Q9" s="21">
        <f t="shared" si="6"/>
        <v>0.99000000000000332</v>
      </c>
      <c r="R9" s="172"/>
      <c r="S9" s="28">
        <v>0.8208333333333333</v>
      </c>
      <c r="T9" s="28">
        <v>0.83124999999999993</v>
      </c>
      <c r="U9" s="4">
        <f t="shared" si="10"/>
        <v>5.9999999999999787</v>
      </c>
      <c r="V9" s="22">
        <f t="shared" si="7"/>
        <v>14.999999999999947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-19.999999999993179</v>
      </c>
      <c r="AF9" s="21">
        <f t="shared" si="9"/>
        <v>0.99000000000000343</v>
      </c>
      <c r="AG9" s="172"/>
    </row>
    <row r="10" spans="1:33">
      <c r="A10" s="204" t="s">
        <v>1750</v>
      </c>
      <c r="B10" s="37" t="s">
        <v>1751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1"/>
        <v>113.63636363636363</v>
      </c>
      <c r="L10" s="30">
        <v>17.600000000000001</v>
      </c>
      <c r="M10" s="18">
        <f>AVERAGE(M5:M9)</f>
        <v>1941.8950719822835</v>
      </c>
      <c r="N10" s="17">
        <f t="shared" si="3"/>
        <v>110.33494727172065</v>
      </c>
      <c r="O10" s="19">
        <f t="shared" si="4"/>
        <v>0</v>
      </c>
      <c r="P10" s="20">
        <f t="shared" si="5"/>
        <v>-3.3014163646429751</v>
      </c>
      <c r="Q10" s="21">
        <f t="shared" si="6"/>
        <v>0.97094753599114181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f>SUM(AC5:AC9)</f>
        <v>5</v>
      </c>
      <c r="AD10" s="31">
        <f>SUM(AD5:AD9)</f>
        <v>0</v>
      </c>
      <c r="AE10" s="19">
        <f t="shared" si="8"/>
        <v>-58.104928017716475</v>
      </c>
      <c r="AF10" s="21">
        <f t="shared" si="9"/>
        <v>0.97094753599114181</v>
      </c>
      <c r="AG10" s="172"/>
    </row>
    <row r="11" spans="1:33" ht="15.75" customHeight="1">
      <c r="A11" s="200" t="s">
        <v>1752</v>
      </c>
      <c r="B11" s="37" t="s">
        <v>84</v>
      </c>
      <c r="C11" s="196" t="s">
        <v>85</v>
      </c>
      <c r="D11" s="197"/>
      <c r="E11" s="37">
        <v>39.619999999999997</v>
      </c>
      <c r="F11" s="4">
        <v>2247</v>
      </c>
      <c r="G11" s="4">
        <f t="shared" ref="G11:G12" si="11">E11*F11</f>
        <v>89026.14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1434.2553191489358</v>
      </c>
      <c r="N11" s="17">
        <f t="shared" si="3"/>
        <v>75.487122060470298</v>
      </c>
      <c r="O11" s="19">
        <f t="shared" si="4"/>
        <v>0</v>
      </c>
      <c r="P11" s="20">
        <f t="shared" si="5"/>
        <v>-3.4602463605823317</v>
      </c>
      <c r="Q11" s="21">
        <f t="shared" si="6"/>
        <v>0.95617021276595715</v>
      </c>
      <c r="R11" s="172">
        <f>Q13</f>
        <v>0.95555637075079458</v>
      </c>
      <c r="S11" s="28">
        <v>0.20833333333333334</v>
      </c>
      <c r="T11" s="28">
        <v>0.27361111111111114</v>
      </c>
      <c r="U11" s="4"/>
      <c r="V11" s="22">
        <f t="shared" ref="V11:V12" si="13">(T11-S11)*24*60</f>
        <v>94.000000000000028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-65.744680851064231</v>
      </c>
      <c r="AF11" s="21">
        <f t="shared" si="9"/>
        <v>0.95617021276595715</v>
      </c>
      <c r="AG11" s="172">
        <f>AF13</f>
        <v>0.95555637075079447</v>
      </c>
    </row>
    <row r="12" spans="1:33" ht="15.75" customHeight="1">
      <c r="A12" s="200" t="s">
        <v>49</v>
      </c>
      <c r="B12" s="37" t="s">
        <v>84</v>
      </c>
      <c r="C12" s="196" t="s">
        <v>86</v>
      </c>
      <c r="D12" s="197"/>
      <c r="E12" s="37">
        <v>39.799999999999997</v>
      </c>
      <c r="F12" s="4">
        <v>4154</v>
      </c>
      <c r="G12" s="4">
        <f t="shared" si="11"/>
        <v>165329.19999999998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1432.4137931034479</v>
      </c>
      <c r="N12" s="17">
        <f t="shared" si="3"/>
        <v>84.259634888438114</v>
      </c>
      <c r="O12" s="19">
        <f t="shared" si="4"/>
        <v>0</v>
      </c>
      <c r="P12" s="20">
        <f t="shared" si="5"/>
        <v>-3.9756592292089437</v>
      </c>
      <c r="Q12" s="21">
        <f t="shared" si="6"/>
        <v>0.95494252873563201</v>
      </c>
      <c r="R12" s="172"/>
      <c r="S12" s="28">
        <v>0.27708333333333335</v>
      </c>
      <c r="T12" s="28">
        <v>0.3979166666666667</v>
      </c>
      <c r="U12" s="4">
        <f t="shared" ref="U12" si="14">IF(S12=TIME(17,0,0),"",(S12-T11)*24*60)</f>
        <v>4.9999999999999822</v>
      </c>
      <c r="V12" s="22">
        <f t="shared" si="13"/>
        <v>174.00000000000003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-67.586206896552085</v>
      </c>
      <c r="AF12" s="21">
        <f t="shared" si="9"/>
        <v>0.9549425287356319</v>
      </c>
      <c r="AG12" s="172"/>
    </row>
    <row r="13" spans="1:33" ht="16.5" customHeight="1">
      <c r="A13" s="200" t="s">
        <v>49</v>
      </c>
      <c r="B13" s="37" t="s">
        <v>51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1433.3345561261917</v>
      </c>
      <c r="N13" s="17">
        <f t="shared" si="3"/>
        <v>79.629697562566207</v>
      </c>
      <c r="O13" s="19">
        <f t="shared" si="4"/>
        <v>0</v>
      </c>
      <c r="P13" s="20">
        <f t="shared" si="5"/>
        <v>-3.7036357707671215</v>
      </c>
      <c r="Q13" s="21">
        <f t="shared" si="6"/>
        <v>0.95555637075079458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f>SUM(AC11:AC12)</f>
        <v>2</v>
      </c>
      <c r="AD13" s="31">
        <f>SUM(AD11:AD12)</f>
        <v>0</v>
      </c>
      <c r="AE13" s="19">
        <f t="shared" si="8"/>
        <v>-66.665443873808272</v>
      </c>
      <c r="AF13" s="21">
        <f t="shared" si="9"/>
        <v>0.95555637075079447</v>
      </c>
      <c r="AG13" s="172"/>
    </row>
    <row r="14" spans="1:33" ht="16.5" customHeight="1">
      <c r="A14" s="198" t="s">
        <v>52</v>
      </c>
      <c r="B14" s="4" t="s">
        <v>87</v>
      </c>
      <c r="C14" s="190" t="s">
        <v>88</v>
      </c>
      <c r="D14" s="190"/>
      <c r="E14" s="37">
        <v>41</v>
      </c>
      <c r="F14" s="4">
        <v>2640</v>
      </c>
      <c r="G14" s="4">
        <f t="shared" ref="G14:G18" si="15">E14*F14</f>
        <v>108240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18" si="16">F14/V14*60</f>
        <v>1427.0270270270273</v>
      </c>
      <c r="N14" s="17">
        <f t="shared" si="3"/>
        <v>54.885654885654894</v>
      </c>
      <c r="O14" s="19">
        <f t="shared" si="4"/>
        <v>0</v>
      </c>
      <c r="P14" s="20">
        <f t="shared" si="5"/>
        <v>-2.8066528066527994</v>
      </c>
      <c r="Q14" s="21">
        <f t="shared" si="6"/>
        <v>0.95135135135135152</v>
      </c>
      <c r="R14" s="172">
        <f>Q19</f>
        <v>0.96057374074479318</v>
      </c>
      <c r="S14" s="28">
        <v>0.20833333333333334</v>
      </c>
      <c r="T14" s="28">
        <v>0.28541666666666665</v>
      </c>
      <c r="U14" s="4"/>
      <c r="V14" s="22">
        <f t="shared" ref="V14:V18" si="17">(T14-S14)*24*60</f>
        <v>110.99999999999997</v>
      </c>
      <c r="W14" s="28"/>
      <c r="X14" s="28"/>
      <c r="Y14" s="28"/>
      <c r="Z14" s="28"/>
      <c r="AA14" s="164"/>
      <c r="AB14" s="164"/>
      <c r="AC14" s="25">
        <v>5</v>
      </c>
      <c r="AD14" s="25"/>
      <c r="AE14" s="19">
        <f t="shared" si="8"/>
        <v>-72.972972972972684</v>
      </c>
      <c r="AF14" s="21">
        <f t="shared" si="9"/>
        <v>0.95135135135135152</v>
      </c>
      <c r="AG14" s="172">
        <f>AF19</f>
        <v>0.96057374074479307</v>
      </c>
    </row>
    <row r="15" spans="1:33" ht="16.5" customHeight="1">
      <c r="A15" s="199" t="s">
        <v>52</v>
      </c>
      <c r="B15" s="4" t="s">
        <v>89</v>
      </c>
      <c r="C15" s="190" t="s">
        <v>90</v>
      </c>
      <c r="D15" s="190"/>
      <c r="E15" s="37">
        <v>72.400000000000006</v>
      </c>
      <c r="F15" s="4">
        <v>638</v>
      </c>
      <c r="G15" s="4">
        <f t="shared" si="15"/>
        <v>46191.200000000004</v>
      </c>
      <c r="H15" s="22" t="s">
        <v>139</v>
      </c>
      <c r="I15" s="16">
        <v>18</v>
      </c>
      <c r="J15" s="18">
        <v>1500</v>
      </c>
      <c r="K15" s="17">
        <f t="shared" si="1"/>
        <v>83.333333333333329</v>
      </c>
      <c r="L15" s="16">
        <v>18</v>
      </c>
      <c r="M15" s="18">
        <f t="shared" si="16"/>
        <v>1472.3076923076931</v>
      </c>
      <c r="N15" s="17">
        <f t="shared" si="3"/>
        <v>81.794871794871838</v>
      </c>
      <c r="O15" s="19">
        <f t="shared" si="4"/>
        <v>0</v>
      </c>
      <c r="P15" s="20">
        <f t="shared" si="5"/>
        <v>-1.5384615384614904</v>
      </c>
      <c r="Q15" s="21">
        <f t="shared" si="6"/>
        <v>0.98153846153846214</v>
      </c>
      <c r="R15" s="172"/>
      <c r="S15" s="28">
        <v>0.29027777777777775</v>
      </c>
      <c r="T15" s="28">
        <v>0.30833333333333329</v>
      </c>
      <c r="U15" s="4">
        <f t="shared" ref="U15:U18" si="18">IF(S15=TIME(17,0,0),"",(S15-T14)*24*60)</f>
        <v>6.9999999999999751</v>
      </c>
      <c r="V15" s="22">
        <f t="shared" si="17"/>
        <v>25.999999999999986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-27.69230769230694</v>
      </c>
      <c r="AF15" s="21">
        <f t="shared" si="9"/>
        <v>0.98153846153846203</v>
      </c>
      <c r="AG15" s="172"/>
    </row>
    <row r="16" spans="1:33" ht="16.5" customHeight="1">
      <c r="A16" s="199" t="s">
        <v>52</v>
      </c>
      <c r="B16" s="4" t="s">
        <v>78</v>
      </c>
      <c r="C16" s="190" t="s">
        <v>91</v>
      </c>
      <c r="D16" s="190"/>
      <c r="E16" s="37">
        <v>50.98</v>
      </c>
      <c r="F16" s="4">
        <v>2559</v>
      </c>
      <c r="G16" s="4">
        <f t="shared" si="15"/>
        <v>130457.81999999999</v>
      </c>
      <c r="H16" s="22" t="s">
        <v>139</v>
      </c>
      <c r="I16" s="16">
        <v>16</v>
      </c>
      <c r="J16" s="18">
        <v>2000</v>
      </c>
      <c r="K16" s="17">
        <f t="shared" si="1"/>
        <v>125</v>
      </c>
      <c r="L16" s="16">
        <v>16</v>
      </c>
      <c r="M16" s="18">
        <f t="shared" si="16"/>
        <v>1919.2499999999993</v>
      </c>
      <c r="N16" s="17">
        <f t="shared" si="3"/>
        <v>119.95312499999996</v>
      </c>
      <c r="O16" s="19">
        <f t="shared" si="4"/>
        <v>0</v>
      </c>
      <c r="P16" s="20">
        <f t="shared" si="5"/>
        <v>-5.0468750000000426</v>
      </c>
      <c r="Q16" s="21">
        <f t="shared" si="6"/>
        <v>0.95962499999999962</v>
      </c>
      <c r="R16" s="172"/>
      <c r="S16" s="28">
        <v>0.70833333333333337</v>
      </c>
      <c r="T16" s="28">
        <v>0.76388888888888895</v>
      </c>
      <c r="U16" s="4" t="str">
        <f t="shared" si="18"/>
        <v/>
      </c>
      <c r="V16" s="22">
        <f t="shared" si="17"/>
        <v>80.000000000000028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-80.750000000000682</v>
      </c>
      <c r="AF16" s="21">
        <f t="shared" si="9"/>
        <v>0.95962499999999962</v>
      </c>
      <c r="AG16" s="172"/>
    </row>
    <row r="17" spans="1:33" ht="16.5" customHeight="1">
      <c r="A17" s="199" t="s">
        <v>52</v>
      </c>
      <c r="B17" s="4" t="s">
        <v>78</v>
      </c>
      <c r="C17" s="190" t="s">
        <v>92</v>
      </c>
      <c r="D17" s="190"/>
      <c r="E17" s="37">
        <v>50.92</v>
      </c>
      <c r="F17" s="4">
        <v>2421</v>
      </c>
      <c r="G17" s="4">
        <f t="shared" si="15"/>
        <v>123277.32</v>
      </c>
      <c r="H17" s="22" t="s">
        <v>139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1911.3157894736828</v>
      </c>
      <c r="N17" s="17">
        <f t="shared" si="3"/>
        <v>127.42105263157886</v>
      </c>
      <c r="O17" s="19">
        <f t="shared" si="4"/>
        <v>0</v>
      </c>
      <c r="P17" s="20">
        <f t="shared" si="5"/>
        <v>-5.9122807017544829</v>
      </c>
      <c r="Q17" s="21">
        <f t="shared" si="6"/>
        <v>0.95565789473684137</v>
      </c>
      <c r="R17" s="172"/>
      <c r="S17" s="28">
        <v>0.76944444444444449</v>
      </c>
      <c r="T17" s="28">
        <v>0.8222222222222223</v>
      </c>
      <c r="U17" s="4">
        <f t="shared" si="18"/>
        <v>7.9999999999999716</v>
      </c>
      <c r="V17" s="22">
        <f t="shared" si="17"/>
        <v>76.000000000000057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-88.684210526317202</v>
      </c>
      <c r="AF17" s="21">
        <f t="shared" si="9"/>
        <v>0.95565789473684137</v>
      </c>
      <c r="AG17" s="172"/>
    </row>
    <row r="18" spans="1:33" ht="16.5" customHeight="1">
      <c r="A18" s="199" t="s">
        <v>52</v>
      </c>
      <c r="B18" s="4" t="s">
        <v>78</v>
      </c>
      <c r="C18" s="190" t="s">
        <v>93</v>
      </c>
      <c r="D18" s="190"/>
      <c r="E18" s="37">
        <v>50.67</v>
      </c>
      <c r="F18" s="4">
        <v>1213</v>
      </c>
      <c r="G18" s="4">
        <f t="shared" si="15"/>
        <v>61462.71</v>
      </c>
      <c r="H18" s="22" t="s">
        <v>139</v>
      </c>
      <c r="I18" s="16">
        <v>15</v>
      </c>
      <c r="J18" s="18">
        <v>2000</v>
      </c>
      <c r="K18" s="17">
        <f t="shared" si="1"/>
        <v>133.33333333333334</v>
      </c>
      <c r="L18" s="16">
        <v>15</v>
      </c>
      <c r="M18" s="18">
        <f t="shared" si="16"/>
        <v>1915.2631578947355</v>
      </c>
      <c r="N18" s="17">
        <f t="shared" si="3"/>
        <v>127.6842105263157</v>
      </c>
      <c r="O18" s="19">
        <f t="shared" si="4"/>
        <v>0</v>
      </c>
      <c r="P18" s="20">
        <f t="shared" si="5"/>
        <v>-5.6491228070176476</v>
      </c>
      <c r="Q18" s="21">
        <f t="shared" si="6"/>
        <v>0.95763157894736761</v>
      </c>
      <c r="R18" s="172"/>
      <c r="S18" s="28">
        <v>0.82708333333333339</v>
      </c>
      <c r="T18" s="28">
        <v>0.8534722222222223</v>
      </c>
      <c r="U18" s="4">
        <f t="shared" si="18"/>
        <v>6.9999999999999751</v>
      </c>
      <c r="V18" s="22">
        <f t="shared" si="17"/>
        <v>38.000000000000028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-84.736842105264486</v>
      </c>
      <c r="AF18" s="21">
        <f t="shared" si="9"/>
        <v>0.95763157894736772</v>
      </c>
      <c r="AG18" s="172"/>
    </row>
    <row r="19" spans="1:33" ht="16.5" customHeight="1">
      <c r="A19" s="199" t="s">
        <v>52</v>
      </c>
      <c r="B19" s="37" t="s">
        <v>51</v>
      </c>
      <c r="C19" s="177"/>
      <c r="D19" s="177"/>
      <c r="E19" s="38"/>
      <c r="F19" s="17"/>
      <c r="G19" s="17"/>
      <c r="H19" s="4"/>
      <c r="I19" s="30">
        <v>18</v>
      </c>
      <c r="J19" s="18">
        <v>1800</v>
      </c>
      <c r="K19" s="17">
        <f t="shared" si="1"/>
        <v>100</v>
      </c>
      <c r="L19" s="30">
        <v>18</v>
      </c>
      <c r="M19" s="18">
        <f>AVERAGE(M14:M18)</f>
        <v>1729.0327333406276</v>
      </c>
      <c r="N19" s="17">
        <f t="shared" si="3"/>
        <v>96.057374074479313</v>
      </c>
      <c r="O19" s="19">
        <f t="shared" si="4"/>
        <v>0</v>
      </c>
      <c r="P19" s="20">
        <f t="shared" si="5"/>
        <v>-3.9426259255206872</v>
      </c>
      <c r="Q19" s="21">
        <f t="shared" si="6"/>
        <v>0.96057374074479318</v>
      </c>
      <c r="R19" s="172"/>
      <c r="S19" s="28"/>
      <c r="T19" s="28"/>
      <c r="U19" s="4"/>
      <c r="V19" s="22"/>
      <c r="W19" s="17"/>
      <c r="X19" s="17"/>
      <c r="Y19" s="31">
        <f>SUM(Y14:Y18)</f>
        <v>0</v>
      </c>
      <c r="Z19" s="31">
        <f>SUM(Z14:Z18)</f>
        <v>0</v>
      </c>
      <c r="AA19" s="168"/>
      <c r="AB19" s="168"/>
      <c r="AC19" s="31">
        <f>SUM(AC14:AC18)</f>
        <v>5</v>
      </c>
      <c r="AD19" s="31">
        <f>SUM(AD14:AD18)</f>
        <v>0</v>
      </c>
      <c r="AE19" s="19">
        <f t="shared" si="8"/>
        <v>-70.967266659372399</v>
      </c>
      <c r="AF19" s="21">
        <f t="shared" si="9"/>
        <v>0.96057374074479307</v>
      </c>
      <c r="AG19" s="172"/>
    </row>
    <row r="20" spans="1:33" ht="15.75" customHeight="1">
      <c r="A20" s="194" t="s">
        <v>58</v>
      </c>
      <c r="B20" s="37" t="s">
        <v>78</v>
      </c>
      <c r="C20" s="190" t="s">
        <v>95</v>
      </c>
      <c r="D20" s="190"/>
      <c r="E20" s="37">
        <v>57.73</v>
      </c>
      <c r="F20" s="4">
        <v>2245</v>
      </c>
      <c r="G20" s="4">
        <f t="shared" ref="G20:G25" si="19">E20*F20</f>
        <v>129603.84999999999</v>
      </c>
      <c r="H20" s="22" t="s">
        <v>139</v>
      </c>
      <c r="I20" s="16">
        <v>14</v>
      </c>
      <c r="J20" s="18">
        <v>2000</v>
      </c>
      <c r="K20" s="17">
        <f t="shared" si="1"/>
        <v>142.85714285714286</v>
      </c>
      <c r="L20" s="16">
        <v>14</v>
      </c>
      <c r="M20" s="18">
        <f t="shared" ref="M20:M25" si="20">F20/V20*60</f>
        <v>1924.2857142857133</v>
      </c>
      <c r="N20" s="17">
        <f t="shared" si="3"/>
        <v>137.44897959183666</v>
      </c>
      <c r="O20" s="19">
        <f t="shared" si="4"/>
        <v>0</v>
      </c>
      <c r="P20" s="20">
        <f t="shared" si="5"/>
        <v>-5.4081632653062002</v>
      </c>
      <c r="Q20" s="21">
        <f t="shared" si="6"/>
        <v>0.96214285714285663</v>
      </c>
      <c r="R20" s="172">
        <f>Q26</f>
        <v>0.96095043531510338</v>
      </c>
      <c r="S20" s="28">
        <v>0.20833333333333334</v>
      </c>
      <c r="T20" s="28">
        <v>0.25694444444444448</v>
      </c>
      <c r="U20" s="4"/>
      <c r="V20" s="22">
        <f t="shared" ref="V20:V25" si="21">(T20-S20)*24*60</f>
        <v>70.000000000000028</v>
      </c>
      <c r="W20" s="28"/>
      <c r="X20" s="28"/>
      <c r="Y20" s="28"/>
      <c r="Z20" s="28"/>
      <c r="AA20" s="164"/>
      <c r="AB20" s="164"/>
      <c r="AC20" s="25">
        <v>6</v>
      </c>
      <c r="AD20" s="25"/>
      <c r="AE20" s="19">
        <f t="shared" si="8"/>
        <v>-75.714285714286689</v>
      </c>
      <c r="AF20" s="21">
        <f t="shared" si="9"/>
        <v>0.96214285714285663</v>
      </c>
      <c r="AG20" s="172">
        <f>AF26</f>
        <v>0.96095043531510349</v>
      </c>
    </row>
    <row r="21" spans="1:33" ht="15.75" customHeight="1">
      <c r="A21" s="195" t="s">
        <v>58</v>
      </c>
      <c r="B21" s="37" t="s">
        <v>78</v>
      </c>
      <c r="C21" s="190" t="s">
        <v>96</v>
      </c>
      <c r="D21" s="190"/>
      <c r="E21" s="37">
        <v>53.68</v>
      </c>
      <c r="F21" s="4">
        <v>1334</v>
      </c>
      <c r="G21" s="4">
        <f t="shared" si="19"/>
        <v>71609.119999999995</v>
      </c>
      <c r="H21" s="22" t="s">
        <v>139</v>
      </c>
      <c r="I21" s="16">
        <v>16</v>
      </c>
      <c r="J21" s="18">
        <v>2000</v>
      </c>
      <c r="K21" s="17">
        <f t="shared" si="1"/>
        <v>125</v>
      </c>
      <c r="L21" s="16">
        <v>16</v>
      </c>
      <c r="M21" s="18">
        <f t="shared" si="20"/>
        <v>1905.7142857142851</v>
      </c>
      <c r="N21" s="17">
        <f t="shared" si="3"/>
        <v>119.10714285714282</v>
      </c>
      <c r="O21" s="19">
        <f t="shared" si="4"/>
        <v>0</v>
      </c>
      <c r="P21" s="20">
        <f t="shared" si="5"/>
        <v>-5.8928571428571814</v>
      </c>
      <c r="Q21" s="21">
        <f t="shared" si="6"/>
        <v>0.95285714285714251</v>
      </c>
      <c r="R21" s="172"/>
      <c r="S21" s="28">
        <v>0.26041666666666669</v>
      </c>
      <c r="T21" s="28">
        <v>0.28958333333333336</v>
      </c>
      <c r="U21" s="4">
        <f t="shared" ref="U21:U25" si="22">IF(S21=TIME(17,0,0),"",(S21-T20)*24*60)</f>
        <v>4.9999999999999822</v>
      </c>
      <c r="V21" s="22">
        <f t="shared" si="21"/>
        <v>42.000000000000014</v>
      </c>
      <c r="W21" s="23"/>
      <c r="X21" s="4"/>
      <c r="Y21" s="4"/>
      <c r="Z21" s="4"/>
      <c r="AA21" s="164"/>
      <c r="AB21" s="164"/>
      <c r="AC21" s="25"/>
      <c r="AD21" s="25"/>
      <c r="AE21" s="19">
        <f t="shared" si="8"/>
        <v>-94.285714285714903</v>
      </c>
      <c r="AF21" s="21">
        <f t="shared" si="9"/>
        <v>0.95285714285714251</v>
      </c>
      <c r="AG21" s="172"/>
    </row>
    <row r="22" spans="1:33" ht="15.75" customHeight="1">
      <c r="A22" s="195" t="s">
        <v>58</v>
      </c>
      <c r="B22" s="37" t="s">
        <v>78</v>
      </c>
      <c r="C22" s="190" t="s">
        <v>97</v>
      </c>
      <c r="D22" s="190"/>
      <c r="E22" s="37">
        <v>50.49</v>
      </c>
      <c r="F22" s="4">
        <v>1542</v>
      </c>
      <c r="G22" s="4">
        <f t="shared" si="19"/>
        <v>77855.58</v>
      </c>
      <c r="H22" s="22" t="s">
        <v>139</v>
      </c>
      <c r="I22" s="16">
        <v>15</v>
      </c>
      <c r="J22" s="18">
        <v>2000</v>
      </c>
      <c r="K22" s="17">
        <f t="shared" si="1"/>
        <v>133.33333333333334</v>
      </c>
      <c r="L22" s="16">
        <v>15</v>
      </c>
      <c r="M22" s="18">
        <f t="shared" si="20"/>
        <v>1927.5000000000005</v>
      </c>
      <c r="N22" s="17">
        <f t="shared" si="3"/>
        <v>128.50000000000003</v>
      </c>
      <c r="O22" s="19">
        <f t="shared" si="4"/>
        <v>0</v>
      </c>
      <c r="P22" s="20">
        <f t="shared" si="5"/>
        <v>-4.8333333333333144</v>
      </c>
      <c r="Q22" s="21">
        <f t="shared" si="6"/>
        <v>0.96375000000000011</v>
      </c>
      <c r="R22" s="172"/>
      <c r="S22" s="28">
        <v>0.70833333333333337</v>
      </c>
      <c r="T22" s="28">
        <v>0.7416666666666667</v>
      </c>
      <c r="U22" s="4" t="str">
        <f t="shared" si="22"/>
        <v/>
      </c>
      <c r="V22" s="22">
        <f t="shared" si="21"/>
        <v>47.999999999999986</v>
      </c>
      <c r="W22" s="23"/>
      <c r="X22" s="4"/>
      <c r="Y22" s="4"/>
      <c r="Z22" s="4"/>
      <c r="AA22" s="164"/>
      <c r="AB22" s="164"/>
      <c r="AC22" s="25"/>
      <c r="AD22" s="25"/>
      <c r="AE22" s="19">
        <f t="shared" si="8"/>
        <v>-72.499999999999545</v>
      </c>
      <c r="AF22" s="21">
        <f t="shared" si="9"/>
        <v>0.96375000000000022</v>
      </c>
      <c r="AG22" s="172"/>
    </row>
    <row r="23" spans="1:33" ht="15.75" customHeight="1">
      <c r="A23" s="195" t="s">
        <v>58</v>
      </c>
      <c r="B23" s="37" t="s">
        <v>78</v>
      </c>
      <c r="C23" s="190" t="s">
        <v>94</v>
      </c>
      <c r="D23" s="190"/>
      <c r="E23" s="37">
        <v>57.3</v>
      </c>
      <c r="F23" s="4">
        <v>1464</v>
      </c>
      <c r="G23" s="4">
        <f t="shared" si="19"/>
        <v>83887.2</v>
      </c>
      <c r="H23" s="22" t="s">
        <v>139</v>
      </c>
      <c r="I23" s="16">
        <v>13</v>
      </c>
      <c r="J23" s="18">
        <v>2000</v>
      </c>
      <c r="K23" s="17">
        <f t="shared" si="1"/>
        <v>153.84615384615384</v>
      </c>
      <c r="L23" s="16">
        <v>13</v>
      </c>
      <c r="M23" s="18">
        <f t="shared" si="20"/>
        <v>1909.5652173913043</v>
      </c>
      <c r="N23" s="17">
        <f t="shared" si="3"/>
        <v>146.8896321070234</v>
      </c>
      <c r="O23" s="19">
        <f t="shared" si="4"/>
        <v>0</v>
      </c>
      <c r="P23" s="20">
        <f t="shared" si="5"/>
        <v>-6.9565217391304373</v>
      </c>
      <c r="Q23" s="21">
        <f t="shared" si="6"/>
        <v>0.95478260869565212</v>
      </c>
      <c r="R23" s="172"/>
      <c r="S23" s="28">
        <v>0.74652777777777779</v>
      </c>
      <c r="T23" s="28">
        <v>0.77847222222222223</v>
      </c>
      <c r="U23" s="4">
        <f t="shared" si="22"/>
        <v>6.9999999999999751</v>
      </c>
      <c r="V23" s="22">
        <f t="shared" si="21"/>
        <v>46</v>
      </c>
      <c r="W23" s="23"/>
      <c r="X23" s="4"/>
      <c r="Y23" s="4"/>
      <c r="Z23" s="4"/>
      <c r="AA23" s="164"/>
      <c r="AB23" s="164"/>
      <c r="AC23" s="25"/>
      <c r="AD23" s="25"/>
      <c r="AE23" s="19">
        <f t="shared" si="8"/>
        <v>-90.434782608695741</v>
      </c>
      <c r="AF23" s="21">
        <f t="shared" si="9"/>
        <v>0.95478260869565212</v>
      </c>
      <c r="AG23" s="172"/>
    </row>
    <row r="24" spans="1:33" ht="15.75" customHeight="1">
      <c r="A24" s="195" t="s">
        <v>58</v>
      </c>
      <c r="B24" s="37" t="s">
        <v>78</v>
      </c>
      <c r="C24" s="190" t="s">
        <v>98</v>
      </c>
      <c r="D24" s="190"/>
      <c r="E24" s="37">
        <v>50.67</v>
      </c>
      <c r="F24" s="4">
        <v>811</v>
      </c>
      <c r="G24" s="4">
        <f t="shared" si="19"/>
        <v>41093.370000000003</v>
      </c>
      <c r="H24" s="22" t="s">
        <v>139</v>
      </c>
      <c r="I24" s="16">
        <v>16</v>
      </c>
      <c r="J24" s="18">
        <v>2000</v>
      </c>
      <c r="K24" s="17">
        <f t="shared" si="1"/>
        <v>125</v>
      </c>
      <c r="L24" s="16">
        <v>16</v>
      </c>
      <c r="M24" s="18">
        <f t="shared" si="20"/>
        <v>1946.3999999999944</v>
      </c>
      <c r="N24" s="17">
        <f t="shared" si="3"/>
        <v>121.64999999999965</v>
      </c>
      <c r="O24" s="19">
        <f t="shared" si="4"/>
        <v>0</v>
      </c>
      <c r="P24" s="20">
        <f t="shared" si="5"/>
        <v>-3.3500000000003496</v>
      </c>
      <c r="Q24" s="21">
        <f t="shared" si="6"/>
        <v>0.97319999999999718</v>
      </c>
      <c r="R24" s="172"/>
      <c r="S24" s="28">
        <v>0.78402777777777777</v>
      </c>
      <c r="T24" s="28">
        <v>0.80138888888888893</v>
      </c>
      <c r="U24" s="4">
        <f t="shared" si="22"/>
        <v>7.9999999999999716</v>
      </c>
      <c r="V24" s="22">
        <f t="shared" si="21"/>
        <v>25.000000000000071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-53.600000000005593</v>
      </c>
      <c r="AF24" s="21">
        <f t="shared" si="9"/>
        <v>0.97319999999999718</v>
      </c>
      <c r="AG24" s="172"/>
    </row>
    <row r="25" spans="1:33" ht="15.75" customHeight="1">
      <c r="A25" s="195" t="s">
        <v>58</v>
      </c>
      <c r="B25" s="37" t="s">
        <v>78</v>
      </c>
      <c r="C25" s="190" t="s">
        <v>99</v>
      </c>
      <c r="D25" s="190"/>
      <c r="E25" s="37">
        <v>53.68</v>
      </c>
      <c r="F25" s="4">
        <v>1701</v>
      </c>
      <c r="G25" s="4">
        <f t="shared" si="19"/>
        <v>91309.68</v>
      </c>
      <c r="H25" s="22" t="s">
        <v>139</v>
      </c>
      <c r="I25" s="16">
        <v>16</v>
      </c>
      <c r="J25" s="18">
        <v>1500</v>
      </c>
      <c r="K25" s="17">
        <f t="shared" si="1"/>
        <v>93.75</v>
      </c>
      <c r="L25" s="16">
        <v>16</v>
      </c>
      <c r="M25" s="18">
        <f t="shared" si="20"/>
        <v>1437.4647887323929</v>
      </c>
      <c r="N25" s="17">
        <f t="shared" si="3"/>
        <v>89.841549295774556</v>
      </c>
      <c r="O25" s="19">
        <f t="shared" si="4"/>
        <v>0</v>
      </c>
      <c r="P25" s="20">
        <f t="shared" si="5"/>
        <v>-3.9084507042254444</v>
      </c>
      <c r="Q25" s="21">
        <f t="shared" si="6"/>
        <v>0.95830985915492861</v>
      </c>
      <c r="R25" s="172"/>
      <c r="S25" s="28">
        <v>0.80625000000000002</v>
      </c>
      <c r="T25" s="28">
        <v>0.85555555555555562</v>
      </c>
      <c r="U25" s="4">
        <f t="shared" si="22"/>
        <v>6.9999999999999751</v>
      </c>
      <c r="V25" s="22">
        <f t="shared" si="21"/>
        <v>71.000000000000071</v>
      </c>
      <c r="W25" s="23"/>
      <c r="X25" s="28"/>
      <c r="Y25" s="28"/>
      <c r="Z25" s="28"/>
      <c r="AA25" s="164"/>
      <c r="AB25" s="164"/>
      <c r="AC25" s="25"/>
      <c r="AD25" s="25"/>
      <c r="AE25" s="19">
        <f t="shared" si="8"/>
        <v>-62.53521126760711</v>
      </c>
      <c r="AF25" s="21">
        <f t="shared" si="9"/>
        <v>0.95830985915492861</v>
      </c>
      <c r="AG25" s="172"/>
    </row>
    <row r="26" spans="1:33" ht="15.75" customHeight="1">
      <c r="A26" s="195" t="s">
        <v>58</v>
      </c>
      <c r="B26" s="37" t="s">
        <v>51</v>
      </c>
      <c r="C26" s="177"/>
      <c r="D26" s="177"/>
      <c r="E26" s="38"/>
      <c r="F26" s="4"/>
      <c r="G26" s="4"/>
      <c r="H26" s="4"/>
      <c r="I26" s="30">
        <v>15</v>
      </c>
      <c r="J26" s="18">
        <v>1916.6666666666667</v>
      </c>
      <c r="K26" s="17">
        <f t="shared" si="1"/>
        <v>127.77777777777779</v>
      </c>
      <c r="L26" s="30">
        <v>15</v>
      </c>
      <c r="M26" s="18">
        <f>AVERAGE(M20:M25)</f>
        <v>1841.8216676872817</v>
      </c>
      <c r="N26" s="17">
        <f t="shared" si="3"/>
        <v>122.78811117915211</v>
      </c>
      <c r="O26" s="19">
        <f t="shared" si="4"/>
        <v>0</v>
      </c>
      <c r="P26" s="20">
        <f t="shared" si="5"/>
        <v>-4.989666598625675</v>
      </c>
      <c r="Q26" s="21">
        <f t="shared" si="6"/>
        <v>0.96095043531510338</v>
      </c>
      <c r="R26" s="172"/>
      <c r="S26" s="28"/>
      <c r="T26" s="28"/>
      <c r="U26" s="17"/>
      <c r="V26" s="22"/>
      <c r="W26" s="17"/>
      <c r="X26" s="17"/>
      <c r="Y26" s="31">
        <f>SUM(Y20:Y25)</f>
        <v>0</v>
      </c>
      <c r="Z26" s="31">
        <f>SUM(Z20:Z25)</f>
        <v>0</v>
      </c>
      <c r="AA26" s="168"/>
      <c r="AB26" s="168"/>
      <c r="AC26" s="31">
        <f>SUM(AC20:AC25)</f>
        <v>6</v>
      </c>
      <c r="AD26" s="31">
        <f>SUM(AD20:AD25)</f>
        <v>0</v>
      </c>
      <c r="AE26" s="19">
        <f t="shared" si="8"/>
        <v>-74.844998979385082</v>
      </c>
      <c r="AF26" s="21">
        <f t="shared" si="9"/>
        <v>0.96095043531510349</v>
      </c>
      <c r="AG26" s="172"/>
    </row>
    <row r="27" spans="1:33" ht="15.75" customHeight="1">
      <c r="A27" s="193" t="s">
        <v>61</v>
      </c>
      <c r="B27" s="37" t="s">
        <v>100</v>
      </c>
      <c r="C27" s="190" t="s">
        <v>101</v>
      </c>
      <c r="D27" s="190"/>
      <c r="E27" s="37">
        <v>31.29</v>
      </c>
      <c r="F27" s="4">
        <v>7063</v>
      </c>
      <c r="G27" s="4">
        <f t="shared" ref="G27:G31" si="23">E27*F27</f>
        <v>221001.27</v>
      </c>
      <c r="H27" s="22" t="s">
        <v>139</v>
      </c>
      <c r="I27" s="16">
        <v>18</v>
      </c>
      <c r="J27" s="18">
        <v>2400</v>
      </c>
      <c r="K27" s="17">
        <f t="shared" si="1"/>
        <v>133.33333333333334</v>
      </c>
      <c r="L27" s="16">
        <v>18</v>
      </c>
      <c r="M27" s="18">
        <f t="shared" ref="M27:M31" si="24">F27/V27*60</f>
        <v>2290.7027027027029</v>
      </c>
      <c r="N27" s="17">
        <f t="shared" si="3"/>
        <v>127.26126126126127</v>
      </c>
      <c r="O27" s="19">
        <f t="shared" si="4"/>
        <v>0</v>
      </c>
      <c r="P27" s="20">
        <f t="shared" si="5"/>
        <v>-6.0720720720720749</v>
      </c>
      <c r="Q27" s="21">
        <f t="shared" si="6"/>
        <v>0.95445945945945943</v>
      </c>
      <c r="R27" s="172">
        <f>Q32</f>
        <v>0.9592926569683996</v>
      </c>
      <c r="S27" s="28">
        <v>0.125</v>
      </c>
      <c r="T27" s="28">
        <v>0.25347222222222221</v>
      </c>
      <c r="U27" s="4"/>
      <c r="V27" s="22">
        <f t="shared" ref="V27:V31" si="25">(T27-S27)*24*60</f>
        <v>184.99999999999997</v>
      </c>
      <c r="W27" s="23">
        <f>T27</f>
        <v>0.25347222222222221</v>
      </c>
      <c r="X27" s="23">
        <f>S28</f>
        <v>0.27152777777777776</v>
      </c>
      <c r="Y27" s="23"/>
      <c r="Z27" s="23"/>
      <c r="AA27" s="164"/>
      <c r="AB27" s="164"/>
      <c r="AC27" s="25">
        <v>5</v>
      </c>
      <c r="AD27" s="25"/>
      <c r="AE27" s="19">
        <f t="shared" si="8"/>
        <v>-109.29729729729706</v>
      </c>
      <c r="AF27" s="21">
        <f t="shared" si="9"/>
        <v>0.95445945945945954</v>
      </c>
      <c r="AG27" s="172">
        <f>AF32</f>
        <v>0.95929265696839949</v>
      </c>
    </row>
    <row r="28" spans="1:33" ht="15.75" customHeight="1">
      <c r="A28" s="193" t="s">
        <v>61</v>
      </c>
      <c r="B28" s="37" t="s">
        <v>100</v>
      </c>
      <c r="C28" s="190" t="s">
        <v>105</v>
      </c>
      <c r="D28" s="190"/>
      <c r="E28" s="37">
        <v>25.98</v>
      </c>
      <c r="F28" s="4">
        <v>2127</v>
      </c>
      <c r="G28" s="4">
        <f t="shared" si="23"/>
        <v>55259.46</v>
      </c>
      <c r="H28" s="22" t="s">
        <v>139</v>
      </c>
      <c r="I28" s="16">
        <v>21</v>
      </c>
      <c r="J28" s="18">
        <v>2400</v>
      </c>
      <c r="K28" s="17">
        <f t="shared" si="1"/>
        <v>114.28571428571429</v>
      </c>
      <c r="L28" s="16">
        <v>21</v>
      </c>
      <c r="M28" s="18">
        <f t="shared" si="24"/>
        <v>2320.3636363636379</v>
      </c>
      <c r="N28" s="17">
        <f t="shared" si="3"/>
        <v>110.49350649350656</v>
      </c>
      <c r="O28" s="19">
        <f t="shared" si="4"/>
        <v>0</v>
      </c>
      <c r="P28" s="20">
        <f t="shared" si="5"/>
        <v>-3.7922077922077335</v>
      </c>
      <c r="Q28" s="21">
        <f t="shared" si="6"/>
        <v>0.96681818181818235</v>
      </c>
      <c r="R28" s="172"/>
      <c r="S28" s="28">
        <v>0.27152777777777776</v>
      </c>
      <c r="T28" s="28">
        <v>0.30972222222222218</v>
      </c>
      <c r="U28" s="4">
        <f t="shared" ref="U28:U31" si="26">(S28-T27)*24*60</f>
        <v>25.999999999999986</v>
      </c>
      <c r="V28" s="22">
        <f t="shared" si="25"/>
        <v>54.999999999999964</v>
      </c>
      <c r="W28" s="23"/>
      <c r="X28" s="23"/>
      <c r="Y28" s="23"/>
      <c r="Z28" s="23"/>
      <c r="AA28" s="164"/>
      <c r="AB28" s="164"/>
      <c r="AC28" s="25"/>
      <c r="AD28" s="25"/>
      <c r="AE28" s="19">
        <f t="shared" si="8"/>
        <v>-79.636363636362148</v>
      </c>
      <c r="AF28" s="21">
        <f t="shared" si="9"/>
        <v>0.96681818181818246</v>
      </c>
      <c r="AG28" s="172"/>
    </row>
    <row r="29" spans="1:33" ht="15.75" customHeight="1">
      <c r="A29" s="193" t="s">
        <v>61</v>
      </c>
      <c r="B29" s="37" t="s">
        <v>100</v>
      </c>
      <c r="C29" s="190" t="s">
        <v>102</v>
      </c>
      <c r="D29" s="190"/>
      <c r="E29" s="37">
        <v>26.2</v>
      </c>
      <c r="F29" s="4">
        <v>3864</v>
      </c>
      <c r="G29" s="4">
        <f t="shared" si="23"/>
        <v>101236.8</v>
      </c>
      <c r="H29" s="22" t="s">
        <v>139</v>
      </c>
      <c r="I29" s="16">
        <v>20</v>
      </c>
      <c r="J29" s="18">
        <v>2400</v>
      </c>
      <c r="K29" s="17">
        <f t="shared" si="1"/>
        <v>120</v>
      </c>
      <c r="L29" s="16">
        <v>20</v>
      </c>
      <c r="M29" s="18">
        <f t="shared" si="24"/>
        <v>2295.4455445544545</v>
      </c>
      <c r="N29" s="17">
        <f t="shared" si="3"/>
        <v>114.77227722772273</v>
      </c>
      <c r="O29" s="19">
        <f t="shared" si="4"/>
        <v>0</v>
      </c>
      <c r="P29" s="20">
        <f t="shared" si="5"/>
        <v>-5.227722772277275</v>
      </c>
      <c r="Q29" s="21">
        <f t="shared" si="6"/>
        <v>0.95643564356435606</v>
      </c>
      <c r="R29" s="172"/>
      <c r="S29" s="28">
        <v>0.31458333333333327</v>
      </c>
      <c r="T29" s="28">
        <v>0.38472222222222219</v>
      </c>
      <c r="U29" s="4">
        <f t="shared" si="26"/>
        <v>6.9999999999999751</v>
      </c>
      <c r="V29" s="22">
        <f t="shared" si="25"/>
        <v>101.00000000000004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8"/>
        <v>-104.5544554455455</v>
      </c>
      <c r="AF29" s="21">
        <f t="shared" si="9"/>
        <v>0.95643564356435606</v>
      </c>
      <c r="AG29" s="172"/>
    </row>
    <row r="30" spans="1:33" ht="15.75" customHeight="1">
      <c r="A30" s="193" t="s">
        <v>61</v>
      </c>
      <c r="B30" s="37" t="s">
        <v>100</v>
      </c>
      <c r="C30" s="190" t="s">
        <v>103</v>
      </c>
      <c r="D30" s="190"/>
      <c r="E30" s="37">
        <v>25.99</v>
      </c>
      <c r="F30" s="4">
        <v>3227</v>
      </c>
      <c r="G30" s="4">
        <f t="shared" si="23"/>
        <v>83869.73</v>
      </c>
      <c r="H30" s="22" t="s">
        <v>139</v>
      </c>
      <c r="I30" s="16">
        <v>14</v>
      </c>
      <c r="J30" s="18">
        <v>2400</v>
      </c>
      <c r="K30" s="17">
        <f t="shared" si="1"/>
        <v>171.42857142857142</v>
      </c>
      <c r="L30" s="16">
        <v>14</v>
      </c>
      <c r="M30" s="18">
        <f t="shared" si="24"/>
        <v>2304.9999999999995</v>
      </c>
      <c r="N30" s="17">
        <f t="shared" si="3"/>
        <v>164.64285714285711</v>
      </c>
      <c r="O30" s="19">
        <f t="shared" si="4"/>
        <v>0</v>
      </c>
      <c r="P30" s="20">
        <f t="shared" si="5"/>
        <v>-6.785714285714306</v>
      </c>
      <c r="Q30" s="21">
        <f t="shared" si="6"/>
        <v>0.96041666666666659</v>
      </c>
      <c r="R30" s="172"/>
      <c r="S30" s="28">
        <v>0.3881944444444444</v>
      </c>
      <c r="T30" s="28">
        <v>0.44652777777777775</v>
      </c>
      <c r="U30" s="4">
        <f t="shared" si="26"/>
        <v>4.9999999999999822</v>
      </c>
      <c r="V30" s="22">
        <f t="shared" si="25"/>
        <v>84.000000000000028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8"/>
        <v>-95.000000000000455</v>
      </c>
      <c r="AF30" s="21">
        <f t="shared" si="9"/>
        <v>0.96041666666666647</v>
      </c>
      <c r="AG30" s="172"/>
    </row>
    <row r="31" spans="1:33" ht="15.75" customHeight="1">
      <c r="A31" s="193" t="s">
        <v>61</v>
      </c>
      <c r="B31" s="37" t="s">
        <v>100</v>
      </c>
      <c r="C31" s="190" t="s">
        <v>107</v>
      </c>
      <c r="D31" s="190"/>
      <c r="E31" s="37">
        <v>26.18</v>
      </c>
      <c r="F31" s="4">
        <v>1495</v>
      </c>
      <c r="G31" s="4">
        <f t="shared" si="23"/>
        <v>39139.1</v>
      </c>
      <c r="H31" s="22" t="s">
        <v>139</v>
      </c>
      <c r="I31" s="16">
        <v>19</v>
      </c>
      <c r="J31" s="18">
        <v>2400</v>
      </c>
      <c r="K31" s="17">
        <f t="shared" si="1"/>
        <v>126.31578947368421</v>
      </c>
      <c r="L31" s="16">
        <v>19</v>
      </c>
      <c r="M31" s="18">
        <f t="shared" si="24"/>
        <v>2299.9999999999991</v>
      </c>
      <c r="N31" s="17">
        <f t="shared" si="3"/>
        <v>121.05263157894733</v>
      </c>
      <c r="O31" s="19">
        <f t="shared" si="4"/>
        <v>0</v>
      </c>
      <c r="P31" s="20">
        <f t="shared" si="5"/>
        <v>-5.263157894736878</v>
      </c>
      <c r="Q31" s="21">
        <f t="shared" si="6"/>
        <v>0.95833333333333304</v>
      </c>
      <c r="R31" s="172"/>
      <c r="S31" s="28">
        <v>0.44999999999999996</v>
      </c>
      <c r="T31" s="28">
        <v>0.4770833333333333</v>
      </c>
      <c r="U31" s="4">
        <f t="shared" si="26"/>
        <v>4.9999999999999822</v>
      </c>
      <c r="V31" s="22">
        <f t="shared" si="25"/>
        <v>39.000000000000021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8"/>
        <v>-100.00000000000091</v>
      </c>
      <c r="AF31" s="21">
        <f t="shared" si="9"/>
        <v>0.95833333333333293</v>
      </c>
      <c r="AG31" s="172"/>
    </row>
    <row r="32" spans="1:33" ht="15.75" customHeight="1">
      <c r="A32" s="193" t="s">
        <v>61</v>
      </c>
      <c r="B32" s="37" t="s">
        <v>51</v>
      </c>
      <c r="C32" s="177"/>
      <c r="D32" s="177"/>
      <c r="E32" s="38"/>
      <c r="F32" s="4"/>
      <c r="G32" s="4"/>
      <c r="H32" s="4"/>
      <c r="I32" s="30">
        <v>18.399999999999999</v>
      </c>
      <c r="J32" s="18">
        <v>2400</v>
      </c>
      <c r="K32" s="17">
        <f t="shared" si="1"/>
        <v>130.43478260869566</v>
      </c>
      <c r="L32" s="30">
        <v>18.399999999999999</v>
      </c>
      <c r="M32" s="18">
        <f>AVERAGE(M27:M31)</f>
        <v>2302.3023767241589</v>
      </c>
      <c r="N32" s="17">
        <f t="shared" si="3"/>
        <v>125.12512916979125</v>
      </c>
      <c r="O32" s="19">
        <f t="shared" si="4"/>
        <v>0</v>
      </c>
      <c r="P32" s="20">
        <f t="shared" si="5"/>
        <v>-5.3096534389044052</v>
      </c>
      <c r="Q32" s="21">
        <f t="shared" si="6"/>
        <v>0.9592926569683996</v>
      </c>
      <c r="R32" s="172"/>
      <c r="S32" s="28"/>
      <c r="T32" s="28"/>
      <c r="U32" s="4"/>
      <c r="V32" s="22"/>
      <c r="W32" s="4"/>
      <c r="X32" s="4"/>
      <c r="Y32" s="31">
        <f>SUM(Y27:Y31)</f>
        <v>0</v>
      </c>
      <c r="Z32" s="31">
        <f>SUM(Z27:Z31)</f>
        <v>0</v>
      </c>
      <c r="AA32" s="168"/>
      <c r="AB32" s="168"/>
      <c r="AC32" s="31">
        <f>SUM(AC27:AC31)</f>
        <v>5</v>
      </c>
      <c r="AD32" s="31">
        <f>SUM(AD27:AD31)</f>
        <v>0</v>
      </c>
      <c r="AE32" s="19">
        <f t="shared" si="8"/>
        <v>-97.697623275841124</v>
      </c>
      <c r="AF32" s="21">
        <f t="shared" si="9"/>
        <v>0.95929265696839949</v>
      </c>
      <c r="AG32" s="172"/>
    </row>
    <row r="33" spans="1:33" ht="15.75" customHeight="1">
      <c r="A33" s="191" t="s">
        <v>64</v>
      </c>
      <c r="B33" s="37" t="s">
        <v>100</v>
      </c>
      <c r="C33" s="165" t="s">
        <v>106</v>
      </c>
      <c r="D33" s="165"/>
      <c r="E33" s="37">
        <v>26.2</v>
      </c>
      <c r="F33" s="4">
        <v>5375</v>
      </c>
      <c r="G33" s="4">
        <f t="shared" ref="G33:G37" si="27">E33*F33</f>
        <v>140825</v>
      </c>
      <c r="H33" s="22" t="s">
        <v>139</v>
      </c>
      <c r="I33" s="16">
        <v>18</v>
      </c>
      <c r="J33" s="18">
        <v>2400</v>
      </c>
      <c r="K33" s="17">
        <f t="shared" si="1"/>
        <v>133.33333333333334</v>
      </c>
      <c r="L33" s="16">
        <v>18</v>
      </c>
      <c r="M33" s="18">
        <f t="shared" ref="M33:M37" si="28">F33/V33*60</f>
        <v>2287.234042553192</v>
      </c>
      <c r="N33" s="17">
        <f t="shared" si="3"/>
        <v>127.06855791962178</v>
      </c>
      <c r="O33" s="19">
        <f t="shared" si="4"/>
        <v>0</v>
      </c>
      <c r="P33" s="20">
        <f t="shared" si="5"/>
        <v>-6.2647754137115612</v>
      </c>
      <c r="Q33" s="21">
        <f t="shared" si="6"/>
        <v>0.95301418439716334</v>
      </c>
      <c r="R33" s="172">
        <f>Q38</f>
        <v>0.95408483710562264</v>
      </c>
      <c r="S33" s="28">
        <v>0.125</v>
      </c>
      <c r="T33" s="28">
        <v>0.22291666666666665</v>
      </c>
      <c r="U33" s="4"/>
      <c r="V33" s="22">
        <f t="shared" ref="V33:V37" si="29">(T33-S33)*24*60</f>
        <v>140.99999999999997</v>
      </c>
      <c r="W33" s="28">
        <f>T33</f>
        <v>0.22291666666666665</v>
      </c>
      <c r="X33" s="28">
        <f>S34</f>
        <v>0.24236111111111111</v>
      </c>
      <c r="Y33" s="28"/>
      <c r="Z33" s="28"/>
      <c r="AA33" s="164"/>
      <c r="AB33" s="164"/>
      <c r="AC33" s="25">
        <v>5</v>
      </c>
      <c r="AD33" s="25"/>
      <c r="AE33" s="19">
        <f t="shared" si="8"/>
        <v>-112.76595744680799</v>
      </c>
      <c r="AF33" s="21">
        <f t="shared" si="9"/>
        <v>0.95301418439716334</v>
      </c>
      <c r="AG33" s="172">
        <f>AF38</f>
        <v>0.95408483710562264</v>
      </c>
    </row>
    <row r="34" spans="1:33" ht="15.75" customHeight="1">
      <c r="A34" s="191" t="s">
        <v>64</v>
      </c>
      <c r="B34" s="37" t="s">
        <v>100</v>
      </c>
      <c r="C34" s="165" t="s">
        <v>104</v>
      </c>
      <c r="D34" s="165"/>
      <c r="E34" s="37">
        <v>20.52</v>
      </c>
      <c r="F34" s="4">
        <v>2787</v>
      </c>
      <c r="G34" s="4">
        <f t="shared" si="27"/>
        <v>57189.24</v>
      </c>
      <c r="H34" s="22" t="s">
        <v>139</v>
      </c>
      <c r="I34" s="16">
        <v>18</v>
      </c>
      <c r="J34" s="18">
        <v>2400</v>
      </c>
      <c r="K34" s="17">
        <f t="shared" si="1"/>
        <v>133.33333333333334</v>
      </c>
      <c r="L34" s="16">
        <v>18</v>
      </c>
      <c r="M34" s="18">
        <f t="shared" si="28"/>
        <v>2290.6849315068489</v>
      </c>
      <c r="N34" s="17">
        <f t="shared" si="3"/>
        <v>127.26027397260272</v>
      </c>
      <c r="O34" s="19">
        <f t="shared" si="4"/>
        <v>0</v>
      </c>
      <c r="P34" s="20">
        <f t="shared" si="5"/>
        <v>-6.0730593607306247</v>
      </c>
      <c r="Q34" s="21">
        <f t="shared" si="6"/>
        <v>0.95445205479452033</v>
      </c>
      <c r="R34" s="172"/>
      <c r="S34" s="28">
        <v>0.24236111111111111</v>
      </c>
      <c r="T34" s="28">
        <v>0.29305555555555557</v>
      </c>
      <c r="U34" s="4">
        <f t="shared" ref="U34:U37" si="30">(S34-T33)*24*60</f>
        <v>28.000000000000021</v>
      </c>
      <c r="V34" s="22">
        <f t="shared" si="29"/>
        <v>73.000000000000014</v>
      </c>
      <c r="W34" s="4"/>
      <c r="X34" s="4"/>
      <c r="Y34" s="4"/>
      <c r="Z34" s="4"/>
      <c r="AA34" s="164"/>
      <c r="AB34" s="164"/>
      <c r="AC34" s="25"/>
      <c r="AD34" s="25"/>
      <c r="AE34" s="19">
        <f t="shared" si="8"/>
        <v>-109.3150684931511</v>
      </c>
      <c r="AF34" s="21">
        <f t="shared" si="9"/>
        <v>0.95445205479452033</v>
      </c>
      <c r="AG34" s="172"/>
    </row>
    <row r="35" spans="1:33">
      <c r="A35" s="192" t="s">
        <v>64</v>
      </c>
      <c r="B35" s="37" t="s">
        <v>100</v>
      </c>
      <c r="C35" s="165" t="s">
        <v>108</v>
      </c>
      <c r="D35" s="165"/>
      <c r="E35" s="37">
        <v>26.39</v>
      </c>
      <c r="F35" s="4">
        <v>4338</v>
      </c>
      <c r="G35" s="4">
        <f t="shared" si="27"/>
        <v>114479.82</v>
      </c>
      <c r="H35" s="22" t="s">
        <v>139</v>
      </c>
      <c r="I35" s="16">
        <v>19</v>
      </c>
      <c r="J35" s="18">
        <v>2400</v>
      </c>
      <c r="K35" s="17">
        <f t="shared" si="1"/>
        <v>126.31578947368421</v>
      </c>
      <c r="L35" s="16">
        <v>19</v>
      </c>
      <c r="M35" s="18">
        <f t="shared" si="28"/>
        <v>2283.1578947368421</v>
      </c>
      <c r="N35" s="17">
        <f t="shared" si="3"/>
        <v>120.16620498614958</v>
      </c>
      <c r="O35" s="19">
        <f t="shared" si="4"/>
        <v>0</v>
      </c>
      <c r="P35" s="20">
        <f t="shared" si="5"/>
        <v>-6.1495844875346251</v>
      </c>
      <c r="Q35" s="21">
        <f t="shared" si="6"/>
        <v>0.95131578947368423</v>
      </c>
      <c r="R35" s="172"/>
      <c r="S35" s="28">
        <v>0.29791666666666666</v>
      </c>
      <c r="T35" s="28">
        <v>0.37708333333333333</v>
      </c>
      <c r="U35" s="4">
        <f t="shared" si="30"/>
        <v>6.9999999999999751</v>
      </c>
      <c r="V35" s="22">
        <f t="shared" si="29"/>
        <v>114</v>
      </c>
      <c r="W35" s="4"/>
      <c r="X35" s="4"/>
      <c r="Y35" s="4"/>
      <c r="Z35" s="4"/>
      <c r="AA35" s="164"/>
      <c r="AB35" s="164"/>
      <c r="AC35" s="25"/>
      <c r="AD35" s="25"/>
      <c r="AE35" s="19">
        <f t="shared" si="8"/>
        <v>-116.84210526315792</v>
      </c>
      <c r="AF35" s="21">
        <f t="shared" si="9"/>
        <v>0.95131578947368423</v>
      </c>
      <c r="AG35" s="172"/>
    </row>
    <row r="36" spans="1:33">
      <c r="A36" s="192" t="s">
        <v>64</v>
      </c>
      <c r="B36" s="37" t="s">
        <v>100</v>
      </c>
      <c r="C36" s="165" t="s">
        <v>137</v>
      </c>
      <c r="D36" s="165"/>
      <c r="E36" s="37">
        <v>20.21</v>
      </c>
      <c r="F36" s="4">
        <v>2593</v>
      </c>
      <c r="G36" s="4">
        <f t="shared" si="27"/>
        <v>52404.53</v>
      </c>
      <c r="H36" s="22" t="s">
        <v>139</v>
      </c>
      <c r="I36" s="16">
        <v>16</v>
      </c>
      <c r="J36" s="18">
        <v>2400</v>
      </c>
      <c r="K36" s="17">
        <f t="shared" si="1"/>
        <v>150</v>
      </c>
      <c r="L36" s="16">
        <v>16</v>
      </c>
      <c r="M36" s="18">
        <f t="shared" si="28"/>
        <v>2287.9411764705883</v>
      </c>
      <c r="N36" s="17">
        <f t="shared" si="3"/>
        <v>142.99632352941177</v>
      </c>
      <c r="O36" s="19">
        <f t="shared" si="4"/>
        <v>0</v>
      </c>
      <c r="P36" s="20">
        <f t="shared" si="5"/>
        <v>-7.003676470588232</v>
      </c>
      <c r="Q36" s="21">
        <f t="shared" si="6"/>
        <v>0.95330882352941182</v>
      </c>
      <c r="R36" s="172"/>
      <c r="S36" s="28">
        <v>0.38124999999999998</v>
      </c>
      <c r="T36" s="28">
        <v>0.4284722222222222</v>
      </c>
      <c r="U36" s="4">
        <f t="shared" si="30"/>
        <v>5.9999999999999787</v>
      </c>
      <c r="V36" s="22">
        <f t="shared" si="29"/>
        <v>68</v>
      </c>
      <c r="W36" s="23"/>
      <c r="X36" s="23"/>
      <c r="Y36" s="23"/>
      <c r="Z36" s="23"/>
      <c r="AA36" s="164"/>
      <c r="AB36" s="164"/>
      <c r="AC36" s="25"/>
      <c r="AD36" s="25"/>
      <c r="AE36" s="19">
        <f t="shared" si="8"/>
        <v>-112.05882352941171</v>
      </c>
      <c r="AF36" s="21">
        <f t="shared" si="9"/>
        <v>0.95330882352941182</v>
      </c>
      <c r="AG36" s="172"/>
    </row>
    <row r="37" spans="1:33">
      <c r="A37" s="192" t="s">
        <v>64</v>
      </c>
      <c r="B37" s="37" t="s">
        <v>100</v>
      </c>
      <c r="C37" s="165" t="s">
        <v>134</v>
      </c>
      <c r="D37" s="165"/>
      <c r="E37" s="37">
        <v>20.52</v>
      </c>
      <c r="F37" s="4">
        <v>2415</v>
      </c>
      <c r="G37" s="4">
        <f t="shared" si="27"/>
        <v>49555.799999999996</v>
      </c>
      <c r="H37" s="22" t="s">
        <v>139</v>
      </c>
      <c r="I37" s="16">
        <v>18</v>
      </c>
      <c r="J37" s="18">
        <v>2400</v>
      </c>
      <c r="K37" s="17">
        <f t="shared" si="1"/>
        <v>133.33333333333334</v>
      </c>
      <c r="L37" s="16">
        <v>18</v>
      </c>
      <c r="M37" s="18">
        <f t="shared" si="28"/>
        <v>2299.9999999999991</v>
      </c>
      <c r="N37" s="17">
        <f t="shared" si="3"/>
        <v>127.77777777777773</v>
      </c>
      <c r="O37" s="19">
        <f t="shared" si="4"/>
        <v>0</v>
      </c>
      <c r="P37" s="20">
        <f t="shared" si="5"/>
        <v>-5.555555555555614</v>
      </c>
      <c r="Q37" s="21">
        <f t="shared" si="6"/>
        <v>0.95833333333333293</v>
      </c>
      <c r="R37" s="172"/>
      <c r="S37" s="28">
        <v>0.43333333333333329</v>
      </c>
      <c r="T37" s="28">
        <v>0.4770833333333333</v>
      </c>
      <c r="U37" s="4">
        <f t="shared" si="30"/>
        <v>6.9999999999999751</v>
      </c>
      <c r="V37" s="22">
        <f t="shared" si="29"/>
        <v>63.000000000000014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8"/>
        <v>-100.00000000000091</v>
      </c>
      <c r="AF37" s="21">
        <f t="shared" si="9"/>
        <v>0.95833333333333293</v>
      </c>
      <c r="AG37" s="172"/>
    </row>
    <row r="38" spans="1:33">
      <c r="A38" s="192" t="s">
        <v>64</v>
      </c>
      <c r="B38" s="17" t="s">
        <v>51</v>
      </c>
      <c r="C38" s="177"/>
      <c r="D38" s="177"/>
      <c r="E38" s="38"/>
      <c r="F38" s="17"/>
      <c r="G38" s="17"/>
      <c r="H38" s="4"/>
      <c r="I38" s="30">
        <v>17.8</v>
      </c>
      <c r="J38" s="18">
        <v>2400</v>
      </c>
      <c r="K38" s="17">
        <f t="shared" si="1"/>
        <v>134.83146067415728</v>
      </c>
      <c r="L38" s="30">
        <v>17.8</v>
      </c>
      <c r="M38" s="18">
        <f>AVERAGE(M33:M37)</f>
        <v>2289.8036090534943</v>
      </c>
      <c r="N38" s="17">
        <f t="shared" si="3"/>
        <v>128.64065219401652</v>
      </c>
      <c r="O38" s="19">
        <f t="shared" si="4"/>
        <v>0</v>
      </c>
      <c r="P38" s="20">
        <f t="shared" si="5"/>
        <v>-6.1908084801407597</v>
      </c>
      <c r="Q38" s="21">
        <f t="shared" si="6"/>
        <v>0.95408483710562264</v>
      </c>
      <c r="R38" s="172"/>
      <c r="S38" s="28"/>
      <c r="T38" s="28"/>
      <c r="U38" s="17"/>
      <c r="V38" s="22"/>
      <c r="W38" s="17"/>
      <c r="X38" s="17"/>
      <c r="Y38" s="31">
        <f>SUM(Y33:Y37)</f>
        <v>0</v>
      </c>
      <c r="Z38" s="31">
        <f>SUM(Z33:Z37)</f>
        <v>0</v>
      </c>
      <c r="AA38" s="168"/>
      <c r="AB38" s="168"/>
      <c r="AC38" s="31">
        <f>SUM(AC33:AC37)</f>
        <v>5</v>
      </c>
      <c r="AD38" s="31">
        <f>SUM(AD33:AD37)</f>
        <v>0</v>
      </c>
      <c r="AE38" s="19">
        <f t="shared" si="8"/>
        <v>-110.19639094650574</v>
      </c>
      <c r="AF38" s="21">
        <f t="shared" si="9"/>
        <v>0.95408483710562264</v>
      </c>
      <c r="AG38" s="172"/>
    </row>
    <row r="39" spans="1:33" ht="15.75" customHeight="1">
      <c r="A39" s="184" t="s">
        <v>66</v>
      </c>
      <c r="B39" s="37" t="s">
        <v>111</v>
      </c>
      <c r="C39" s="173" t="s">
        <v>403</v>
      </c>
      <c r="D39" s="174"/>
      <c r="E39" s="37">
        <v>34.36</v>
      </c>
      <c r="F39" s="4">
        <v>2816</v>
      </c>
      <c r="G39" s="4">
        <f t="shared" ref="G39:G48" si="31">E39*F39</f>
        <v>96757.759999999995</v>
      </c>
      <c r="H39" s="22" t="s">
        <v>139</v>
      </c>
      <c r="I39" s="16">
        <v>10</v>
      </c>
      <c r="J39" s="18">
        <v>3000</v>
      </c>
      <c r="K39" s="17">
        <f t="shared" si="1"/>
        <v>300</v>
      </c>
      <c r="L39" s="16">
        <v>10</v>
      </c>
      <c r="M39" s="18">
        <f t="shared" ref="M39:M48" si="32">F39/V39*60</f>
        <v>2863.7288135593226</v>
      </c>
      <c r="N39" s="18">
        <f t="shared" si="3"/>
        <v>286.37288135593224</v>
      </c>
      <c r="O39" s="19">
        <f t="shared" si="4"/>
        <v>0</v>
      </c>
      <c r="P39" s="20">
        <f t="shared" si="5"/>
        <v>-13.627118644067764</v>
      </c>
      <c r="Q39" s="21">
        <f t="shared" si="6"/>
        <v>0.95457627118644084</v>
      </c>
      <c r="R39" s="187">
        <f>Q49</f>
        <v>0.95940482183734244</v>
      </c>
      <c r="S39" s="28">
        <v>0.20833333333333334</v>
      </c>
      <c r="T39" s="28">
        <v>0.24930555555555556</v>
      </c>
      <c r="U39" s="28"/>
      <c r="V39" s="22">
        <f t="shared" ref="V39:V48" si="33">(T39-S39)*24*60</f>
        <v>58.999999999999993</v>
      </c>
      <c r="W39" s="23"/>
      <c r="X39" s="23"/>
      <c r="Y39" s="26"/>
      <c r="Z39" s="26"/>
      <c r="AA39" s="175"/>
      <c r="AB39" s="176"/>
      <c r="AC39" s="25">
        <v>10</v>
      </c>
      <c r="AD39" s="25"/>
      <c r="AE39" s="19">
        <f t="shared" si="8"/>
        <v>-136.27118644067741</v>
      </c>
      <c r="AF39" s="21">
        <f t="shared" si="9"/>
        <v>0.95457627118644084</v>
      </c>
      <c r="AG39" s="187">
        <f>AF49</f>
        <v>0.95940482183734233</v>
      </c>
    </row>
    <row r="40" spans="1:33" ht="15.75" customHeight="1">
      <c r="A40" s="185" t="s">
        <v>66</v>
      </c>
      <c r="B40" s="37" t="s">
        <v>111</v>
      </c>
      <c r="C40" s="173" t="s">
        <v>114</v>
      </c>
      <c r="D40" s="174"/>
      <c r="E40" s="37">
        <v>35.119999999999997</v>
      </c>
      <c r="F40" s="4">
        <v>3300</v>
      </c>
      <c r="G40" s="4">
        <f t="shared" si="31"/>
        <v>115895.99999999999</v>
      </c>
      <c r="H40" s="22">
        <v>2</v>
      </c>
      <c r="I40" s="16">
        <v>10</v>
      </c>
      <c r="J40" s="18">
        <v>3000</v>
      </c>
      <c r="K40" s="17">
        <f t="shared" si="1"/>
        <v>300</v>
      </c>
      <c r="L40" s="16">
        <v>10</v>
      </c>
      <c r="M40" s="18">
        <f t="shared" si="32"/>
        <v>2869.5652173913045</v>
      </c>
      <c r="N40" s="18">
        <f t="shared" si="3"/>
        <v>286.95652173913044</v>
      </c>
      <c r="O40" s="19">
        <f t="shared" si="4"/>
        <v>0</v>
      </c>
      <c r="P40" s="20">
        <f t="shared" si="5"/>
        <v>-13.043478260869563</v>
      </c>
      <c r="Q40" s="21">
        <f t="shared" si="6"/>
        <v>0.95652173913043481</v>
      </c>
      <c r="R40" s="188"/>
      <c r="S40" s="28">
        <v>0.25277777777777777</v>
      </c>
      <c r="T40" s="28">
        <v>0.30069444444444443</v>
      </c>
      <c r="U40" s="4">
        <f t="shared" ref="U40:U48" si="34">(S40-T39)*24*60</f>
        <v>4.9999999999999822</v>
      </c>
      <c r="V40" s="22">
        <f t="shared" si="33"/>
        <v>69</v>
      </c>
      <c r="W40" s="23"/>
      <c r="X40" s="23"/>
      <c r="Y40" s="26"/>
      <c r="Z40" s="26"/>
      <c r="AA40" s="175"/>
      <c r="AB40" s="176"/>
      <c r="AC40" s="25"/>
      <c r="AD40" s="25"/>
      <c r="AE40" s="19">
        <f t="shared" si="8"/>
        <v>-130.43478260869551</v>
      </c>
      <c r="AF40" s="21">
        <f t="shared" si="9"/>
        <v>0.95652173913043481</v>
      </c>
      <c r="AG40" s="188"/>
    </row>
    <row r="41" spans="1:33" ht="15.75" customHeight="1">
      <c r="A41" s="185" t="s">
        <v>66</v>
      </c>
      <c r="B41" s="37" t="s">
        <v>111</v>
      </c>
      <c r="C41" s="173" t="s">
        <v>115</v>
      </c>
      <c r="D41" s="174"/>
      <c r="E41" s="37">
        <v>26.78</v>
      </c>
      <c r="F41" s="4">
        <v>2622</v>
      </c>
      <c r="G41" s="4">
        <f t="shared" si="31"/>
        <v>70217.16</v>
      </c>
      <c r="H41" s="22" t="s">
        <v>139</v>
      </c>
      <c r="I41" s="16">
        <v>10</v>
      </c>
      <c r="J41" s="18">
        <v>3000</v>
      </c>
      <c r="K41" s="17">
        <f t="shared" si="1"/>
        <v>300</v>
      </c>
      <c r="L41" s="16">
        <v>10</v>
      </c>
      <c r="M41" s="18">
        <f t="shared" si="32"/>
        <v>2860.3636363636379</v>
      </c>
      <c r="N41" s="18">
        <f t="shared" si="3"/>
        <v>286.03636363636377</v>
      </c>
      <c r="O41" s="19">
        <f t="shared" si="4"/>
        <v>0</v>
      </c>
      <c r="P41" s="20">
        <f t="shared" si="5"/>
        <v>-13.963636363636226</v>
      </c>
      <c r="Q41" s="21">
        <f t="shared" si="6"/>
        <v>0.95345454545454589</v>
      </c>
      <c r="R41" s="188"/>
      <c r="S41" s="28">
        <v>0.30624999999999997</v>
      </c>
      <c r="T41" s="28">
        <v>0.34444444444444439</v>
      </c>
      <c r="U41" s="4">
        <f t="shared" si="34"/>
        <v>7.9999999999999716</v>
      </c>
      <c r="V41" s="22">
        <f t="shared" si="33"/>
        <v>54.999999999999964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8"/>
        <v>-139.63636363636215</v>
      </c>
      <c r="AF41" s="21">
        <f t="shared" si="9"/>
        <v>0.953454545454546</v>
      </c>
      <c r="AG41" s="188"/>
    </row>
    <row r="42" spans="1:33" ht="15.75" customHeight="1">
      <c r="A42" s="185" t="s">
        <v>66</v>
      </c>
      <c r="B42" s="37" t="s">
        <v>111</v>
      </c>
      <c r="C42" s="173" t="s">
        <v>117</v>
      </c>
      <c r="D42" s="174"/>
      <c r="E42" s="37">
        <v>44.03</v>
      </c>
      <c r="F42" s="4">
        <v>1046</v>
      </c>
      <c r="G42" s="4">
        <f t="shared" si="31"/>
        <v>46055.380000000005</v>
      </c>
      <c r="H42" s="22" t="s">
        <v>139</v>
      </c>
      <c r="I42" s="16">
        <v>10</v>
      </c>
      <c r="J42" s="18">
        <v>3000</v>
      </c>
      <c r="K42" s="17">
        <f t="shared" si="1"/>
        <v>300</v>
      </c>
      <c r="L42" s="16">
        <v>10</v>
      </c>
      <c r="M42" s="18">
        <f t="shared" si="32"/>
        <v>2852.727272727273</v>
      </c>
      <c r="N42" s="18">
        <f t="shared" si="3"/>
        <v>285.27272727272731</v>
      </c>
      <c r="O42" s="19">
        <f t="shared" si="4"/>
        <v>0</v>
      </c>
      <c r="P42" s="20">
        <f t="shared" si="5"/>
        <v>-14.727272727272691</v>
      </c>
      <c r="Q42" s="21">
        <f t="shared" si="6"/>
        <v>0.95090909090909104</v>
      </c>
      <c r="R42" s="188"/>
      <c r="S42" s="28">
        <v>0.34930555555555548</v>
      </c>
      <c r="T42" s="28">
        <v>0.36458333333333326</v>
      </c>
      <c r="U42" s="4">
        <f t="shared" si="34"/>
        <v>6.9999999999999751</v>
      </c>
      <c r="V42" s="22">
        <f t="shared" si="33"/>
        <v>22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8"/>
        <v>-147.27272727272702</v>
      </c>
      <c r="AF42" s="21">
        <f t="shared" si="9"/>
        <v>0.95090909090909104</v>
      </c>
      <c r="AG42" s="188"/>
    </row>
    <row r="43" spans="1:33" ht="15.75" customHeight="1">
      <c r="A43" s="185" t="s">
        <v>66</v>
      </c>
      <c r="B43" s="37" t="s">
        <v>111</v>
      </c>
      <c r="C43" s="173" t="s">
        <v>112</v>
      </c>
      <c r="D43" s="174"/>
      <c r="E43" s="37">
        <v>21.13</v>
      </c>
      <c r="F43" s="4">
        <v>2300</v>
      </c>
      <c r="G43" s="4">
        <f t="shared" si="31"/>
        <v>48599</v>
      </c>
      <c r="H43" s="22">
        <v>2</v>
      </c>
      <c r="I43" s="16">
        <v>10</v>
      </c>
      <c r="J43" s="18">
        <v>3000</v>
      </c>
      <c r="K43" s="17">
        <f t="shared" si="1"/>
        <v>300</v>
      </c>
      <c r="L43" s="16">
        <v>10</v>
      </c>
      <c r="M43" s="18">
        <f t="shared" si="32"/>
        <v>2875.0000000000009</v>
      </c>
      <c r="N43" s="18">
        <f t="shared" si="3"/>
        <v>287.50000000000011</v>
      </c>
      <c r="O43" s="19">
        <f t="shared" si="4"/>
        <v>0</v>
      </c>
      <c r="P43" s="20">
        <f t="shared" si="5"/>
        <v>-12.499999999999886</v>
      </c>
      <c r="Q43" s="21">
        <f t="shared" si="6"/>
        <v>0.9583333333333337</v>
      </c>
      <c r="R43" s="188"/>
      <c r="S43" s="28">
        <v>0.36874999999999991</v>
      </c>
      <c r="T43" s="28">
        <v>0.40208333333333324</v>
      </c>
      <c r="U43" s="4">
        <f t="shared" si="34"/>
        <v>5.9999999999999787</v>
      </c>
      <c r="V43" s="22">
        <f t="shared" si="33"/>
        <v>47.999999999999986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8"/>
        <v>-124.99999999999909</v>
      </c>
      <c r="AF43" s="21">
        <f t="shared" si="9"/>
        <v>0.95833333333333359</v>
      </c>
      <c r="AG43" s="188"/>
    </row>
    <row r="44" spans="1:33" ht="15.75" customHeight="1">
      <c r="A44" s="185" t="s">
        <v>66</v>
      </c>
      <c r="B44" s="37" t="s">
        <v>111</v>
      </c>
      <c r="C44" s="173" t="s">
        <v>113</v>
      </c>
      <c r="D44" s="174"/>
      <c r="E44" s="37">
        <v>27.17</v>
      </c>
      <c r="F44" s="4">
        <v>3800</v>
      </c>
      <c r="G44" s="4">
        <f t="shared" si="31"/>
        <v>103246</v>
      </c>
      <c r="H44" s="22">
        <v>2</v>
      </c>
      <c r="I44" s="16">
        <v>10</v>
      </c>
      <c r="J44" s="18">
        <v>3000</v>
      </c>
      <c r="K44" s="17">
        <f t="shared" si="1"/>
        <v>300</v>
      </c>
      <c r="L44" s="16">
        <v>10</v>
      </c>
      <c r="M44" s="18">
        <f t="shared" si="32"/>
        <v>2886.0759493670871</v>
      </c>
      <c r="N44" s="18">
        <f t="shared" si="3"/>
        <v>288.60759493670872</v>
      </c>
      <c r="O44" s="19">
        <f t="shared" si="4"/>
        <v>0</v>
      </c>
      <c r="P44" s="20">
        <f t="shared" si="5"/>
        <v>-11.392405063291278</v>
      </c>
      <c r="Q44" s="21">
        <f t="shared" si="6"/>
        <v>0.96202531645569578</v>
      </c>
      <c r="R44" s="188"/>
      <c r="S44" s="28">
        <v>0.40624999999999989</v>
      </c>
      <c r="T44" s="28">
        <v>0.46111111111111103</v>
      </c>
      <c r="U44" s="4">
        <f t="shared" si="34"/>
        <v>5.9999999999999787</v>
      </c>
      <c r="V44" s="22">
        <f t="shared" si="33"/>
        <v>79.000000000000043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-113.92405063291289</v>
      </c>
      <c r="AF44" s="21">
        <f t="shared" si="9"/>
        <v>0.96202531645569567</v>
      </c>
      <c r="AG44" s="188"/>
    </row>
    <row r="45" spans="1:33" ht="15.75" customHeight="1">
      <c r="A45" s="185" t="s">
        <v>66</v>
      </c>
      <c r="B45" s="37" t="s">
        <v>111</v>
      </c>
      <c r="C45" s="173" t="s">
        <v>116</v>
      </c>
      <c r="D45" s="174"/>
      <c r="E45" s="37">
        <v>35.869999999999997</v>
      </c>
      <c r="F45" s="4">
        <v>3938</v>
      </c>
      <c r="G45" s="4">
        <f t="shared" si="31"/>
        <v>141256.06</v>
      </c>
      <c r="H45" s="22" t="s">
        <v>139</v>
      </c>
      <c r="I45" s="16">
        <v>9</v>
      </c>
      <c r="J45" s="18">
        <v>3000</v>
      </c>
      <c r="K45" s="17">
        <f t="shared" si="1"/>
        <v>333.33333333333331</v>
      </c>
      <c r="L45" s="16">
        <v>9</v>
      </c>
      <c r="M45" s="18">
        <f t="shared" si="32"/>
        <v>2881.4634146341455</v>
      </c>
      <c r="N45" s="18">
        <f t="shared" si="3"/>
        <v>320.16260162601617</v>
      </c>
      <c r="O45" s="19">
        <f t="shared" si="4"/>
        <v>0</v>
      </c>
      <c r="P45" s="20">
        <f t="shared" si="5"/>
        <v>-13.170731707317145</v>
      </c>
      <c r="Q45" s="21">
        <f t="shared" si="6"/>
        <v>0.96048780487804852</v>
      </c>
      <c r="R45" s="188"/>
      <c r="S45" s="28">
        <v>0.46527777777777768</v>
      </c>
      <c r="T45" s="28">
        <v>0.52222222222222214</v>
      </c>
      <c r="U45" s="4">
        <f t="shared" si="34"/>
        <v>5.9999999999999787</v>
      </c>
      <c r="V45" s="22">
        <f t="shared" si="33"/>
        <v>82.000000000000028</v>
      </c>
      <c r="W45" s="23">
        <f>T45</f>
        <v>0.52222222222222214</v>
      </c>
      <c r="X45" s="23">
        <f>S46</f>
        <v>0.56249999999999989</v>
      </c>
      <c r="Y45" s="26"/>
      <c r="Z45" s="26"/>
      <c r="AA45" s="175"/>
      <c r="AB45" s="176"/>
      <c r="AC45" s="25"/>
      <c r="AD45" s="25"/>
      <c r="AE45" s="19">
        <f t="shared" si="8"/>
        <v>-118.53658536585453</v>
      </c>
      <c r="AF45" s="21">
        <f t="shared" si="9"/>
        <v>0.96048780487804852</v>
      </c>
      <c r="AG45" s="188"/>
    </row>
    <row r="46" spans="1:33" ht="15.75" customHeight="1">
      <c r="A46" s="185" t="s">
        <v>66</v>
      </c>
      <c r="B46" s="37" t="s">
        <v>111</v>
      </c>
      <c r="C46" s="173" t="s">
        <v>112</v>
      </c>
      <c r="D46" s="174"/>
      <c r="E46" s="37">
        <v>21.13</v>
      </c>
      <c r="F46" s="4">
        <v>2357</v>
      </c>
      <c r="G46" s="4">
        <f t="shared" si="31"/>
        <v>49803.409999999996</v>
      </c>
      <c r="H46" s="22" t="s">
        <v>139</v>
      </c>
      <c r="I46" s="16">
        <v>10</v>
      </c>
      <c r="J46" s="18">
        <v>3000</v>
      </c>
      <c r="K46" s="17">
        <f t="shared" si="1"/>
        <v>300</v>
      </c>
      <c r="L46" s="16">
        <v>10</v>
      </c>
      <c r="M46" s="18">
        <f t="shared" si="32"/>
        <v>2886.1224489795927</v>
      </c>
      <c r="N46" s="18">
        <f t="shared" si="3"/>
        <v>288.61224489795927</v>
      </c>
      <c r="O46" s="19">
        <f t="shared" si="4"/>
        <v>0</v>
      </c>
      <c r="P46" s="20">
        <f t="shared" si="5"/>
        <v>-11.387755102040728</v>
      </c>
      <c r="Q46" s="21">
        <f t="shared" si="6"/>
        <v>0.96204081632653093</v>
      </c>
      <c r="R46" s="188"/>
      <c r="S46" s="28">
        <v>0.56249999999999989</v>
      </c>
      <c r="T46" s="28">
        <v>0.59652777777777766</v>
      </c>
      <c r="U46" s="4">
        <f t="shared" si="34"/>
        <v>57.999999999999957</v>
      </c>
      <c r="V46" s="22">
        <f t="shared" si="33"/>
        <v>48.999999999999986</v>
      </c>
      <c r="W46" s="23"/>
      <c r="X46" s="23"/>
      <c r="Y46" s="26"/>
      <c r="Z46" s="26"/>
      <c r="AA46" s="175"/>
      <c r="AB46" s="176"/>
      <c r="AC46" s="25"/>
      <c r="AD46" s="25"/>
      <c r="AE46" s="19">
        <f t="shared" si="8"/>
        <v>-113.87755102040728</v>
      </c>
      <c r="AF46" s="21">
        <f t="shared" si="9"/>
        <v>0.96204081632653093</v>
      </c>
      <c r="AG46" s="188"/>
    </row>
    <row r="47" spans="1:33" ht="15.75" customHeight="1">
      <c r="A47" s="185" t="s">
        <v>66</v>
      </c>
      <c r="B47" s="37" t="s">
        <v>111</v>
      </c>
      <c r="C47" s="173" t="s">
        <v>113</v>
      </c>
      <c r="D47" s="174"/>
      <c r="E47" s="37">
        <v>27.17</v>
      </c>
      <c r="F47" s="4">
        <v>2512</v>
      </c>
      <c r="G47" s="4">
        <f t="shared" si="31"/>
        <v>68251.040000000008</v>
      </c>
      <c r="H47" s="22" t="s">
        <v>139</v>
      </c>
      <c r="I47" s="16">
        <v>10</v>
      </c>
      <c r="J47" s="18">
        <v>3000</v>
      </c>
      <c r="K47" s="17">
        <f t="shared" si="1"/>
        <v>300</v>
      </c>
      <c r="L47" s="16">
        <v>10</v>
      </c>
      <c r="M47" s="18">
        <f t="shared" si="32"/>
        <v>2898.4615384615399</v>
      </c>
      <c r="N47" s="18">
        <f t="shared" si="3"/>
        <v>289.84615384615398</v>
      </c>
      <c r="O47" s="19">
        <f t="shared" si="4"/>
        <v>0</v>
      </c>
      <c r="P47" s="20">
        <f t="shared" si="5"/>
        <v>-10.153846153846018</v>
      </c>
      <c r="Q47" s="21">
        <f t="shared" si="6"/>
        <v>0.96615384615384658</v>
      </c>
      <c r="R47" s="188"/>
      <c r="S47" s="28">
        <v>0.59999999999999987</v>
      </c>
      <c r="T47" s="28">
        <v>0.63611111111111096</v>
      </c>
      <c r="U47" s="4">
        <f t="shared" si="34"/>
        <v>4.9999999999999822</v>
      </c>
      <c r="V47" s="22">
        <f t="shared" si="33"/>
        <v>51.999999999999972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8"/>
        <v>-101.53846153846007</v>
      </c>
      <c r="AF47" s="21">
        <f t="shared" si="9"/>
        <v>0.9661538461538467</v>
      </c>
      <c r="AG47" s="188"/>
    </row>
    <row r="48" spans="1:33" ht="15.75" customHeight="1">
      <c r="A48" s="185" t="s">
        <v>66</v>
      </c>
      <c r="B48" s="37" t="s">
        <v>111</v>
      </c>
      <c r="C48" s="173" t="s">
        <v>114</v>
      </c>
      <c r="D48" s="174"/>
      <c r="E48" s="37">
        <v>35.119999999999997</v>
      </c>
      <c r="F48" s="4">
        <v>2133</v>
      </c>
      <c r="G48" s="4">
        <f t="shared" si="31"/>
        <v>74910.959999999992</v>
      </c>
      <c r="H48" s="22" t="s">
        <v>139</v>
      </c>
      <c r="I48" s="16">
        <v>10</v>
      </c>
      <c r="J48" s="18">
        <v>3000</v>
      </c>
      <c r="K48" s="17">
        <f t="shared" si="1"/>
        <v>300</v>
      </c>
      <c r="L48" s="16">
        <v>10</v>
      </c>
      <c r="M48" s="18">
        <f t="shared" si="32"/>
        <v>2908.6363636363635</v>
      </c>
      <c r="N48" s="18">
        <f t="shared" si="3"/>
        <v>290.86363636363637</v>
      </c>
      <c r="O48" s="19">
        <f t="shared" si="4"/>
        <v>0</v>
      </c>
      <c r="P48" s="20">
        <f t="shared" si="5"/>
        <v>-9.136363636363626</v>
      </c>
      <c r="Q48" s="21">
        <f t="shared" si="6"/>
        <v>0.9695454545454546</v>
      </c>
      <c r="R48" s="188"/>
      <c r="S48" s="28">
        <v>0.6416666666666665</v>
      </c>
      <c r="T48" s="28">
        <v>0.67222222222222205</v>
      </c>
      <c r="U48" s="4">
        <f t="shared" si="34"/>
        <v>7.9999999999999716</v>
      </c>
      <c r="V48" s="22">
        <f t="shared" si="33"/>
        <v>44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-91.363636363636488</v>
      </c>
      <c r="AF48" s="21">
        <f t="shared" si="9"/>
        <v>0.96954545454545449</v>
      </c>
      <c r="AG48" s="188"/>
    </row>
    <row r="49" spans="1:33" ht="15.75" customHeight="1">
      <c r="A49" s="186" t="s">
        <v>66</v>
      </c>
      <c r="B49" s="37" t="s">
        <v>51</v>
      </c>
      <c r="C49" s="166"/>
      <c r="D49" s="167"/>
      <c r="E49" s="41"/>
      <c r="F49" s="4"/>
      <c r="G49" s="4"/>
      <c r="H49" s="4"/>
      <c r="I49" s="30">
        <v>9.9</v>
      </c>
      <c r="J49" s="18">
        <v>3000</v>
      </c>
      <c r="K49" s="17">
        <f t="shared" si="1"/>
        <v>303.030303030303</v>
      </c>
      <c r="L49" s="30">
        <v>9.9</v>
      </c>
      <c r="M49" s="18">
        <f>AVERAGE(M39:M48)</f>
        <v>2878.2144655120269</v>
      </c>
      <c r="N49" s="17">
        <f t="shared" si="3"/>
        <v>290.72873389010374</v>
      </c>
      <c r="O49" s="19">
        <f t="shared" si="4"/>
        <v>0</v>
      </c>
      <c r="P49" s="20">
        <f t="shared" si="5"/>
        <v>-12.301569140199263</v>
      </c>
      <c r="Q49" s="21">
        <f t="shared" si="6"/>
        <v>0.95940482183734244</v>
      </c>
      <c r="R49" s="189"/>
      <c r="S49" s="28"/>
      <c r="T49" s="28"/>
      <c r="U49" s="4"/>
      <c r="V49" s="22"/>
      <c r="W49" s="23"/>
      <c r="X49" s="23"/>
      <c r="Y49" s="31">
        <f>SUM(Y39:Y48)</f>
        <v>0</v>
      </c>
      <c r="Z49" s="31">
        <f>SUM(Z39:Z48)</f>
        <v>0</v>
      </c>
      <c r="AA49" s="180"/>
      <c r="AB49" s="181"/>
      <c r="AC49" s="31">
        <f>SUM(AC39:AC48)</f>
        <v>10</v>
      </c>
      <c r="AD49" s="31">
        <f>SUM(AD39:AD48)</f>
        <v>0</v>
      </c>
      <c r="AE49" s="19">
        <f t="shared" si="8"/>
        <v>-121.78553448797311</v>
      </c>
      <c r="AF49" s="21">
        <f t="shared" si="9"/>
        <v>0.95940482183734233</v>
      </c>
      <c r="AG49" s="189"/>
    </row>
    <row r="50" spans="1:33" ht="15.75" customHeight="1">
      <c r="A50" s="182" t="s">
        <v>70</v>
      </c>
      <c r="B50" s="37" t="s">
        <v>84</v>
      </c>
      <c r="C50" s="165" t="s">
        <v>118</v>
      </c>
      <c r="D50" s="165"/>
      <c r="E50" s="37">
        <v>46</v>
      </c>
      <c r="F50" s="42">
        <v>947</v>
      </c>
      <c r="G50" s="4">
        <f t="shared" ref="G50:G58" si="35">E50*F50</f>
        <v>43562</v>
      </c>
      <c r="H50" s="22" t="s">
        <v>139</v>
      </c>
      <c r="I50" s="16">
        <v>17</v>
      </c>
      <c r="J50" s="18">
        <v>2000</v>
      </c>
      <c r="K50" s="17">
        <f t="shared" si="1"/>
        <v>117.64705882352941</v>
      </c>
      <c r="L50" s="16">
        <v>17</v>
      </c>
      <c r="M50" s="18">
        <f t="shared" ref="M50:M58" si="36">F50/V50*60</f>
        <v>1959.3103448275849</v>
      </c>
      <c r="N50" s="18">
        <f t="shared" si="3"/>
        <v>115.25354969574029</v>
      </c>
      <c r="O50" s="19">
        <f t="shared" si="4"/>
        <v>0</v>
      </c>
      <c r="P50" s="20">
        <f t="shared" si="5"/>
        <v>-2.3935091277891161</v>
      </c>
      <c r="Q50" s="21">
        <f t="shared" si="6"/>
        <v>0.97965517241379252</v>
      </c>
      <c r="R50" s="172">
        <f>Q59</f>
        <v>0.9392311269785224</v>
      </c>
      <c r="S50" s="28">
        <v>0.20833333333333334</v>
      </c>
      <c r="T50" s="28">
        <v>0.22847222222222224</v>
      </c>
      <c r="U50" s="28"/>
      <c r="V50" s="22">
        <f t="shared" ref="V50:V58" si="37">(T50-S50)*24*60</f>
        <v>29.000000000000018</v>
      </c>
      <c r="W50" s="28"/>
      <c r="X50" s="28"/>
      <c r="Y50" s="28"/>
      <c r="Z50" s="28"/>
      <c r="AA50" s="164"/>
      <c r="AB50" s="164"/>
      <c r="AC50" s="25">
        <v>9</v>
      </c>
      <c r="AD50" s="25"/>
      <c r="AE50" s="19">
        <f t="shared" si="8"/>
        <v>-40.689655172415087</v>
      </c>
      <c r="AF50" s="21">
        <f t="shared" si="9"/>
        <v>0.97965517241379241</v>
      </c>
      <c r="AG50" s="172">
        <f>AF59</f>
        <v>0.9392311269785224</v>
      </c>
    </row>
    <row r="51" spans="1:33" ht="15.75" customHeight="1">
      <c r="A51" s="182" t="s">
        <v>70</v>
      </c>
      <c r="B51" s="37" t="s">
        <v>84</v>
      </c>
      <c r="C51" s="165" t="s">
        <v>119</v>
      </c>
      <c r="D51" s="165"/>
      <c r="E51" s="37">
        <v>46</v>
      </c>
      <c r="F51" s="42">
        <v>1125</v>
      </c>
      <c r="G51" s="4">
        <f t="shared" si="35"/>
        <v>51750</v>
      </c>
      <c r="H51" s="22" t="s">
        <v>139</v>
      </c>
      <c r="I51" s="16">
        <v>17</v>
      </c>
      <c r="J51" s="18">
        <v>2000</v>
      </c>
      <c r="K51" s="17">
        <f t="shared" si="1"/>
        <v>117.64705882352941</v>
      </c>
      <c r="L51" s="16">
        <v>17</v>
      </c>
      <c r="M51" s="18">
        <f t="shared" si="36"/>
        <v>1928.5714285714287</v>
      </c>
      <c r="N51" s="18">
        <f t="shared" si="3"/>
        <v>113.44537815126051</v>
      </c>
      <c r="O51" s="19">
        <f t="shared" si="4"/>
        <v>0</v>
      </c>
      <c r="P51" s="20">
        <f t="shared" si="5"/>
        <v>-4.2016806722688926</v>
      </c>
      <c r="Q51" s="21">
        <f t="shared" si="6"/>
        <v>0.96428571428571441</v>
      </c>
      <c r="R51" s="172"/>
      <c r="S51" s="28">
        <v>0.23263888888888892</v>
      </c>
      <c r="T51" s="28">
        <v>0.25694444444444448</v>
      </c>
      <c r="U51" s="4">
        <f t="shared" ref="U51:U58" si="38">IF(S51=TIME(17,0,0),"",(S51-T50)*24*60)</f>
        <v>6.0000000000000187</v>
      </c>
      <c r="V51" s="22">
        <f t="shared" si="37"/>
        <v>34.999999999999993</v>
      </c>
      <c r="W51" s="23"/>
      <c r="X51" s="23"/>
      <c r="Y51" s="23"/>
      <c r="Z51" s="23"/>
      <c r="AA51" s="164"/>
      <c r="AB51" s="164"/>
      <c r="AC51" s="25"/>
      <c r="AD51" s="25"/>
      <c r="AE51" s="19">
        <f t="shared" si="8"/>
        <v>-71.428571428571331</v>
      </c>
      <c r="AF51" s="21">
        <f t="shared" si="9"/>
        <v>0.9642857142857143</v>
      </c>
      <c r="AG51" s="172"/>
    </row>
    <row r="52" spans="1:33" ht="15.75" customHeight="1">
      <c r="A52" s="182" t="s">
        <v>70</v>
      </c>
      <c r="B52" s="37" t="s">
        <v>78</v>
      </c>
      <c r="C52" s="173" t="s">
        <v>120</v>
      </c>
      <c r="D52" s="174"/>
      <c r="E52" s="37">
        <v>56.43</v>
      </c>
      <c r="F52" s="42">
        <v>1704</v>
      </c>
      <c r="G52" s="4">
        <f t="shared" si="35"/>
        <v>96156.72</v>
      </c>
      <c r="H52" s="22" t="s">
        <v>139</v>
      </c>
      <c r="I52" s="16">
        <v>22</v>
      </c>
      <c r="J52" s="18">
        <v>2000</v>
      </c>
      <c r="K52" s="17">
        <f t="shared" si="1"/>
        <v>90.909090909090907</v>
      </c>
      <c r="L52" s="16">
        <v>22</v>
      </c>
      <c r="M52" s="18">
        <f t="shared" si="36"/>
        <v>1762.7586206896542</v>
      </c>
      <c r="N52" s="18">
        <f t="shared" si="3"/>
        <v>80.125391849529734</v>
      </c>
      <c r="O52" s="19">
        <f t="shared" si="4"/>
        <v>0</v>
      </c>
      <c r="P52" s="20">
        <f t="shared" si="5"/>
        <v>-10.783699059561172</v>
      </c>
      <c r="Q52" s="21">
        <f t="shared" si="6"/>
        <v>0.88137931034482708</v>
      </c>
      <c r="R52" s="172"/>
      <c r="S52" s="28">
        <v>0.26041666666666669</v>
      </c>
      <c r="T52" s="28">
        <v>0.30069444444444449</v>
      </c>
      <c r="U52" s="4">
        <f t="shared" si="38"/>
        <v>4.9999999999999822</v>
      </c>
      <c r="V52" s="22">
        <f t="shared" si="37"/>
        <v>58.000000000000036</v>
      </c>
      <c r="W52" s="23"/>
      <c r="X52" s="23"/>
      <c r="Y52" s="26"/>
      <c r="Z52" s="26"/>
      <c r="AA52" s="164"/>
      <c r="AB52" s="164"/>
      <c r="AC52" s="25"/>
      <c r="AD52" s="25"/>
      <c r="AE52" s="19">
        <f t="shared" si="8"/>
        <v>-237.24137931034579</v>
      </c>
      <c r="AF52" s="21">
        <f t="shared" si="9"/>
        <v>0.88137931034482708</v>
      </c>
      <c r="AG52" s="172"/>
    </row>
    <row r="53" spans="1:33" ht="15.75" customHeight="1">
      <c r="A53" s="182" t="s">
        <v>70</v>
      </c>
      <c r="B53" s="37" t="s">
        <v>78</v>
      </c>
      <c r="C53" s="43" t="s">
        <v>121</v>
      </c>
      <c r="D53" s="44"/>
      <c r="E53" s="37">
        <v>51.75</v>
      </c>
      <c r="F53" s="42">
        <v>1517</v>
      </c>
      <c r="G53" s="4">
        <f t="shared" si="35"/>
        <v>78504.75</v>
      </c>
      <c r="H53" s="22" t="s">
        <v>139</v>
      </c>
      <c r="I53" s="16">
        <v>25</v>
      </c>
      <c r="J53" s="18">
        <v>2000</v>
      </c>
      <c r="K53" s="17">
        <f t="shared" si="1"/>
        <v>80</v>
      </c>
      <c r="L53" s="16">
        <v>25</v>
      </c>
      <c r="M53" s="18">
        <f t="shared" si="36"/>
        <v>1685.5555555555563</v>
      </c>
      <c r="N53" s="18">
        <f t="shared" si="3"/>
        <v>67.42222222222226</v>
      </c>
      <c r="O53" s="19">
        <f t="shared" si="4"/>
        <v>0</v>
      </c>
      <c r="P53" s="20">
        <f t="shared" si="5"/>
        <v>-12.57777777777774</v>
      </c>
      <c r="Q53" s="21">
        <f t="shared" si="6"/>
        <v>0.84277777777777829</v>
      </c>
      <c r="R53" s="172"/>
      <c r="S53" s="28">
        <v>0.3041666666666667</v>
      </c>
      <c r="T53" s="28">
        <v>0.34166666666666667</v>
      </c>
      <c r="U53" s="4">
        <f t="shared" si="38"/>
        <v>4.9999999999999822</v>
      </c>
      <c r="V53" s="22">
        <f t="shared" si="37"/>
        <v>53.999999999999972</v>
      </c>
      <c r="W53" s="23"/>
      <c r="X53" s="23"/>
      <c r="Y53" s="26"/>
      <c r="Z53" s="26"/>
      <c r="AA53" s="164"/>
      <c r="AB53" s="164"/>
      <c r="AC53" s="25"/>
      <c r="AD53" s="25"/>
      <c r="AE53" s="19">
        <f t="shared" si="8"/>
        <v>-314.44444444444366</v>
      </c>
      <c r="AF53" s="21">
        <f t="shared" si="9"/>
        <v>0.84277777777777818</v>
      </c>
      <c r="AG53" s="172"/>
    </row>
    <row r="54" spans="1:33" ht="15.75" customHeight="1">
      <c r="A54" s="182" t="s">
        <v>70</v>
      </c>
      <c r="B54" s="37" t="s">
        <v>78</v>
      </c>
      <c r="C54" s="43" t="s">
        <v>122</v>
      </c>
      <c r="D54" s="44"/>
      <c r="E54" s="37">
        <v>54.09</v>
      </c>
      <c r="F54" s="42">
        <v>1161</v>
      </c>
      <c r="G54" s="4">
        <f t="shared" si="35"/>
        <v>62798.490000000005</v>
      </c>
      <c r="H54" s="22" t="s">
        <v>139</v>
      </c>
      <c r="I54" s="16">
        <v>19</v>
      </c>
      <c r="J54" s="18">
        <v>2000</v>
      </c>
      <c r="K54" s="17">
        <f t="shared" si="1"/>
        <v>105.26315789473684</v>
      </c>
      <c r="L54" s="16">
        <v>19</v>
      </c>
      <c r="M54" s="18">
        <f t="shared" si="36"/>
        <v>1882.7027027027013</v>
      </c>
      <c r="N54" s="18">
        <f t="shared" si="3"/>
        <v>99.089615931721127</v>
      </c>
      <c r="O54" s="19">
        <f t="shared" si="4"/>
        <v>0</v>
      </c>
      <c r="P54" s="20">
        <f t="shared" si="5"/>
        <v>-6.1735419630157082</v>
      </c>
      <c r="Q54" s="21">
        <f t="shared" si="6"/>
        <v>0.94135135135135073</v>
      </c>
      <c r="R54" s="172"/>
      <c r="S54" s="28">
        <v>0.34583333333333333</v>
      </c>
      <c r="T54" s="28">
        <v>0.37152777777777779</v>
      </c>
      <c r="U54" s="4">
        <f t="shared" si="38"/>
        <v>5.9999999999999787</v>
      </c>
      <c r="V54" s="22">
        <f t="shared" si="37"/>
        <v>37.000000000000028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8"/>
        <v>-117.29729729729866</v>
      </c>
      <c r="AF54" s="21">
        <f t="shared" si="9"/>
        <v>0.94135135135135062</v>
      </c>
      <c r="AG54" s="172"/>
    </row>
    <row r="55" spans="1:33" ht="15.75" customHeight="1">
      <c r="A55" s="182" t="s">
        <v>70</v>
      </c>
      <c r="B55" s="37" t="s">
        <v>78</v>
      </c>
      <c r="C55" s="173" t="s">
        <v>123</v>
      </c>
      <c r="D55" s="174"/>
      <c r="E55" s="37">
        <v>55.56</v>
      </c>
      <c r="F55" s="42">
        <v>1947</v>
      </c>
      <c r="G55" s="4">
        <f t="shared" si="35"/>
        <v>108175.32</v>
      </c>
      <c r="H55" s="22" t="s">
        <v>139</v>
      </c>
      <c r="I55" s="16">
        <v>17</v>
      </c>
      <c r="J55" s="18">
        <v>2000</v>
      </c>
      <c r="K55" s="17">
        <f t="shared" si="1"/>
        <v>117.64705882352941</v>
      </c>
      <c r="L55" s="16">
        <v>17</v>
      </c>
      <c r="M55" s="18">
        <f t="shared" si="36"/>
        <v>1915.0819672131165</v>
      </c>
      <c r="N55" s="18">
        <f t="shared" si="3"/>
        <v>112.65188042430097</v>
      </c>
      <c r="O55" s="19">
        <f t="shared" si="4"/>
        <v>0</v>
      </c>
      <c r="P55" s="20">
        <f t="shared" si="5"/>
        <v>-4.9951783992284362</v>
      </c>
      <c r="Q55" s="21">
        <f t="shared" si="6"/>
        <v>0.95754098360655826</v>
      </c>
      <c r="R55" s="172"/>
      <c r="S55" s="28">
        <v>0.70833333333333337</v>
      </c>
      <c r="T55" s="28">
        <v>0.75069444444444444</v>
      </c>
      <c r="U55" s="4" t="str">
        <f t="shared" si="38"/>
        <v/>
      </c>
      <c r="V55" s="22">
        <f t="shared" si="37"/>
        <v>60.999999999999943</v>
      </c>
      <c r="W55" s="23"/>
      <c r="X55" s="23"/>
      <c r="Y55" s="26"/>
      <c r="Z55" s="26"/>
      <c r="AA55" s="175"/>
      <c r="AB55" s="176"/>
      <c r="AC55" s="25"/>
      <c r="AD55" s="25"/>
      <c r="AE55" s="19">
        <f t="shared" si="8"/>
        <v>-84.918032786883487</v>
      </c>
      <c r="AF55" s="21">
        <f t="shared" si="9"/>
        <v>0.95754098360655826</v>
      </c>
      <c r="AG55" s="172"/>
    </row>
    <row r="56" spans="1:33" ht="15.75" customHeight="1">
      <c r="A56" s="182" t="s">
        <v>70</v>
      </c>
      <c r="B56" s="37" t="s">
        <v>78</v>
      </c>
      <c r="C56" s="173" t="s">
        <v>124</v>
      </c>
      <c r="D56" s="174"/>
      <c r="E56" s="37">
        <v>55.32</v>
      </c>
      <c r="F56" s="42">
        <v>1256</v>
      </c>
      <c r="G56" s="4">
        <f t="shared" si="35"/>
        <v>69481.919999999998</v>
      </c>
      <c r="H56" s="22" t="s">
        <v>139</v>
      </c>
      <c r="I56" s="16">
        <v>15</v>
      </c>
      <c r="J56" s="18">
        <v>2000</v>
      </c>
      <c r="K56" s="17">
        <f t="shared" si="1"/>
        <v>133.33333333333334</v>
      </c>
      <c r="L56" s="16">
        <v>15</v>
      </c>
      <c r="M56" s="18">
        <f t="shared" si="36"/>
        <v>1932.3076923076915</v>
      </c>
      <c r="N56" s="18">
        <f t="shared" si="3"/>
        <v>128.82051282051276</v>
      </c>
      <c r="O56" s="19">
        <f t="shared" si="4"/>
        <v>0</v>
      </c>
      <c r="P56" s="20">
        <f t="shared" si="5"/>
        <v>-4.5128205128205821</v>
      </c>
      <c r="Q56" s="21">
        <f t="shared" si="6"/>
        <v>0.96615384615384559</v>
      </c>
      <c r="R56" s="172"/>
      <c r="S56" s="28">
        <v>0.75486111111111109</v>
      </c>
      <c r="T56" s="28">
        <v>0.78194444444444444</v>
      </c>
      <c r="U56" s="4">
        <f t="shared" si="38"/>
        <v>5.9999999999999787</v>
      </c>
      <c r="V56" s="22">
        <f t="shared" si="37"/>
        <v>39.000000000000021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8"/>
        <v>-67.692307692308532</v>
      </c>
      <c r="AF56" s="21">
        <f t="shared" si="9"/>
        <v>0.9661538461538457</v>
      </c>
      <c r="AG56" s="172"/>
    </row>
    <row r="57" spans="1:33" ht="15.75" customHeight="1">
      <c r="A57" s="182" t="s">
        <v>70</v>
      </c>
      <c r="B57" s="37" t="s">
        <v>78</v>
      </c>
      <c r="C57" s="173" t="s">
        <v>125</v>
      </c>
      <c r="D57" s="174"/>
      <c r="E57" s="37">
        <v>54.29</v>
      </c>
      <c r="F57" s="42">
        <v>1450</v>
      </c>
      <c r="G57" s="4">
        <f t="shared" si="35"/>
        <v>78720.5</v>
      </c>
      <c r="H57" s="22" t="s">
        <v>139</v>
      </c>
      <c r="I57" s="16">
        <v>20</v>
      </c>
      <c r="J57" s="18">
        <v>2000</v>
      </c>
      <c r="K57" s="17">
        <f t="shared" si="1"/>
        <v>100</v>
      </c>
      <c r="L57" s="16">
        <v>20</v>
      </c>
      <c r="M57" s="18">
        <f t="shared" si="36"/>
        <v>1933.3333333333333</v>
      </c>
      <c r="N57" s="18">
        <f t="shared" si="3"/>
        <v>96.666666666666657</v>
      </c>
      <c r="O57" s="19">
        <f t="shared" si="4"/>
        <v>0</v>
      </c>
      <c r="P57" s="20">
        <f t="shared" si="5"/>
        <v>-3.3333333333333428</v>
      </c>
      <c r="Q57" s="21">
        <f t="shared" si="6"/>
        <v>0.96666666666666656</v>
      </c>
      <c r="R57" s="172"/>
      <c r="S57" s="28">
        <v>0.78611111111111109</v>
      </c>
      <c r="T57" s="28">
        <v>0.81736111111111109</v>
      </c>
      <c r="U57" s="4">
        <f t="shared" si="38"/>
        <v>5.9999999999999787</v>
      </c>
      <c r="V57" s="22">
        <f t="shared" si="37"/>
        <v>45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8"/>
        <v>-66.666666666666742</v>
      </c>
      <c r="AF57" s="21">
        <f t="shared" si="9"/>
        <v>0.96666666666666667</v>
      </c>
      <c r="AG57" s="172"/>
    </row>
    <row r="58" spans="1:33">
      <c r="A58" s="182" t="s">
        <v>70</v>
      </c>
      <c r="B58" s="37" t="s">
        <v>78</v>
      </c>
      <c r="C58" s="173" t="s">
        <v>126</v>
      </c>
      <c r="D58" s="174"/>
      <c r="E58" s="37">
        <v>57.73</v>
      </c>
      <c r="F58" s="42">
        <v>934</v>
      </c>
      <c r="G58" s="4">
        <f t="shared" si="35"/>
        <v>53919.82</v>
      </c>
      <c r="H58" s="22" t="s">
        <v>139</v>
      </c>
      <c r="I58" s="16">
        <v>16</v>
      </c>
      <c r="J58" s="18">
        <v>1500</v>
      </c>
      <c r="K58" s="17">
        <f t="shared" si="1"/>
        <v>93.75</v>
      </c>
      <c r="L58" s="16">
        <v>16</v>
      </c>
      <c r="M58" s="18">
        <f t="shared" si="36"/>
        <v>1436.923076923076</v>
      </c>
      <c r="N58" s="18">
        <f t="shared" si="3"/>
        <v>89.80769230769225</v>
      </c>
      <c r="O58" s="19">
        <f t="shared" si="4"/>
        <v>0</v>
      </c>
      <c r="P58" s="20">
        <f t="shared" si="5"/>
        <v>-3.9423076923077502</v>
      </c>
      <c r="Q58" s="21">
        <f t="shared" si="6"/>
        <v>0.95794871794871728</v>
      </c>
      <c r="R58" s="172"/>
      <c r="S58" s="28">
        <v>0.82152777777777775</v>
      </c>
      <c r="T58" s="28">
        <v>0.84861111111111109</v>
      </c>
      <c r="U58" s="4">
        <f t="shared" si="38"/>
        <v>5.9999999999999787</v>
      </c>
      <c r="V58" s="22">
        <f t="shared" si="37"/>
        <v>39.000000000000021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8"/>
        <v>-63.076923076924004</v>
      </c>
      <c r="AF58" s="21">
        <f t="shared" si="9"/>
        <v>0.95794871794871728</v>
      </c>
      <c r="AG58" s="172"/>
    </row>
    <row r="59" spans="1:33">
      <c r="A59" s="183" t="s">
        <v>70</v>
      </c>
      <c r="B59" s="37" t="s">
        <v>51</v>
      </c>
      <c r="C59" s="177"/>
      <c r="D59" s="177"/>
      <c r="E59" s="38"/>
      <c r="F59" s="17"/>
      <c r="G59" s="17"/>
      <c r="H59" s="4"/>
      <c r="I59" s="30">
        <v>18.666666666666668</v>
      </c>
      <c r="J59" s="18">
        <v>1944.4444444444443</v>
      </c>
      <c r="K59" s="17">
        <f t="shared" si="1"/>
        <v>104.16666666666666</v>
      </c>
      <c r="L59" s="30">
        <v>18.666666666666668</v>
      </c>
      <c r="M59" s="18">
        <f>AVERAGE(M50:M58)</f>
        <v>1826.2827469026824</v>
      </c>
      <c r="N59" s="17">
        <f t="shared" si="3"/>
        <v>97.836575726929411</v>
      </c>
      <c r="O59" s="19">
        <f t="shared" si="4"/>
        <v>0</v>
      </c>
      <c r="P59" s="20">
        <f t="shared" si="5"/>
        <v>-6.3300909397372465</v>
      </c>
      <c r="Q59" s="21">
        <f t="shared" si="6"/>
        <v>0.9392311269785224</v>
      </c>
      <c r="R59" s="172"/>
      <c r="S59" s="28"/>
      <c r="T59" s="28"/>
      <c r="U59" s="4"/>
      <c r="V59" s="22"/>
      <c r="W59" s="17"/>
      <c r="X59" s="17"/>
      <c r="Y59" s="31">
        <f>SUM(Y50:Y58)</f>
        <v>0</v>
      </c>
      <c r="Z59" s="31">
        <f>SUM(Z50:Z58)</f>
        <v>0</v>
      </c>
      <c r="AA59" s="168"/>
      <c r="AB59" s="168"/>
      <c r="AC59" s="31">
        <f>SUM(AC50:AC58)</f>
        <v>9</v>
      </c>
      <c r="AD59" s="31">
        <f>SUM(AD50:AD58)</f>
        <v>0</v>
      </c>
      <c r="AE59" s="19">
        <f>M59-J59</f>
        <v>-118.1616975417619</v>
      </c>
      <c r="AF59" s="21">
        <f t="shared" si="9"/>
        <v>0.9392311269785224</v>
      </c>
      <c r="AG59" s="172"/>
    </row>
    <row r="60" spans="1:33" ht="15.75" customHeight="1">
      <c r="A60" s="178" t="s">
        <v>73</v>
      </c>
      <c r="B60" s="4" t="s">
        <v>84</v>
      </c>
      <c r="C60" s="165" t="s">
        <v>127</v>
      </c>
      <c r="D60" s="165"/>
      <c r="E60" s="37">
        <v>26.97</v>
      </c>
      <c r="F60" s="42">
        <v>1764</v>
      </c>
      <c r="G60" s="4">
        <f t="shared" ref="G60:G64" si="39">E60*F60</f>
        <v>47575.079999999994</v>
      </c>
      <c r="H60" s="22" t="s">
        <v>139</v>
      </c>
      <c r="I60" s="16">
        <v>8</v>
      </c>
      <c r="J60" s="18">
        <v>1500</v>
      </c>
      <c r="K60" s="17">
        <f t="shared" si="1"/>
        <v>187.5</v>
      </c>
      <c r="L60" s="16">
        <v>8</v>
      </c>
      <c r="M60" s="18">
        <f t="shared" ref="M60:M64" si="40">F60/V60*60</f>
        <v>1430.27027027027</v>
      </c>
      <c r="N60" s="17">
        <f t="shared" si="3"/>
        <v>178.78378378378375</v>
      </c>
      <c r="O60" s="19">
        <f t="shared" si="4"/>
        <v>0</v>
      </c>
      <c r="P60" s="20">
        <f t="shared" si="5"/>
        <v>-8.7162162162162531</v>
      </c>
      <c r="Q60" s="21">
        <f t="shared" si="6"/>
        <v>0.95351351351351332</v>
      </c>
      <c r="R60" s="172">
        <f>Q65</f>
        <v>0.96598074582798055</v>
      </c>
      <c r="S60" s="28">
        <v>0.20833333333333334</v>
      </c>
      <c r="T60" s="28">
        <v>0.25972222222222224</v>
      </c>
      <c r="U60" s="4"/>
      <c r="V60" s="22">
        <f t="shared" ref="V60:V64" si="41">(T60-S60)*24*60</f>
        <v>74.000000000000014</v>
      </c>
      <c r="W60" s="28"/>
      <c r="X60" s="28"/>
      <c r="Y60" s="28"/>
      <c r="Z60" s="28"/>
      <c r="AA60" s="164"/>
      <c r="AB60" s="164"/>
      <c r="AC60" s="25">
        <v>5</v>
      </c>
      <c r="AD60" s="25"/>
      <c r="AE60" s="19">
        <f t="shared" ref="AE60:AE71" si="42">M60-J60</f>
        <v>-69.729729729730025</v>
      </c>
      <c r="AF60" s="21">
        <f t="shared" si="9"/>
        <v>0.95351351351351332</v>
      </c>
      <c r="AG60" s="172">
        <f>AF65</f>
        <v>0.96598074582798055</v>
      </c>
    </row>
    <row r="61" spans="1:33" ht="15.75" customHeight="1">
      <c r="A61" s="178" t="s">
        <v>73</v>
      </c>
      <c r="B61" s="4" t="s">
        <v>84</v>
      </c>
      <c r="C61" s="165" t="s">
        <v>128</v>
      </c>
      <c r="D61" s="165"/>
      <c r="E61" s="37">
        <v>27.4</v>
      </c>
      <c r="F61" s="42">
        <v>819</v>
      </c>
      <c r="G61" s="4">
        <f t="shared" si="39"/>
        <v>22440.6</v>
      </c>
      <c r="H61" s="22" t="s">
        <v>139</v>
      </c>
      <c r="I61" s="16">
        <v>10</v>
      </c>
      <c r="J61" s="18">
        <v>1500</v>
      </c>
      <c r="K61" s="17">
        <f t="shared" si="1"/>
        <v>150</v>
      </c>
      <c r="L61" s="16">
        <v>10</v>
      </c>
      <c r="M61" s="18">
        <f t="shared" si="40"/>
        <v>1445.2941176470606</v>
      </c>
      <c r="N61" s="17">
        <f t="shared" si="3"/>
        <v>144.52941176470605</v>
      </c>
      <c r="O61" s="19">
        <f t="shared" si="4"/>
        <v>0</v>
      </c>
      <c r="P61" s="20">
        <f t="shared" si="5"/>
        <v>-5.4705882352939454</v>
      </c>
      <c r="Q61" s="21">
        <f t="shared" si="6"/>
        <v>0.96352941176470708</v>
      </c>
      <c r="R61" s="172"/>
      <c r="S61" s="28">
        <v>0.2638888888888889</v>
      </c>
      <c r="T61" s="28">
        <v>0.28749999999999998</v>
      </c>
      <c r="U61" s="4">
        <f t="shared" ref="U61:U64" si="43">(S61-T60)*24*60</f>
        <v>5.9999999999999787</v>
      </c>
      <c r="V61" s="22">
        <f t="shared" si="41"/>
        <v>33.999999999999957</v>
      </c>
      <c r="W61" s="4"/>
      <c r="X61" s="4"/>
      <c r="Y61" s="4"/>
      <c r="Z61" s="4"/>
      <c r="AA61" s="164"/>
      <c r="AB61" s="164"/>
      <c r="AC61" s="25"/>
      <c r="AD61" s="25"/>
      <c r="AE61" s="19">
        <f t="shared" si="42"/>
        <v>-54.705882352939398</v>
      </c>
      <c r="AF61" s="21">
        <f t="shared" si="9"/>
        <v>0.96352941176470708</v>
      </c>
      <c r="AG61" s="172"/>
    </row>
    <row r="62" spans="1:33" ht="15.75" customHeight="1">
      <c r="A62" s="178" t="s">
        <v>73</v>
      </c>
      <c r="B62" s="4" t="s">
        <v>111</v>
      </c>
      <c r="C62" s="165" t="s">
        <v>129</v>
      </c>
      <c r="D62" s="165"/>
      <c r="E62" s="37">
        <v>31</v>
      </c>
      <c r="F62" s="42">
        <v>683</v>
      </c>
      <c r="G62" s="4">
        <f t="shared" si="39"/>
        <v>21173</v>
      </c>
      <c r="H62" s="22" t="s">
        <v>139</v>
      </c>
      <c r="I62" s="16">
        <v>13</v>
      </c>
      <c r="J62" s="18">
        <v>2000</v>
      </c>
      <c r="K62" s="17">
        <f t="shared" si="1"/>
        <v>153.84615384615384</v>
      </c>
      <c r="L62" s="16">
        <v>13</v>
      </c>
      <c r="M62" s="18">
        <f t="shared" si="40"/>
        <v>1951.4285714285706</v>
      </c>
      <c r="N62" s="17">
        <f t="shared" si="3"/>
        <v>150.10989010989005</v>
      </c>
      <c r="O62" s="19">
        <f t="shared" si="4"/>
        <v>0</v>
      </c>
      <c r="P62" s="20">
        <f t="shared" si="5"/>
        <v>-3.736263736263794</v>
      </c>
      <c r="Q62" s="21">
        <f t="shared" si="6"/>
        <v>0.97571428571428531</v>
      </c>
      <c r="R62" s="172"/>
      <c r="S62" s="28">
        <v>0.29166666666666663</v>
      </c>
      <c r="T62" s="28">
        <v>0.30624999999999997</v>
      </c>
      <c r="U62" s="4">
        <f t="shared" si="43"/>
        <v>5.9999999999999787</v>
      </c>
      <c r="V62" s="22">
        <f t="shared" si="41"/>
        <v>21.000000000000007</v>
      </c>
      <c r="W62" s="4"/>
      <c r="X62" s="4"/>
      <c r="Y62" s="4"/>
      <c r="Z62" s="4"/>
      <c r="AA62" s="164"/>
      <c r="AB62" s="164"/>
      <c r="AC62" s="25"/>
      <c r="AD62" s="25"/>
      <c r="AE62" s="19">
        <f t="shared" si="42"/>
        <v>-48.571428571429351</v>
      </c>
      <c r="AF62" s="21">
        <f t="shared" si="9"/>
        <v>0.97571428571428531</v>
      </c>
      <c r="AG62" s="172"/>
    </row>
    <row r="63" spans="1:33" ht="15.75" customHeight="1">
      <c r="A63" s="178" t="s">
        <v>73</v>
      </c>
      <c r="B63" s="4" t="s">
        <v>111</v>
      </c>
      <c r="C63" s="165" t="s">
        <v>130</v>
      </c>
      <c r="D63" s="165"/>
      <c r="E63" s="37">
        <v>37.85</v>
      </c>
      <c r="F63" s="42">
        <v>2128</v>
      </c>
      <c r="G63" s="4">
        <f t="shared" si="39"/>
        <v>80544.800000000003</v>
      </c>
      <c r="H63" s="22" t="s">
        <v>139</v>
      </c>
      <c r="I63" s="16">
        <v>12</v>
      </c>
      <c r="J63" s="18">
        <v>2000</v>
      </c>
      <c r="K63" s="17">
        <f t="shared" si="1"/>
        <v>166.66666666666666</v>
      </c>
      <c r="L63" s="16">
        <v>12</v>
      </c>
      <c r="M63" s="18">
        <f t="shared" si="40"/>
        <v>1905.6716417910447</v>
      </c>
      <c r="N63" s="17">
        <f t="shared" si="3"/>
        <v>158.80597014925374</v>
      </c>
      <c r="O63" s="19">
        <f t="shared" si="4"/>
        <v>0</v>
      </c>
      <c r="P63" s="20">
        <f t="shared" si="5"/>
        <v>-7.8606965174129186</v>
      </c>
      <c r="Q63" s="21">
        <f t="shared" si="6"/>
        <v>0.95283582089552243</v>
      </c>
      <c r="R63" s="172"/>
      <c r="S63" s="28">
        <v>0.30972222222222218</v>
      </c>
      <c r="T63" s="28">
        <v>0.35624999999999996</v>
      </c>
      <c r="U63" s="4">
        <f t="shared" si="43"/>
        <v>4.9999999999999822</v>
      </c>
      <c r="V63" s="22">
        <f t="shared" si="41"/>
        <v>67</v>
      </c>
      <c r="W63" s="4"/>
      <c r="X63" s="4"/>
      <c r="Y63" s="4"/>
      <c r="Z63" s="4"/>
      <c r="AA63" s="164"/>
      <c r="AB63" s="164"/>
      <c r="AC63" s="25"/>
      <c r="AD63" s="25"/>
      <c r="AE63" s="19">
        <f t="shared" si="42"/>
        <v>-94.328358208955251</v>
      </c>
      <c r="AF63" s="21">
        <f t="shared" si="9"/>
        <v>0.95283582089552232</v>
      </c>
      <c r="AG63" s="172"/>
    </row>
    <row r="64" spans="1:33">
      <c r="A64" s="179" t="s">
        <v>73</v>
      </c>
      <c r="B64" s="4" t="s">
        <v>111</v>
      </c>
      <c r="C64" s="165" t="s">
        <v>131</v>
      </c>
      <c r="D64" s="165"/>
      <c r="E64" s="37">
        <v>34.36</v>
      </c>
      <c r="F64" s="42">
        <v>1366</v>
      </c>
      <c r="G64" s="4">
        <f t="shared" si="39"/>
        <v>46935.76</v>
      </c>
      <c r="H64" s="22" t="s">
        <v>139</v>
      </c>
      <c r="I64" s="16">
        <v>10</v>
      </c>
      <c r="J64" s="18">
        <v>3000</v>
      </c>
      <c r="K64" s="17">
        <f t="shared" si="1"/>
        <v>300</v>
      </c>
      <c r="L64" s="16">
        <v>10</v>
      </c>
      <c r="M64" s="18">
        <f t="shared" si="40"/>
        <v>2927.1428571428592</v>
      </c>
      <c r="N64" s="17">
        <f t="shared" si="3"/>
        <v>292.71428571428589</v>
      </c>
      <c r="O64" s="19">
        <f t="shared" si="4"/>
        <v>0</v>
      </c>
      <c r="P64" s="20">
        <f t="shared" si="5"/>
        <v>-7.2857142857141071</v>
      </c>
      <c r="Q64" s="21">
        <f t="shared" si="6"/>
        <v>0.97571428571428631</v>
      </c>
      <c r="R64" s="172"/>
      <c r="S64" s="28">
        <v>0.36041666666666661</v>
      </c>
      <c r="T64" s="28">
        <v>0.37986111111111104</v>
      </c>
      <c r="U64" s="4">
        <f t="shared" si="43"/>
        <v>5.9999999999999787</v>
      </c>
      <c r="V64" s="22">
        <f t="shared" si="41"/>
        <v>27.999999999999979</v>
      </c>
      <c r="W64" s="23"/>
      <c r="X64" s="23"/>
      <c r="Y64" s="23"/>
      <c r="Z64" s="23"/>
      <c r="AA64" s="164"/>
      <c r="AB64" s="164"/>
      <c r="AC64" s="25"/>
      <c r="AD64" s="25"/>
      <c r="AE64" s="19">
        <f t="shared" si="42"/>
        <v>-72.857142857140843</v>
      </c>
      <c r="AF64" s="21">
        <f t="shared" si="9"/>
        <v>0.97571428571428642</v>
      </c>
      <c r="AG64" s="172"/>
    </row>
    <row r="65" spans="1:33">
      <c r="A65" s="179" t="s">
        <v>73</v>
      </c>
      <c r="B65" s="37" t="s">
        <v>51</v>
      </c>
      <c r="C65" s="177"/>
      <c r="D65" s="177"/>
      <c r="E65" s="38"/>
      <c r="F65" s="17"/>
      <c r="G65" s="17"/>
      <c r="H65" s="4"/>
      <c r="I65" s="30">
        <v>10.6</v>
      </c>
      <c r="J65" s="18">
        <v>2000</v>
      </c>
      <c r="K65" s="17">
        <f t="shared" si="1"/>
        <v>188.67924528301887</v>
      </c>
      <c r="L65" s="30">
        <v>10.6</v>
      </c>
      <c r="M65" s="18">
        <f>AVERAGE(M60:M64)</f>
        <v>1931.961491655961</v>
      </c>
      <c r="N65" s="17">
        <f t="shared" si="3"/>
        <v>182.26051808075104</v>
      </c>
      <c r="O65" s="19">
        <f t="shared" si="4"/>
        <v>0</v>
      </c>
      <c r="P65" s="20">
        <f t="shared" si="5"/>
        <v>-6.4187272022678314</v>
      </c>
      <c r="Q65" s="21">
        <f t="shared" si="6"/>
        <v>0.96598074582798055</v>
      </c>
      <c r="R65" s="172"/>
      <c r="S65" s="28"/>
      <c r="T65" s="28"/>
      <c r="U65" s="17"/>
      <c r="V65" s="22"/>
      <c r="W65" s="17"/>
      <c r="X65" s="17"/>
      <c r="Y65" s="31">
        <f>SUM(Y60:Y64)</f>
        <v>0</v>
      </c>
      <c r="Z65" s="31">
        <f>SUM(Z60:Z64)</f>
        <v>0</v>
      </c>
      <c r="AA65" s="168"/>
      <c r="AB65" s="168"/>
      <c r="AC65" s="31">
        <f>SUM(AC60:AC64)</f>
        <v>5</v>
      </c>
      <c r="AD65" s="31">
        <f>SUM(AD60:AD64)</f>
        <v>0</v>
      </c>
      <c r="AE65" s="19">
        <f t="shared" si="42"/>
        <v>-68.038508344038974</v>
      </c>
      <c r="AF65" s="21">
        <f t="shared" si="9"/>
        <v>0.96598074582798055</v>
      </c>
      <c r="AG65" s="172"/>
    </row>
    <row r="66" spans="1:33" ht="15.75" customHeight="1">
      <c r="A66" s="169" t="s">
        <v>76</v>
      </c>
      <c r="B66" s="4" t="s">
        <v>100</v>
      </c>
      <c r="C66" s="165" t="s">
        <v>133</v>
      </c>
      <c r="D66" s="165"/>
      <c r="E66" s="37">
        <v>20.2</v>
      </c>
      <c r="F66" s="4">
        <v>1483</v>
      </c>
      <c r="G66" s="4">
        <f t="shared" ref="G66:G70" si="44">E66*F66</f>
        <v>29956.6</v>
      </c>
      <c r="H66" s="22" t="s">
        <v>139</v>
      </c>
      <c r="I66" s="16">
        <v>19</v>
      </c>
      <c r="J66" s="18">
        <v>2400</v>
      </c>
      <c r="K66" s="17">
        <f t="shared" si="1"/>
        <v>126.31578947368421</v>
      </c>
      <c r="L66" s="16">
        <v>19</v>
      </c>
      <c r="M66" s="18">
        <f t="shared" ref="M66:M70" si="45">F66/V66*60</f>
        <v>2281.5384615384605</v>
      </c>
      <c r="N66" s="17">
        <f t="shared" si="3"/>
        <v>120.08097165991897</v>
      </c>
      <c r="O66" s="19">
        <f t="shared" si="4"/>
        <v>0</v>
      </c>
      <c r="P66" s="20">
        <f t="shared" si="5"/>
        <v>-6.2348178137652326</v>
      </c>
      <c r="Q66" s="21">
        <f t="shared" si="6"/>
        <v>0.95064102564102526</v>
      </c>
      <c r="R66" s="172">
        <f>Q71</f>
        <v>0.9566346729838946</v>
      </c>
      <c r="S66" s="28">
        <v>0.125</v>
      </c>
      <c r="T66" s="28">
        <v>0.15208333333333335</v>
      </c>
      <c r="U66" s="28"/>
      <c r="V66" s="22">
        <f t="shared" ref="V66:V70" si="46">(T66-S66)*24*60</f>
        <v>39.000000000000021</v>
      </c>
      <c r="W66" s="23">
        <f>T66</f>
        <v>0.15208333333333335</v>
      </c>
      <c r="X66" s="23">
        <f>S67</f>
        <v>0.17152777777777778</v>
      </c>
      <c r="Y66" s="23"/>
      <c r="Z66" s="23"/>
      <c r="AA66" s="164"/>
      <c r="AB66" s="164"/>
      <c r="AC66" s="25">
        <v>5</v>
      </c>
      <c r="AD66" s="25"/>
      <c r="AE66" s="19">
        <f t="shared" si="42"/>
        <v>-118.46153846153948</v>
      </c>
      <c r="AF66" s="21">
        <f t="shared" si="9"/>
        <v>0.95064102564102526</v>
      </c>
      <c r="AG66" s="172">
        <f>AF71</f>
        <v>0.95663467298389449</v>
      </c>
    </row>
    <row r="67" spans="1:33" ht="15.75" customHeight="1">
      <c r="A67" s="170" t="s">
        <v>76</v>
      </c>
      <c r="B67" s="4" t="s">
        <v>100</v>
      </c>
      <c r="C67" s="165" t="s">
        <v>109</v>
      </c>
      <c r="D67" s="165"/>
      <c r="E67" s="37">
        <v>24.45</v>
      </c>
      <c r="F67" s="4">
        <v>2233</v>
      </c>
      <c r="G67" s="4">
        <f t="shared" si="44"/>
        <v>54596.85</v>
      </c>
      <c r="H67" s="22" t="s">
        <v>139</v>
      </c>
      <c r="I67" s="16">
        <v>20</v>
      </c>
      <c r="J67" s="18">
        <v>2400</v>
      </c>
      <c r="K67" s="17">
        <f t="shared" si="1"/>
        <v>120</v>
      </c>
      <c r="L67" s="16">
        <v>20</v>
      </c>
      <c r="M67" s="18">
        <f t="shared" si="45"/>
        <v>2310.0000000000005</v>
      </c>
      <c r="N67" s="17">
        <f t="shared" si="3"/>
        <v>115.50000000000003</v>
      </c>
      <c r="O67" s="19">
        <f t="shared" si="4"/>
        <v>0</v>
      </c>
      <c r="P67" s="20">
        <f t="shared" si="5"/>
        <v>-4.4999999999999716</v>
      </c>
      <c r="Q67" s="21">
        <f t="shared" si="6"/>
        <v>0.96250000000000024</v>
      </c>
      <c r="R67" s="172"/>
      <c r="S67" s="28">
        <v>0.17152777777777778</v>
      </c>
      <c r="T67" s="28">
        <v>0.21180555555555555</v>
      </c>
      <c r="U67" s="4">
        <f t="shared" ref="U67:U70" si="47">(S67-T66)*24*60</f>
        <v>27.999999999999979</v>
      </c>
      <c r="V67" s="22">
        <f t="shared" si="46"/>
        <v>57.999999999999993</v>
      </c>
      <c r="W67" s="23"/>
      <c r="X67" s="23"/>
      <c r="Y67" s="23"/>
      <c r="Z67" s="23"/>
      <c r="AA67" s="164"/>
      <c r="AB67" s="164"/>
      <c r="AC67" s="25"/>
      <c r="AD67" s="25"/>
      <c r="AE67" s="19">
        <f t="shared" si="42"/>
        <v>-89.999999999999545</v>
      </c>
      <c r="AF67" s="21">
        <f t="shared" si="9"/>
        <v>0.96250000000000024</v>
      </c>
      <c r="AG67" s="172"/>
    </row>
    <row r="68" spans="1:33" ht="15.75" customHeight="1">
      <c r="A68" s="170" t="s">
        <v>76</v>
      </c>
      <c r="B68" s="4" t="s">
        <v>100</v>
      </c>
      <c r="C68" s="165" t="s">
        <v>136</v>
      </c>
      <c r="D68" s="165"/>
      <c r="E68" s="37">
        <v>24.43</v>
      </c>
      <c r="F68" s="4">
        <v>5561</v>
      </c>
      <c r="G68" s="4">
        <f t="shared" si="44"/>
        <v>135855.23000000001</v>
      </c>
      <c r="H68" s="22" t="s">
        <v>139</v>
      </c>
      <c r="I68" s="16">
        <v>14</v>
      </c>
      <c r="J68" s="18">
        <v>2400</v>
      </c>
      <c r="K68" s="17">
        <f t="shared" si="1"/>
        <v>171.42857142857142</v>
      </c>
      <c r="L68" s="16">
        <v>14</v>
      </c>
      <c r="M68" s="18">
        <f t="shared" si="45"/>
        <v>2285.3424657534251</v>
      </c>
      <c r="N68" s="17">
        <f t="shared" si="3"/>
        <v>163.23874755381607</v>
      </c>
      <c r="O68" s="19">
        <f t="shared" si="4"/>
        <v>0</v>
      </c>
      <c r="P68" s="20">
        <f t="shared" si="5"/>
        <v>-8.1898238747553478</v>
      </c>
      <c r="Q68" s="21">
        <f t="shared" si="6"/>
        <v>0.95222602739726048</v>
      </c>
      <c r="R68" s="172"/>
      <c r="S68" s="28">
        <v>0.21597222222222223</v>
      </c>
      <c r="T68" s="28">
        <v>0.31736111111111109</v>
      </c>
      <c r="U68" s="4">
        <f t="shared" si="47"/>
        <v>6.0000000000000187</v>
      </c>
      <c r="V68" s="22">
        <f t="shared" si="46"/>
        <v>145.99999999999997</v>
      </c>
      <c r="W68" s="23"/>
      <c r="X68" s="23"/>
      <c r="Y68" s="23"/>
      <c r="Z68" s="23"/>
      <c r="AA68" s="164"/>
      <c r="AB68" s="164"/>
      <c r="AC68" s="25"/>
      <c r="AD68" s="25"/>
      <c r="AE68" s="19">
        <f t="shared" si="42"/>
        <v>-114.65753424657487</v>
      </c>
      <c r="AF68" s="21">
        <f t="shared" si="9"/>
        <v>0.95222602739726048</v>
      </c>
      <c r="AG68" s="172"/>
    </row>
    <row r="69" spans="1:33" ht="15.75" customHeight="1">
      <c r="A69" s="170" t="s">
        <v>76</v>
      </c>
      <c r="B69" s="4" t="s">
        <v>100</v>
      </c>
      <c r="C69" s="165" t="s">
        <v>138</v>
      </c>
      <c r="D69" s="165"/>
      <c r="E69" s="37">
        <v>22.69</v>
      </c>
      <c r="F69" s="4">
        <v>619</v>
      </c>
      <c r="G69" s="4">
        <f t="shared" si="44"/>
        <v>14045.11</v>
      </c>
      <c r="H69" s="22" t="s">
        <v>139</v>
      </c>
      <c r="I69" s="16">
        <v>15</v>
      </c>
      <c r="J69" s="18">
        <v>2400</v>
      </c>
      <c r="K69" s="17">
        <f t="shared" ref="K69:K71" si="48">J69/I69</f>
        <v>160</v>
      </c>
      <c r="L69" s="16">
        <v>15</v>
      </c>
      <c r="M69" s="18">
        <f t="shared" si="45"/>
        <v>2321.2499999999968</v>
      </c>
      <c r="N69" s="17">
        <f t="shared" ref="N69:N71" si="49">M69/L69</f>
        <v>154.7499999999998</v>
      </c>
      <c r="O69" s="19">
        <f t="shared" ref="O69:O71" si="50">L69-I69</f>
        <v>0</v>
      </c>
      <c r="P69" s="20">
        <f t="shared" ref="P69:P71" si="51">N69-K69</f>
        <v>-5.250000000000199</v>
      </c>
      <c r="Q69" s="21">
        <f t="shared" ref="Q69:Q71" si="52">N69/K69</f>
        <v>0.96718749999999876</v>
      </c>
      <c r="R69" s="172"/>
      <c r="S69" s="28">
        <v>0.32291666666666663</v>
      </c>
      <c r="T69" s="28">
        <v>0.33402777777777776</v>
      </c>
      <c r="U69" s="4">
        <f t="shared" si="47"/>
        <v>7.9999999999999716</v>
      </c>
      <c r="V69" s="22">
        <f t="shared" si="46"/>
        <v>16.000000000000021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42"/>
        <v>-78.750000000003183</v>
      </c>
      <c r="AF69" s="21">
        <f t="shared" ref="AF69:AF71" si="53">M69/J69</f>
        <v>0.96718749999999865</v>
      </c>
      <c r="AG69" s="172"/>
    </row>
    <row r="70" spans="1:33" ht="15.75" customHeight="1">
      <c r="A70" s="170" t="s">
        <v>76</v>
      </c>
      <c r="B70" s="4" t="s">
        <v>100</v>
      </c>
      <c r="C70" s="165" t="s">
        <v>135</v>
      </c>
      <c r="D70" s="165"/>
      <c r="E70" s="37">
        <v>19.02</v>
      </c>
      <c r="F70" s="4">
        <v>7681</v>
      </c>
      <c r="G70" s="4">
        <f t="shared" si="44"/>
        <v>146092.62</v>
      </c>
      <c r="H70" s="22" t="s">
        <v>139</v>
      </c>
      <c r="I70" s="16">
        <v>15</v>
      </c>
      <c r="J70" s="18">
        <v>2400</v>
      </c>
      <c r="K70" s="17">
        <f t="shared" si="48"/>
        <v>160</v>
      </c>
      <c r="L70" s="16">
        <v>15</v>
      </c>
      <c r="M70" s="18">
        <f t="shared" si="45"/>
        <v>2281.4851485148515</v>
      </c>
      <c r="N70" s="17">
        <f t="shared" si="49"/>
        <v>152.0990099009901</v>
      </c>
      <c r="O70" s="19">
        <f t="shared" si="50"/>
        <v>0</v>
      </c>
      <c r="P70" s="20">
        <f t="shared" si="51"/>
        <v>-7.9009900990099027</v>
      </c>
      <c r="Q70" s="21">
        <f t="shared" si="52"/>
        <v>0.95061881188118813</v>
      </c>
      <c r="R70" s="172"/>
      <c r="S70" s="28">
        <v>0.33888888888888885</v>
      </c>
      <c r="T70" s="28">
        <v>0.47916666666666663</v>
      </c>
      <c r="U70" s="4">
        <f t="shared" si="47"/>
        <v>6.9999999999999751</v>
      </c>
      <c r="V70" s="22">
        <f t="shared" si="46"/>
        <v>202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42"/>
        <v>-118.51485148514848</v>
      </c>
      <c r="AF70" s="21">
        <f t="shared" si="53"/>
        <v>0.95061881188118813</v>
      </c>
      <c r="AG70" s="172"/>
    </row>
    <row r="71" spans="1:33" ht="16.5" customHeight="1">
      <c r="A71" s="171" t="s">
        <v>76</v>
      </c>
      <c r="B71" s="37" t="s">
        <v>51</v>
      </c>
      <c r="C71" s="166"/>
      <c r="D71" s="167"/>
      <c r="E71" s="38"/>
      <c r="F71" s="17"/>
      <c r="G71" s="17"/>
      <c r="H71" s="4"/>
      <c r="I71" s="30">
        <v>16.600000000000001</v>
      </c>
      <c r="J71" s="18">
        <v>2400</v>
      </c>
      <c r="K71" s="17">
        <f t="shared" si="48"/>
        <v>144.57831325301203</v>
      </c>
      <c r="L71" s="30">
        <v>16.600000000000001</v>
      </c>
      <c r="M71" s="18">
        <f>AVERAGE(M66:M70)</f>
        <v>2295.9232151613469</v>
      </c>
      <c r="N71" s="17">
        <f t="shared" si="49"/>
        <v>138.30862741935823</v>
      </c>
      <c r="O71" s="19">
        <f t="shared" si="50"/>
        <v>0</v>
      </c>
      <c r="P71" s="20">
        <f t="shared" si="51"/>
        <v>-6.2696858336537957</v>
      </c>
      <c r="Q71" s="21">
        <f t="shared" si="52"/>
        <v>0.9566346729838946</v>
      </c>
      <c r="R71" s="172"/>
      <c r="S71" s="28"/>
      <c r="T71" s="28"/>
      <c r="U71" s="17"/>
      <c r="V71" s="22"/>
      <c r="W71" s="17"/>
      <c r="X71" s="17"/>
      <c r="Y71" s="31">
        <f>SUM(Y66:Y70)</f>
        <v>0</v>
      </c>
      <c r="Z71" s="31">
        <f>SUM(Z66:Z70)</f>
        <v>0</v>
      </c>
      <c r="AA71" s="168"/>
      <c r="AB71" s="168"/>
      <c r="AC71" s="31">
        <f>SUM(AC66:AC70)</f>
        <v>5</v>
      </c>
      <c r="AD71" s="31">
        <f>SUM(AD66:AD70)</f>
        <v>0</v>
      </c>
      <c r="AE71" s="19">
        <f t="shared" si="42"/>
        <v>-104.07678483865311</v>
      </c>
      <c r="AF71" s="21">
        <f t="shared" si="53"/>
        <v>0.95663467298389449</v>
      </c>
      <c r="AG71" s="172"/>
    </row>
    <row r="72" spans="1:33">
      <c r="D72" s="33"/>
      <c r="E72" s="33"/>
    </row>
  </sheetData>
  <mergeCells count="195">
    <mergeCell ref="A66:A71"/>
    <mergeCell ref="C66:D66"/>
    <mergeCell ref="R66:R71"/>
    <mergeCell ref="AA66:AB66"/>
    <mergeCell ref="A60:A65"/>
    <mergeCell ref="C60:D60"/>
    <mergeCell ref="R60:R65"/>
    <mergeCell ref="AA60:AB60"/>
    <mergeCell ref="AA65:AB65"/>
    <mergeCell ref="AG66:AG71"/>
    <mergeCell ref="C67:D67"/>
    <mergeCell ref="AA67:AB67"/>
    <mergeCell ref="C68:D68"/>
    <mergeCell ref="AA68:AB68"/>
    <mergeCell ref="C69:D69"/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A69:AB69"/>
    <mergeCell ref="C70:D70"/>
    <mergeCell ref="AA70:AB70"/>
    <mergeCell ref="C71:D71"/>
    <mergeCell ref="AA71:AB71"/>
    <mergeCell ref="A50:A59"/>
    <mergeCell ref="C50:D50"/>
    <mergeCell ref="R50:R59"/>
    <mergeCell ref="AA50:AB50"/>
    <mergeCell ref="AA56:AB56"/>
    <mergeCell ref="C57:D57"/>
    <mergeCell ref="AG50:AG59"/>
    <mergeCell ref="C51:D51"/>
    <mergeCell ref="AA51:AB51"/>
    <mergeCell ref="C52:D52"/>
    <mergeCell ref="AA52:AB52"/>
    <mergeCell ref="AA53:AB53"/>
    <mergeCell ref="AA54:AB54"/>
    <mergeCell ref="C55:D55"/>
    <mergeCell ref="AA55:AB55"/>
    <mergeCell ref="C56:D56"/>
    <mergeCell ref="AA57:AB57"/>
    <mergeCell ref="C58:D58"/>
    <mergeCell ref="AA58:AB58"/>
    <mergeCell ref="C59:D59"/>
    <mergeCell ref="AA59:AB59"/>
    <mergeCell ref="AG39:AG49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48:D48"/>
    <mergeCell ref="AA48:AB48"/>
    <mergeCell ref="C49:D49"/>
    <mergeCell ref="AA49:AB49"/>
    <mergeCell ref="A39:A49"/>
    <mergeCell ref="C39:D39"/>
    <mergeCell ref="R39:R49"/>
    <mergeCell ref="AA39:AB39"/>
    <mergeCell ref="AA44:AB44"/>
    <mergeCell ref="A33:A38"/>
    <mergeCell ref="C33:D33"/>
    <mergeCell ref="R33:R38"/>
    <mergeCell ref="AA33:AB33"/>
    <mergeCell ref="C45:D45"/>
    <mergeCell ref="AA45:AB45"/>
    <mergeCell ref="C46:D46"/>
    <mergeCell ref="AA46:AB46"/>
    <mergeCell ref="C47:D47"/>
    <mergeCell ref="AA47:AB47"/>
    <mergeCell ref="AG33:AG38"/>
    <mergeCell ref="C34:D34"/>
    <mergeCell ref="AA34:AB34"/>
    <mergeCell ref="C35:D35"/>
    <mergeCell ref="AA35:AB35"/>
    <mergeCell ref="C36:D36"/>
    <mergeCell ref="C30:D30"/>
    <mergeCell ref="AA30:AB30"/>
    <mergeCell ref="C31:D31"/>
    <mergeCell ref="AA31:AB31"/>
    <mergeCell ref="C32:D32"/>
    <mergeCell ref="AA32:AB32"/>
    <mergeCell ref="AA36:AB36"/>
    <mergeCell ref="C37:D37"/>
    <mergeCell ref="AA37:AB37"/>
    <mergeCell ref="C38:D38"/>
    <mergeCell ref="AA38:AB38"/>
    <mergeCell ref="AG27:AG32"/>
    <mergeCell ref="C28:D28"/>
    <mergeCell ref="AA28:AB28"/>
    <mergeCell ref="C29:D29"/>
    <mergeCell ref="AA29:AB29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20:A26"/>
    <mergeCell ref="C20:D20"/>
    <mergeCell ref="R20:R26"/>
    <mergeCell ref="AA20:AB20"/>
    <mergeCell ref="AA25:AB25"/>
    <mergeCell ref="C26:D26"/>
    <mergeCell ref="A14:A19"/>
    <mergeCell ref="AA26:AB26"/>
    <mergeCell ref="A27:A32"/>
    <mergeCell ref="C27:D27"/>
    <mergeCell ref="R27:R32"/>
    <mergeCell ref="AA27:AB27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14:D14"/>
    <mergeCell ref="R14:R19"/>
    <mergeCell ref="AA14:AB14"/>
    <mergeCell ref="AG14:AG19"/>
    <mergeCell ref="C18:D18"/>
    <mergeCell ref="AA18:AB18"/>
    <mergeCell ref="C19:D19"/>
    <mergeCell ref="AA19:AB19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1">
    <cfRule type="cellIs" dxfId="188" priority="1" operator="greaterThan">
      <formula>0</formula>
    </cfRule>
  </conditionalFormatting>
  <conditionalFormatting sqref="P5:P71">
    <cfRule type="cellIs" dxfId="187" priority="4" operator="lessThan">
      <formula>0</formula>
    </cfRule>
  </conditionalFormatting>
  <conditionalFormatting sqref="Q5:Q71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R5:R11 AG5:AG11">
    <cfRule type="cellIs" dxfId="184" priority="81" operator="lessThan">
      <formula>0.8</formula>
    </cfRule>
  </conditionalFormatting>
  <conditionalFormatting sqref="AE5:AE71">
    <cfRule type="cellIs" dxfId="183" priority="17" operator="lessThan">
      <formula>0</formula>
    </cfRule>
  </conditionalFormatting>
  <conditionalFormatting sqref="AF5:AF71">
    <cfRule type="cellIs" dxfId="182" priority="15" operator="greaterThan">
      <formula>1</formula>
    </cfRule>
    <cfRule type="cellIs" dxfId="181" priority="16" operator="lessThan">
      <formula>0.8</formula>
    </cfRule>
  </conditionalFormatting>
  <conditionalFormatting sqref="AG14:AG63 R14:R71">
    <cfRule type="cellIs" dxfId="180" priority="5" operator="lessThan">
      <formula>0.8</formula>
    </cfRule>
  </conditionalFormatting>
  <dataValidations count="1">
    <dataValidation type="list" allowBlank="1" showInputMessage="1" showErrorMessage="1" sqref="AB10 AA5:AB9 AB64 AA10:AA64 AB12:AB60 AA65:AB71" xr:uid="{00000000-0002-0000-1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zoomScale="85" zoomScaleNormal="85" workbookViewId="0">
      <selection activeCell="B10" sqref="B10:C10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1567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1568</v>
      </c>
      <c r="C3" s="153" t="str">
        <f>TEXT('0218 4度C'!A2,"yyyy.mm.ddaaaa")</f>
        <v>2026.02.18星期三</v>
      </c>
      <c r="D3" s="154"/>
      <c r="E3" s="47" t="s">
        <v>1569</v>
      </c>
      <c r="F3" s="155">
        <f>'0218 4度C'!D1</f>
        <v>130769</v>
      </c>
      <c r="G3" s="156"/>
      <c r="H3" s="47" t="s">
        <v>1570</v>
      </c>
      <c r="I3" s="157">
        <f>'0218 4度C'!F1</f>
        <v>4548554.919999999</v>
      </c>
      <c r="J3" s="158"/>
      <c r="K3" s="48"/>
      <c r="L3" s="49"/>
      <c r="M3" s="49"/>
      <c r="N3" s="49"/>
    </row>
    <row r="4" spans="2:17" ht="28.5" customHeight="1">
      <c r="B4" s="159" t="s">
        <v>1571</v>
      </c>
      <c r="C4" s="145" t="s">
        <v>1572</v>
      </c>
      <c r="D4" s="146"/>
      <c r="E4" s="162" t="s">
        <v>1573</v>
      </c>
      <c r="F4" s="163"/>
      <c r="G4" s="162" t="s">
        <v>1574</v>
      </c>
      <c r="H4" s="163"/>
      <c r="I4" s="162" t="s">
        <v>1575</v>
      </c>
      <c r="J4" s="163"/>
      <c r="K4" s="143" t="s">
        <v>1576</v>
      </c>
      <c r="L4" s="144"/>
      <c r="M4" s="144" t="s">
        <v>1577</v>
      </c>
      <c r="N4" s="144"/>
    </row>
    <row r="5" spans="2:17" ht="28.5" customHeight="1">
      <c r="B5" s="160"/>
      <c r="C5" s="145" t="s">
        <v>1578</v>
      </c>
      <c r="D5" s="146"/>
      <c r="E5" s="145" t="s">
        <v>1579</v>
      </c>
      <c r="F5" s="146"/>
      <c r="G5" s="147" t="s">
        <v>1580</v>
      </c>
      <c r="H5" s="148"/>
      <c r="I5" s="149" t="s">
        <v>1581</v>
      </c>
      <c r="J5" s="150"/>
      <c r="K5" s="50" t="s">
        <v>1582</v>
      </c>
      <c r="L5" s="51" t="s">
        <v>1583</v>
      </c>
      <c r="M5" s="50" t="s">
        <v>1582</v>
      </c>
      <c r="N5" s="51" t="s">
        <v>1584</v>
      </c>
    </row>
    <row r="6" spans="2:17" ht="28.5" customHeight="1">
      <c r="B6" s="160"/>
      <c r="C6" s="145" t="s">
        <v>158</v>
      </c>
      <c r="D6" s="146"/>
      <c r="E6" s="137">
        <f>AVERAGE(D13:M13)</f>
        <v>143.69162752760172</v>
      </c>
      <c r="F6" s="138">
        <f>AVERAGE(D31:O31,D13:J13)</f>
        <v>146.72453124859314</v>
      </c>
      <c r="G6" s="139">
        <f>AVERAGE(D13:J13)</f>
        <v>146.72453124859314</v>
      </c>
      <c r="H6" s="140"/>
      <c r="I6" s="139">
        <f>AVERAGE(K13:M13)</f>
        <v>136.61485217862165</v>
      </c>
      <c r="J6" s="140"/>
      <c r="K6" s="141">
        <f>'0218 4度C'!Y2</f>
        <v>0</v>
      </c>
      <c r="L6" s="126">
        <f>'0218 4度C'!Z2</f>
        <v>0</v>
      </c>
      <c r="M6" s="142">
        <f>'0218 4度C'!AC2</f>
        <v>59</v>
      </c>
      <c r="N6" s="126">
        <f>'0218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137.93368793629435</v>
      </c>
      <c r="F7" s="130">
        <f>AVERAGE(D32:O32,D14:J14)</f>
        <v>140.9148175070525</v>
      </c>
      <c r="G7" s="131">
        <f>AVERAGE(D14:J14)</f>
        <v>140.9148175070525</v>
      </c>
      <c r="H7" s="132"/>
      <c r="I7" s="131">
        <f>AVERAGE(K14:M14)</f>
        <v>130.97771893785864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0.95874289991660433</v>
      </c>
      <c r="F8" s="134">
        <f>AVERAGE(D15:J15,D33:O33)</f>
        <v>0.95880642046841114</v>
      </c>
      <c r="G8" s="135">
        <f>AVERAGE(D15:J15)</f>
        <v>0.95880642046841114</v>
      </c>
      <c r="H8" s="136"/>
      <c r="I8" s="135">
        <f>AVERAGE(K15:M15)</f>
        <v>0.95859468529572178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1585</v>
      </c>
      <c r="N9" s="49"/>
      <c r="O9" s="49"/>
      <c r="P9" s="49"/>
      <c r="Q9" s="49"/>
    </row>
    <row r="10" spans="2:17" ht="30" customHeight="1">
      <c r="B10" s="109" t="s">
        <v>1586</v>
      </c>
      <c r="C10" s="110"/>
      <c r="D10" s="111" t="s">
        <v>1587</v>
      </c>
      <c r="E10" s="112"/>
      <c r="F10" s="112"/>
      <c r="G10" s="112"/>
      <c r="H10" s="112"/>
      <c r="I10" s="112"/>
      <c r="J10" s="113"/>
      <c r="K10" s="114" t="s">
        <v>1588</v>
      </c>
      <c r="L10" s="115"/>
      <c r="M10" s="116"/>
      <c r="P10" s="55"/>
      <c r="Q10" s="55"/>
    </row>
    <row r="11" spans="2:17" ht="17.25" customHeight="1">
      <c r="B11" s="117" t="s">
        <v>1589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1590</v>
      </c>
      <c r="C13" s="62" t="s">
        <v>1591</v>
      </c>
      <c r="D13" s="63">
        <f>SUMIFS('0218 4度C'!$K:$K,'0218 4度C'!$A:$A,"新豐6線",'0218 4度C'!$B:$B,"平均")</f>
        <v>113.63636363636363</v>
      </c>
      <c r="E13" s="64">
        <f>SUMIFS('0218 4度C'!$K:$K,'0218 4度C'!$A:$A,"新豐2線",'0218 4度C'!$B:$B,"平均")</f>
        <v>83.333333333333329</v>
      </c>
      <c r="F13" s="65">
        <f>SUMIFS('0218 4度C'!$K:$K,'0218 4度C'!$A:$A,"新豐5線",'0218 4度C'!$B:$B,"平均")</f>
        <v>103.77358490566037</v>
      </c>
      <c r="G13" s="65">
        <f>SUMIFS('0218 4度C'!$K:$K,'0218 4度C'!$A:$A,"新豐7線",'0218 4度C'!$B:$B,"平均")</f>
        <v>129.2134831460674</v>
      </c>
      <c r="H13" s="65">
        <f>SUMIFS('0218 4度C'!$K:$K,'0218 4度C'!$A:$A,"新豐3線",'0218 4度C'!$B:$B,"平均")</f>
        <v>303.030303030303</v>
      </c>
      <c r="I13" s="65">
        <f>SUMIFS('0218 4度C'!$K:$K,'0218 4度C'!$A:$A,"新豐1線",'0218 4度C'!$B:$B,"平均")</f>
        <v>105.4054054054054</v>
      </c>
      <c r="J13" s="66">
        <f>SUMIFS('0218 4度C'!$K:$K,'0218 4度C'!$A:$A,"新豐10線",'0218 4度C'!$B:$B,"平均")</f>
        <v>188.67924528301887</v>
      </c>
      <c r="K13" s="67">
        <f>SUMIFS('0218 4度C'!$K:$K,'0218 4度C'!$A:$A,"新豐8線",'0218 4度C'!$B:$B,"平均")</f>
        <v>130.43478260869566</v>
      </c>
      <c r="L13" s="68">
        <f>SUMIFS('0218 4度C'!$K:$K,'0218 4度C'!$A:$A,"新豐9線",'0218 4度C'!$B:$B,"平均")</f>
        <v>134.83146067415728</v>
      </c>
      <c r="M13" s="66">
        <f>SUMIFS('0218 4度C'!$K:$K,'0218 4度C'!$A:$A,"新豐4線",'0218 4度C'!$B:$B,"平均")</f>
        <v>144.57831325301203</v>
      </c>
    </row>
    <row r="14" spans="2:17" ht="39.6" customHeight="1">
      <c r="B14" s="122"/>
      <c r="C14" s="69" t="s">
        <v>1592</v>
      </c>
      <c r="D14" s="70">
        <f>SUMIFS('0218 4度C'!$N:$N,'0218 4度C'!$A:$A,"新豐6線",'0218 4度C'!$B:$B,"平均")</f>
        <v>108.7836860810328</v>
      </c>
      <c r="E14" s="71">
        <f>SUMIFS('0218 4度C'!$N:$N,'0218 4度C'!$A:$A,"新豐2線",'0218 4度C'!$B:$B,"平均")</f>
        <v>79.87878787878789</v>
      </c>
      <c r="F14" s="71">
        <f>SUMIFS('0218 4度C'!$N:$N,'0218 4度C'!$A:$A,"新豐5線",'0218 4度C'!$B:$B,"平均")</f>
        <v>100.1161805382196</v>
      </c>
      <c r="G14" s="71">
        <f>SUMIFS('0218 4度C'!$N:$N,'0218 4度C'!$A:$A,"新豐7線",'0218 4度C'!$B:$B,"平均")</f>
        <v>124.00518926064206</v>
      </c>
      <c r="H14" s="71">
        <f>SUMIFS('0218 4度C'!$N:$N,'0218 4度C'!$A:$A,"新豐3線",'0218 4度C'!$B:$B,"平均")</f>
        <v>292.15119281389156</v>
      </c>
      <c r="I14" s="71">
        <f>SUMIFS('0218 4度C'!$N:$N,'0218 4度C'!$A:$A,"新豐1線",'0218 4度C'!$B:$B,"平均")</f>
        <v>99.22474656304307</v>
      </c>
      <c r="J14" s="72">
        <f>SUMIFS('0218 4度C'!$N:$N,'0218 4度C'!$A:$A,"新豐10線",'0218 4度C'!$B:$B,"平均")</f>
        <v>182.24393941375075</v>
      </c>
      <c r="K14" s="73">
        <f>SUMIFS('0218 4度C'!$N:$N,'0218 4度C'!$A:$A,"新豐8線",'0218 4度C'!$B:$B,"平均")</f>
        <v>124.79625882759976</v>
      </c>
      <c r="L14" s="74">
        <f>SUMIFS('0218 4度C'!$N:$N,'0218 4度C'!$A:$A,"新豐9線",'0218 4度C'!$B:$B,"平均")</f>
        <v>128.79838761179732</v>
      </c>
      <c r="M14" s="72">
        <f>SUMIFS('0218 4度C'!$N:$N,'0218 4度C'!$A:$A,"新豐4線",'0218 4度C'!$B:$B,"平均")</f>
        <v>139.33851037417884</v>
      </c>
    </row>
    <row r="15" spans="2:17" ht="40.15" customHeight="1">
      <c r="B15" s="123"/>
      <c r="C15" s="75" t="s">
        <v>1593</v>
      </c>
      <c r="D15" s="76">
        <f t="shared" ref="D15:M15" si="0">D14/D13</f>
        <v>0.95729643751308868</v>
      </c>
      <c r="E15" s="77">
        <f t="shared" si="0"/>
        <v>0.9585454545454547</v>
      </c>
      <c r="F15" s="77">
        <f t="shared" si="0"/>
        <v>0.96475592155011614</v>
      </c>
      <c r="G15" s="77">
        <f t="shared" si="0"/>
        <v>0.95969233427801248</v>
      </c>
      <c r="H15" s="77">
        <f t="shared" si="0"/>
        <v>0.9640989362858422</v>
      </c>
      <c r="I15" s="77">
        <f t="shared" si="0"/>
        <v>0.94136298021348552</v>
      </c>
      <c r="J15" s="78">
        <f t="shared" si="0"/>
        <v>0.965892878892879</v>
      </c>
      <c r="K15" s="76">
        <f t="shared" si="0"/>
        <v>0.95677131767826473</v>
      </c>
      <c r="L15" s="77">
        <f t="shared" si="0"/>
        <v>0.95525470812083024</v>
      </c>
      <c r="M15" s="78">
        <f t="shared" si="0"/>
        <v>0.96375803008807048</v>
      </c>
    </row>
    <row r="16" spans="2:17" ht="17.25" customHeight="1">
      <c r="B16" s="124" t="s">
        <v>1594</v>
      </c>
      <c r="C16" s="79" t="s">
        <v>1595</v>
      </c>
      <c r="D16" s="80">
        <f>VLOOKUP("新豐6線",'0218 4度C'!$A:$T,19,0)</f>
        <v>0.70833333333333337</v>
      </c>
      <c r="E16" s="81">
        <f>VLOOKUP("新豐2線",'0218 4度C'!$A:$T,19,0)</f>
        <v>0.20833333333333334</v>
      </c>
      <c r="F16" s="81">
        <f>VLOOKUP("新豐5線",'0218 4度C'!$A:$T,19,0)</f>
        <v>0.20833333333333334</v>
      </c>
      <c r="G16" s="81">
        <f>VLOOKUP("新豐7線",'0218 4度C'!$A:$T,19,0)</f>
        <v>0.20833333333333334</v>
      </c>
      <c r="H16" s="81">
        <f>VLOOKUP("新豐3線",'0218 4度C'!$A:$T,19,0)</f>
        <v>0.20833333333333334</v>
      </c>
      <c r="I16" s="81">
        <f>VLOOKUP("新豐1線",'0218 4度C'!$A:$T,19,0)</f>
        <v>0.20833333333333334</v>
      </c>
      <c r="J16" s="82">
        <f>VLOOKUP("新豐10線",'0218 4度C'!$A:$T,19,0)</f>
        <v>0.20833333333333334</v>
      </c>
      <c r="K16" s="83">
        <f>VLOOKUP("新豐8線",'0218 4度C'!$A:$T,19,0)</f>
        <v>0.125</v>
      </c>
      <c r="L16" s="84">
        <f>VLOOKUP("新豐9線",'0218 4度C'!$A:$T,19,0)</f>
        <v>0.125</v>
      </c>
      <c r="M16" s="85">
        <f>VLOOKUP("新豐4線",'0218 4度C'!$A:$T,19,0)</f>
        <v>0.125</v>
      </c>
    </row>
    <row r="17" spans="2:13" ht="17.25" customHeight="1">
      <c r="B17" s="125"/>
      <c r="C17" s="79" t="s">
        <v>1596</v>
      </c>
      <c r="D17" s="83">
        <f>LOOKUP(2,1/(('0218 4度C'!$A:$A="新豐6線")*('0218 4度C'!$T:$T&lt;&gt;"")),'0218 4度C'!$T:$T)</f>
        <v>0.84652777777777766</v>
      </c>
      <c r="E17" s="81">
        <f>LOOKUP(2,1/(('0218 4度C'!$A:$A="新豐2線")*('0218 4度C'!$T:$T&lt;&gt;"")),'0218 4度C'!$T:$T)</f>
        <v>0.3972222222222222</v>
      </c>
      <c r="F17" s="81">
        <f>LOOKUP(2,1/(('0218 4度C'!$A:$A="新豐5線")*('0218 4度C'!$T:$T&lt;&gt;"")),'0218 4度C'!$T:$T)</f>
        <v>0.84236111111111123</v>
      </c>
      <c r="G17" s="81">
        <f>LOOKUP(2,1/(('0218 4度C'!$A:$A="新豐7線")*('0218 4度C'!$T:$T&lt;&gt;"")),'0218 4度C'!$T:$T)</f>
        <v>0.91805555555555551</v>
      </c>
      <c r="H17" s="81">
        <f>LOOKUP(2,1/(('0218 4度C'!$A:$A="新豐3線")*('0218 4度C'!$T:$T&lt;&gt;"")),'0218 4度C'!$T:$T)</f>
        <v>0.66458333333333319</v>
      </c>
      <c r="I17" s="81">
        <f>LOOKUP(2,1/(('0218 4度C'!$A:$A="新豐1線")*('0218 4度C'!$T:$T&lt;&gt;"")),'0218 4度C'!$T:$T)</f>
        <v>0.89513888888888893</v>
      </c>
      <c r="J17" s="82">
        <f>LOOKUP(2,1/(('0218 4度C'!$A:$A="新豐10線")*('0218 4度C'!$T:$T&lt;&gt;"")),'0218 4度C'!$T:$T)</f>
        <v>0.38958333333333328</v>
      </c>
      <c r="K17" s="80">
        <f>LOOKUP(2,1/(('0218 4度C'!$A:$A="新豐8線")*('0218 4度C'!$T:$T&lt;&gt;"")),'0218 4度C'!$T:$T)</f>
        <v>0.49166666666666664</v>
      </c>
      <c r="L17" s="81">
        <f>LOOKUP(2,1/(('0218 4度C'!$A:$A="新豐9線")*('0218 4度C'!$T:$T&lt;&gt;"")),'0218 4度C'!$T:$T)</f>
        <v>0.49236111111111108</v>
      </c>
      <c r="M17" s="82">
        <f>LOOKUP(2,1/(('0218 4度C'!$A:$A="新豐4線")*('0218 4度C'!$T:$T&lt;&gt;"")),'0218 4度C'!$T:$T)</f>
        <v>0.47847222222222219</v>
      </c>
    </row>
    <row r="18" spans="2:13" ht="17.25" customHeight="1">
      <c r="B18" s="103" t="s">
        <v>1597</v>
      </c>
      <c r="C18" s="86" t="s">
        <v>1598</v>
      </c>
      <c r="D18" s="87">
        <f>SUMIFS('0218 4度C'!$Y:$Y,'0218 4度C'!$A:$A,"新豐6線",'0218 4度C'!$B:$B,"平均")</f>
        <v>0</v>
      </c>
      <c r="E18" s="88">
        <f>SUMIFS('0218 4度C'!$Y:$Y,'0218 4度C'!$A:$A,"新豐2線",'0218 4度C'!$B:$B,"平均")</f>
        <v>0</v>
      </c>
      <c r="F18" s="88">
        <f>SUMIFS('0218 4度C'!$Y:$Y,'0218 4度C'!$A:$A,"新豐5線",'0218 4度C'!$B:$B,"平均")</f>
        <v>0</v>
      </c>
      <c r="G18" s="88">
        <f>SUMIFS('0218 4度C'!$Y:$Y,'0218 4度C'!$A:$A,"新豐7線",'0218 4度C'!$B:$B,"平均")</f>
        <v>0</v>
      </c>
      <c r="H18" s="88">
        <f>SUMIFS('0218 4度C'!$Y:$Y,'0218 4度C'!$A:$A,"新豐3線",'0218 4度C'!$B:$B,"平均")</f>
        <v>0</v>
      </c>
      <c r="I18" s="88">
        <f>SUMIFS('0218 4度C'!$Y:$Y,'0218 4度C'!$A:$A,"新豐1線",'0218 4度C'!$B:$B,"平均")</f>
        <v>0</v>
      </c>
      <c r="J18" s="89">
        <f>SUMIFS('0218 4度C'!$Y:$Y,'0218 4度C'!$A:$A,"新豐10線",'0218 4度C'!$B:$B,"平均")</f>
        <v>0</v>
      </c>
      <c r="K18" s="90">
        <f>SUMIFS('0218 4度C'!$Y:$Y,'0218 4度C'!$A:$A,"新豐8線",'0218 4度C'!$B:$B,"平均")</f>
        <v>0</v>
      </c>
      <c r="L18" s="88">
        <f>SUMIFS('0218 4度C'!$Y:$Y,'0218 4度C'!$A:$A,"新豐9線",'0218 4度C'!$B:$B,"平均")</f>
        <v>0</v>
      </c>
      <c r="M18" s="89">
        <f>SUMIFS('0218 4度C'!$Y:$Y,'0218 4度C'!$A:$A,"新豐4線",'0218 4度C'!$B:$B,"平均")</f>
        <v>0</v>
      </c>
    </row>
    <row r="19" spans="2:13" ht="17.25" customHeight="1">
      <c r="B19" s="104"/>
      <c r="C19" s="86" t="s">
        <v>1599</v>
      </c>
      <c r="D19" s="87">
        <f>SUMIFS('0218 4度C'!$Z:$Z,'0218 4度C'!$A:$A,"新豐6線",'0218 4度C'!$B:$B,"平均")</f>
        <v>0</v>
      </c>
      <c r="E19" s="88">
        <f>SUMIFS('0218 4度C'!$Z:$Z,'0218 4度C'!$A:$A,"新豐2線",'0218 4度C'!$B:$B,"平均")</f>
        <v>0</v>
      </c>
      <c r="F19" s="88">
        <f>SUMIFS('0218 4度C'!$Z:$Z,'0218 4度C'!$A:$A,"新豐5線",'0218 4度C'!$B:$B,"平均")</f>
        <v>0</v>
      </c>
      <c r="G19" s="88">
        <f>SUMIFS('0218 4度C'!$Z:$Z,'0218 4度C'!$A:$A,"新豐7線",'0218 4度C'!$B:$B,"平均")</f>
        <v>0</v>
      </c>
      <c r="H19" s="88">
        <f>SUMIFS('0218 4度C'!$Z:$Z,'0218 4度C'!$A:$A,"新豐3線",'0218 4度C'!$B:$B,"平均")</f>
        <v>0</v>
      </c>
      <c r="I19" s="88">
        <f>SUMIFS('0218 4度C'!$Z:$Z,'0218 4度C'!$A:$A,"新豐1線",'0218 4度C'!$B:$B,"平均")</f>
        <v>0</v>
      </c>
      <c r="J19" s="89">
        <f>SUMIFS('0218 4度C'!$Z:$Z,'0218 4度C'!$A:$A,"新豐10線",'0218 4度C'!$B:$B,"平均")</f>
        <v>0</v>
      </c>
      <c r="K19" s="90">
        <f>SUMIFS('0218 4度C'!$Z:$Z,'0218 4度C'!$A:$A,"新豐8線",'0218 4度C'!$B:$B,"平均")</f>
        <v>0</v>
      </c>
      <c r="L19" s="88">
        <f>SUMIFS('0218 4度C'!$Z:$Z,'0218 4度C'!$A:$A,"新豐9線",'0218 4度C'!$B:$B,"平均")</f>
        <v>0</v>
      </c>
      <c r="M19" s="89">
        <f>SUMIFS('0218 4度C'!$Z:$Z,'0218 4度C'!$A:$A,"新豐4線",'0218 4度C'!$B:$B,"平均")</f>
        <v>0</v>
      </c>
    </row>
    <row r="20" spans="2:13" ht="17.25" customHeight="1">
      <c r="B20" s="103" t="s">
        <v>1600</v>
      </c>
      <c r="C20" s="86" t="s">
        <v>1601</v>
      </c>
      <c r="D20" s="87">
        <f>SUMIFS('0218 4度C'!$AC:$AC,'0218 4度C'!$A:$A,"新豐6線",'0218 4度C'!$B:$B,"平均")</f>
        <v>5</v>
      </c>
      <c r="E20" s="88">
        <f>SUMIFS('0218 4度C'!$AC:$AC,'0218 4度C'!$A:$A,"新豐2線",'0218 4度C'!$B:$B,"平均")</f>
        <v>2</v>
      </c>
      <c r="F20" s="88">
        <f>SUMIFS('0218 4度C'!$AC:$AC,'0218 4度C'!$A:$A,"新豐5線",'0218 4度C'!$B:$B,"平均")</f>
        <v>6</v>
      </c>
      <c r="G20" s="88">
        <f>SUMIFS('0218 4度C'!$AC:$AC,'0218 4度C'!$A:$A,"新豐7線",'0218 4度C'!$B:$B,"平均")</f>
        <v>6</v>
      </c>
      <c r="H20" s="88">
        <f>SUMIFS('0218 4度C'!$AC:$AC,'0218 4度C'!$A:$A,"新豐3線",'0218 4度C'!$B:$B,"平均")</f>
        <v>10</v>
      </c>
      <c r="I20" s="88">
        <f>SUMIFS('0218 4度C'!$AC:$AC,'0218 4度C'!$A:$A,"新豐1線",'0218 4度C'!$B:$B,"平均")</f>
        <v>10</v>
      </c>
      <c r="J20" s="89">
        <f>SUMIFS('0218 4度C'!$AC:$AC,'0218 4度C'!$A:$A,"新豐10線",'0218 4度C'!$B:$B,"平均")</f>
        <v>5</v>
      </c>
      <c r="K20" s="90">
        <f>SUMIFS('0218 4度C'!$AC:$AC,'0218 4度C'!$A:$A,"新豐8線",'0218 4度C'!$B:$B,"平均")</f>
        <v>5</v>
      </c>
      <c r="L20" s="88">
        <f>SUMIFS('0218 4度C'!$AC:$AC,'0218 4度C'!$A:$A,"新豐9線",'0218 4度C'!$B:$B,"平均")</f>
        <v>5</v>
      </c>
      <c r="M20" s="89">
        <f>SUMIFS('0218 4度C'!$AC:$AC,'0218 4度C'!$A:$A,"新豐4線",'0218 4度C'!$B:$B,"平均")</f>
        <v>5</v>
      </c>
    </row>
    <row r="21" spans="2:13" ht="17.25" customHeight="1">
      <c r="B21" s="104"/>
      <c r="C21" s="86" t="s">
        <v>1602</v>
      </c>
      <c r="D21" s="87">
        <f>SUMIFS('0218 4度C'!$AD:$AD,'0218 4度C'!$A:$A,"新豐6線",'0218 4度C'!$B:$B,"平均")</f>
        <v>0</v>
      </c>
      <c r="E21" s="88">
        <f>SUMIFS('0218 4度C'!$AD:$AD,'0218 4度C'!$A:$A,"新豐2線",'0218 4度C'!$B:$B,"平均")</f>
        <v>0</v>
      </c>
      <c r="F21" s="88">
        <f>SUMIFS('0218 4度C'!$AD:$AD,'0218 4度C'!$A:$A,"新豐5線",'0218 4度C'!$B:$B,"平均")</f>
        <v>0</v>
      </c>
      <c r="G21" s="88">
        <f>SUMIFS('0218 4度C'!$AD:$AD,'0218 4度C'!$A:$A,"新豐7線",'0218 4度C'!$B:$B,"平均")</f>
        <v>0</v>
      </c>
      <c r="H21" s="88">
        <f>SUMIFS('0218 4度C'!$AD:$AD,'0218 4度C'!$A:$A,"新豐3線",'0218 4度C'!$B:$B,"平均")</f>
        <v>0</v>
      </c>
      <c r="I21" s="88">
        <f>SUMIFS('0218 4度C'!$AD:$AD,'0218 4度C'!$A:$A,"新豐1線",'0218 4度C'!$B:$B,"平均")</f>
        <v>0</v>
      </c>
      <c r="J21" s="89">
        <f>SUMIFS('0218 4度C'!$AD:$AD,'0218 4度C'!$A:$A,"新豐10線",'0218 4度C'!$B:$B,"平均")</f>
        <v>0</v>
      </c>
      <c r="K21" s="90">
        <f>SUMIFS('0218 4度C'!$AD:$AD,'0218 4度C'!$A:$A,"新豐8線",'0218 4度C'!$B:$B,"平均")</f>
        <v>0</v>
      </c>
      <c r="L21" s="88">
        <f>SUMIFS('0218 4度C'!$AD:$AD,'0218 4度C'!$A:$A,"新豐9線",'0218 4度C'!$B:$B,"平均")</f>
        <v>0</v>
      </c>
      <c r="M21" s="89">
        <f>SUMIFS('0218 4度C'!$AD:$AD,'0218 4度C'!$A:$A,"新豐4線",'0218 4度C'!$B:$B,"平均")</f>
        <v>0</v>
      </c>
    </row>
    <row r="22" spans="2:13" ht="17.25" customHeight="1">
      <c r="B22" s="105" t="s">
        <v>1603</v>
      </c>
      <c r="C22" s="106"/>
      <c r="D22" s="91">
        <f>SUMIFS('0218 4度C'!$I:$I,'0218 4度C'!$A:$A,"新豐6線",'0218 4度C'!$B:$B,"平均")</f>
        <v>17.600000000000001</v>
      </c>
      <c r="E22" s="92">
        <f>SUMIFS('0218 4度C'!$I:$I,'0218 4度C'!$A:$A,"新豐2線",'0218 4度C'!$B:$B,"平均")</f>
        <v>18</v>
      </c>
      <c r="F22" s="92">
        <f>SUMIFS('0218 4度C'!$I:$I,'0218 4度C'!$A:$A,"新豐5線",'0218 4度C'!$B:$B,"平均")</f>
        <v>17.666666666666668</v>
      </c>
      <c r="G22" s="92">
        <f>SUMIFS('0218 4度C'!$I:$I,'0218 4度C'!$A:$A,"新豐7線",'0218 4度C'!$B:$B,"平均")</f>
        <v>14.833333333333334</v>
      </c>
      <c r="H22" s="92">
        <f>SUMIFS('0218 4度C'!$I:$I,'0218 4度C'!$A:$A,"新豐3線",'0218 4度C'!$B:$B,"平均")</f>
        <v>9.9</v>
      </c>
      <c r="I22" s="92">
        <f>SUMIFS('0218 4度C'!$I:$I,'0218 4度C'!$A:$A,"新豐1線",'0218 4度C'!$B:$B,"平均")</f>
        <v>18.5</v>
      </c>
      <c r="J22" s="93">
        <f>SUMIFS('0218 4度C'!$I:$I,'0218 4度C'!$A:$A,"新豐10線",'0218 4度C'!$B:$B,"平均")</f>
        <v>10.6</v>
      </c>
      <c r="K22" s="91">
        <f>SUMIFS('0218 4度C'!$I:$I,'0218 4度C'!$A:$A,"新豐8線",'0218 4度C'!$B:$B,"平均")</f>
        <v>18.399999999999999</v>
      </c>
      <c r="L22" s="92">
        <f>SUMIFS('0218 4度C'!$I:$I,'0218 4度C'!$A:$A,"新豐9線",'0218 4度C'!$B:$B,"平均")</f>
        <v>17.8</v>
      </c>
      <c r="M22" s="93">
        <f>SUMIFS('0218 4度C'!$I:$I,'0218 4度C'!$A:$A,"新豐4線",'0218 4度C'!$B:$B,"平均")</f>
        <v>16.600000000000001</v>
      </c>
    </row>
    <row r="23" spans="2:13" ht="17.25" customHeight="1">
      <c r="B23" s="105" t="s">
        <v>1604</v>
      </c>
      <c r="C23" s="106"/>
      <c r="D23" s="94" t="s">
        <v>191</v>
      </c>
      <c r="E23" s="95" t="s">
        <v>192</v>
      </c>
      <c r="F23" s="95" t="s">
        <v>1605</v>
      </c>
      <c r="G23" s="95" t="s">
        <v>1605</v>
      </c>
      <c r="H23" s="95" t="s">
        <v>194</v>
      </c>
      <c r="I23" s="95" t="s">
        <v>191</v>
      </c>
      <c r="J23" s="96" t="s">
        <v>194</v>
      </c>
      <c r="K23" s="94" t="s">
        <v>1606</v>
      </c>
      <c r="L23" s="95" t="s">
        <v>1606</v>
      </c>
      <c r="M23" s="96" t="s">
        <v>1606</v>
      </c>
    </row>
    <row r="24" spans="2:13" ht="17.25" customHeight="1">
      <c r="B24" s="105" t="s">
        <v>1607</v>
      </c>
      <c r="C24" s="106"/>
      <c r="D24" s="94"/>
      <c r="E24" s="95"/>
      <c r="F24" s="95" t="s">
        <v>1608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1609</v>
      </c>
      <c r="C25" s="108"/>
      <c r="D25" s="97"/>
      <c r="E25" s="98" t="s">
        <v>1610</v>
      </c>
      <c r="F25" s="101" t="s">
        <v>1611</v>
      </c>
      <c r="G25" s="102"/>
      <c r="H25" s="98" t="s">
        <v>1612</v>
      </c>
      <c r="I25" s="98" t="s">
        <v>1613</v>
      </c>
      <c r="J25" s="99" t="s">
        <v>1614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7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13">
    <pageSetUpPr fitToPage="1"/>
  </sheetPr>
  <dimension ref="A1:AG74"/>
  <sheetViews>
    <sheetView zoomScale="80" zoomScaleNormal="80" workbookViewId="0">
      <pane ySplit="4" topLeftCell="A5" activePane="bottomLeft" state="frozen"/>
      <selection activeCell="G6" sqref="G6:H6"/>
      <selection pane="bottomLeft" activeCell="G6" sqref="G6:H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1615</v>
      </c>
      <c r="B1" s="1"/>
      <c r="C1" s="2" t="s">
        <v>1616</v>
      </c>
      <c r="D1" s="3">
        <f>SUM(F5:F73)</f>
        <v>130769</v>
      </c>
      <c r="E1" s="4" t="s">
        <v>1617</v>
      </c>
      <c r="F1" s="1">
        <f>SUM(G5:G73)</f>
        <v>4548554.919999999</v>
      </c>
      <c r="G1" s="1" t="s">
        <v>1618</v>
      </c>
      <c r="H1" s="5">
        <f>L10+L13+L50+L61+L20+L67+L33+L39+L27+L73</f>
        <v>159.9</v>
      </c>
      <c r="I1" s="214" t="s">
        <v>1619</v>
      </c>
      <c r="J1" s="214"/>
      <c r="K1" s="214"/>
      <c r="L1" s="214" t="s">
        <v>1620</v>
      </c>
      <c r="M1" s="214"/>
      <c r="N1" s="214"/>
      <c r="O1" s="214" t="s">
        <v>1621</v>
      </c>
      <c r="P1" s="214"/>
      <c r="Q1" s="214"/>
      <c r="R1" s="214"/>
      <c r="S1" s="214" t="s">
        <v>1622</v>
      </c>
      <c r="T1" s="214"/>
      <c r="U1" s="214"/>
      <c r="V1" s="214"/>
      <c r="W1" s="214"/>
      <c r="X1" s="214"/>
      <c r="Y1" s="6" t="s">
        <v>1623</v>
      </c>
      <c r="Z1" s="7" t="s">
        <v>1624</v>
      </c>
      <c r="AA1" s="215" t="s">
        <v>1625</v>
      </c>
      <c r="AB1" s="215"/>
      <c r="AC1" s="8" t="s">
        <v>1623</v>
      </c>
      <c r="AD1" s="7" t="s">
        <v>1626</v>
      </c>
      <c r="AE1" s="214" t="s">
        <v>1627</v>
      </c>
      <c r="AF1" s="216"/>
      <c r="AG1" s="216"/>
    </row>
    <row r="2" spans="1:33" ht="26.25" customHeight="1">
      <c r="A2" s="35">
        <v>46071</v>
      </c>
      <c r="B2" s="36" t="s">
        <v>457</v>
      </c>
      <c r="C2" s="2" t="s">
        <v>1628</v>
      </c>
      <c r="D2" s="10">
        <f>AVERAGE(N10,N13,N50,N61,N20,N67,N27,N33,N39,N73)</f>
        <v>137.93368793629438</v>
      </c>
      <c r="E2" s="11" t="s">
        <v>14</v>
      </c>
      <c r="F2" s="12">
        <f>F1/D1</f>
        <v>34.783128417285432</v>
      </c>
      <c r="G2" s="1" t="s">
        <v>1629</v>
      </c>
      <c r="H2" s="13">
        <f>COUNT(H5:H73)</f>
        <v>5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SUM(Y10+Y13+Y20+Y27+Y33+Y39+Y50+Y61+Y67+Y73)</f>
        <v>0</v>
      </c>
      <c r="Z2" s="14">
        <f>SUM(Z10+Z13+Z20+Z27+Z33+Z39+Z50+Z61+Z67+Z73)</f>
        <v>0</v>
      </c>
      <c r="AA2" s="215"/>
      <c r="AB2" s="215"/>
      <c r="AC2" s="14">
        <f>SUM(AC10+AC13+AC20+AC27+AC33+AC39+AC50+AC61+AC67+AC73)</f>
        <v>59</v>
      </c>
      <c r="AD2" s="14">
        <f>SUM(AD10+AD13+AD20+AD27+AD33+AD39+AD50+AD61+AD67+AD73)</f>
        <v>0</v>
      </c>
      <c r="AE2" s="216"/>
      <c r="AF2" s="216"/>
      <c r="AG2" s="216"/>
    </row>
    <row r="3" spans="1:33" ht="40.5" customHeight="1">
      <c r="A3" s="164" t="s">
        <v>1630</v>
      </c>
      <c r="B3" s="164" t="s">
        <v>1631</v>
      </c>
      <c r="C3" s="164" t="s">
        <v>1632</v>
      </c>
      <c r="D3" s="164"/>
      <c r="E3" s="212" t="s">
        <v>1633</v>
      </c>
      <c r="F3" s="164" t="s">
        <v>1634</v>
      </c>
      <c r="G3" s="212" t="s">
        <v>1635</v>
      </c>
      <c r="H3" s="206" t="s">
        <v>1636</v>
      </c>
      <c r="I3" s="204" t="s">
        <v>1637</v>
      </c>
      <c r="J3" s="201" t="s">
        <v>1638</v>
      </c>
      <c r="K3" s="211" t="s">
        <v>1628</v>
      </c>
      <c r="L3" s="204" t="s">
        <v>1637</v>
      </c>
      <c r="M3" s="201" t="s">
        <v>1638</v>
      </c>
      <c r="N3" s="211" t="s">
        <v>1628</v>
      </c>
      <c r="O3" s="204" t="s">
        <v>1637</v>
      </c>
      <c r="P3" s="211" t="s">
        <v>1628</v>
      </c>
      <c r="Q3" s="202" t="s">
        <v>1639</v>
      </c>
      <c r="R3" s="182" t="s">
        <v>1640</v>
      </c>
      <c r="S3" s="164" t="s">
        <v>30</v>
      </c>
      <c r="T3" s="164"/>
      <c r="U3" s="206" t="s">
        <v>31</v>
      </c>
      <c r="V3" s="206" t="s">
        <v>1641</v>
      </c>
      <c r="W3" s="164" t="s">
        <v>1642</v>
      </c>
      <c r="X3" s="164"/>
      <c r="Y3" s="207" t="s">
        <v>1643</v>
      </c>
      <c r="Z3" s="168"/>
      <c r="AA3" s="208" t="s">
        <v>1644</v>
      </c>
      <c r="AB3" s="209"/>
      <c r="AC3" s="207" t="s">
        <v>1645</v>
      </c>
      <c r="AD3" s="168"/>
      <c r="AE3" s="201" t="s">
        <v>1638</v>
      </c>
      <c r="AF3" s="202" t="s">
        <v>1639</v>
      </c>
      <c r="AG3" s="182" t="s">
        <v>1640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1646</v>
      </c>
      <c r="X4" s="4" t="s">
        <v>1647</v>
      </c>
      <c r="Y4" s="15" t="s">
        <v>1598</v>
      </c>
      <c r="Z4" s="15" t="s">
        <v>1648</v>
      </c>
      <c r="AA4" s="210"/>
      <c r="AB4" s="209"/>
      <c r="AC4" s="15" t="s">
        <v>1649</v>
      </c>
      <c r="AD4" s="15" t="s">
        <v>1650</v>
      </c>
      <c r="AE4" s="201"/>
      <c r="AF4" s="202"/>
      <c r="AG4" s="182"/>
    </row>
    <row r="5" spans="1:33">
      <c r="A5" s="203" t="s">
        <v>1651</v>
      </c>
      <c r="B5" s="37" t="s">
        <v>78</v>
      </c>
      <c r="C5" s="205" t="s">
        <v>79</v>
      </c>
      <c r="D5" s="205"/>
      <c r="E5" s="37">
        <v>50.67</v>
      </c>
      <c r="F5" s="4">
        <v>1491</v>
      </c>
      <c r="G5" s="4">
        <f t="shared" ref="G5:G9" si="0">E5*F5</f>
        <v>75548.97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9" si="2">F5/V5*60</f>
        <v>1903.4042553191491</v>
      </c>
      <c r="N5" s="17">
        <f t="shared" ref="N5:N68" si="3">M5/L5</f>
        <v>111.96495619524407</v>
      </c>
      <c r="O5" s="19">
        <f t="shared" ref="O5:O68" si="4">L5-I5</f>
        <v>0</v>
      </c>
      <c r="P5" s="20">
        <f t="shared" ref="P5:P68" si="5">N5-K5</f>
        <v>-5.6821026282853353</v>
      </c>
      <c r="Q5" s="21">
        <f t="shared" ref="Q5:Q68" si="6">N5/K5</f>
        <v>0.95170212765957463</v>
      </c>
      <c r="R5" s="172">
        <f>Q10</f>
        <v>0.95729643751308868</v>
      </c>
      <c r="S5" s="28">
        <v>0.70833333333333337</v>
      </c>
      <c r="T5" s="28">
        <v>0.74097222222222225</v>
      </c>
      <c r="U5" s="4"/>
      <c r="V5" s="22">
        <f t="shared" ref="V5:V9" si="7">(T5-S5)*24*60</f>
        <v>46.999999999999993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60" si="8">M5-J5</f>
        <v>-96.595744680850885</v>
      </c>
      <c r="AF5" s="21">
        <f t="shared" ref="AF5:AF68" si="9">M5/J5</f>
        <v>0.95170212765957451</v>
      </c>
      <c r="AG5" s="172">
        <f>AF10</f>
        <v>0.95729643751308868</v>
      </c>
    </row>
    <row r="6" spans="1:33">
      <c r="A6" s="204" t="s">
        <v>1651</v>
      </c>
      <c r="B6" s="37" t="s">
        <v>78</v>
      </c>
      <c r="C6" s="205" t="s">
        <v>80</v>
      </c>
      <c r="D6" s="205"/>
      <c r="E6" s="37">
        <v>54.09</v>
      </c>
      <c r="F6" s="4">
        <v>1307</v>
      </c>
      <c r="G6" s="4">
        <f t="shared" si="0"/>
        <v>70695.63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1912.6829268292677</v>
      </c>
      <c r="N6" s="17">
        <f t="shared" si="3"/>
        <v>100.66752246469829</v>
      </c>
      <c r="O6" s="19">
        <f t="shared" si="4"/>
        <v>0</v>
      </c>
      <c r="P6" s="20">
        <f t="shared" si="5"/>
        <v>-4.5956354300385414</v>
      </c>
      <c r="Q6" s="21">
        <f t="shared" si="6"/>
        <v>0.95634146341463389</v>
      </c>
      <c r="R6" s="172"/>
      <c r="S6" s="28">
        <v>0.74583333333333335</v>
      </c>
      <c r="T6" s="28">
        <v>0.77430555555555558</v>
      </c>
      <c r="U6" s="4">
        <f t="shared" ref="U6:U9" si="10">IF(S6=TIME(17,0,0),"",(S6-T5)*24*60)</f>
        <v>6.9999999999999751</v>
      </c>
      <c r="V6" s="22">
        <f t="shared" si="7"/>
        <v>41.000000000000014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-87.317073170732328</v>
      </c>
      <c r="AF6" s="21">
        <f t="shared" si="9"/>
        <v>0.95634146341463389</v>
      </c>
      <c r="AG6" s="172"/>
    </row>
    <row r="7" spans="1:33">
      <c r="A7" s="204" t="s">
        <v>1651</v>
      </c>
      <c r="B7" s="37" t="s">
        <v>78</v>
      </c>
      <c r="C7" s="196" t="s">
        <v>81</v>
      </c>
      <c r="D7" s="197"/>
      <c r="E7" s="37">
        <v>50.29</v>
      </c>
      <c r="F7" s="4">
        <v>603</v>
      </c>
      <c r="G7" s="4">
        <f t="shared" si="0"/>
        <v>30324.87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1904.2105263157962</v>
      </c>
      <c r="N7" s="17">
        <f t="shared" si="3"/>
        <v>119.01315789473726</v>
      </c>
      <c r="O7" s="19">
        <f t="shared" si="4"/>
        <v>0</v>
      </c>
      <c r="P7" s="20">
        <f t="shared" si="5"/>
        <v>-5.9868421052627383</v>
      </c>
      <c r="Q7" s="21">
        <f t="shared" si="6"/>
        <v>0.95210526315789812</v>
      </c>
      <c r="R7" s="172"/>
      <c r="S7" s="28">
        <v>0.77847222222222223</v>
      </c>
      <c r="T7" s="28">
        <v>0.79166666666666663</v>
      </c>
      <c r="U7" s="4">
        <f t="shared" si="10"/>
        <v>5.9999999999999787</v>
      </c>
      <c r="V7" s="22">
        <f t="shared" si="7"/>
        <v>18.999999999999932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-95.789473684203813</v>
      </c>
      <c r="AF7" s="21">
        <f t="shared" si="9"/>
        <v>0.95210526315789812</v>
      </c>
      <c r="AG7" s="172"/>
    </row>
    <row r="8" spans="1:33">
      <c r="A8" s="204" t="s">
        <v>1651</v>
      </c>
      <c r="B8" s="37" t="s">
        <v>78</v>
      </c>
      <c r="C8" s="196" t="s">
        <v>82</v>
      </c>
      <c r="D8" s="197"/>
      <c r="E8" s="37">
        <v>57.3</v>
      </c>
      <c r="F8" s="4">
        <v>1436</v>
      </c>
      <c r="G8" s="4">
        <f t="shared" si="0"/>
        <v>82282.8</v>
      </c>
      <c r="H8" s="22" t="s">
        <v>139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1914.6666666666667</v>
      </c>
      <c r="N8" s="17">
        <f t="shared" si="3"/>
        <v>127.64444444444445</v>
      </c>
      <c r="O8" s="19">
        <f t="shared" si="4"/>
        <v>0</v>
      </c>
      <c r="P8" s="20">
        <f t="shared" si="5"/>
        <v>-5.6888888888888971</v>
      </c>
      <c r="Q8" s="21">
        <f t="shared" si="6"/>
        <v>0.95733333333333326</v>
      </c>
      <c r="R8" s="172"/>
      <c r="S8" s="28">
        <v>0.79722222222222217</v>
      </c>
      <c r="T8" s="28">
        <v>0.82847222222222217</v>
      </c>
      <c r="U8" s="4">
        <f t="shared" si="10"/>
        <v>7.9999999999999716</v>
      </c>
      <c r="V8" s="22">
        <f t="shared" si="7"/>
        <v>45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-85.333333333333258</v>
      </c>
      <c r="AF8" s="21">
        <f t="shared" si="9"/>
        <v>0.95733333333333337</v>
      </c>
      <c r="AG8" s="172"/>
    </row>
    <row r="9" spans="1:33">
      <c r="A9" s="204" t="s">
        <v>1651</v>
      </c>
      <c r="B9" s="37" t="s">
        <v>78</v>
      </c>
      <c r="C9" s="196" t="s">
        <v>83</v>
      </c>
      <c r="D9" s="197"/>
      <c r="E9" s="37">
        <v>50.67</v>
      </c>
      <c r="F9" s="4">
        <v>646</v>
      </c>
      <c r="G9" s="4">
        <f t="shared" si="0"/>
        <v>32732.82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1938.000000000007</v>
      </c>
      <c r="N9" s="17">
        <f t="shared" si="3"/>
        <v>92.285714285714619</v>
      </c>
      <c r="O9" s="19">
        <f t="shared" si="4"/>
        <v>0</v>
      </c>
      <c r="P9" s="20">
        <f t="shared" si="5"/>
        <v>-2.9523809523806221</v>
      </c>
      <c r="Q9" s="21">
        <f t="shared" si="6"/>
        <v>0.96900000000000341</v>
      </c>
      <c r="R9" s="172"/>
      <c r="S9" s="28">
        <v>0.83263888888888882</v>
      </c>
      <c r="T9" s="28">
        <v>0.84652777777777766</v>
      </c>
      <c r="U9" s="4">
        <f t="shared" si="10"/>
        <v>5.9999999999999787</v>
      </c>
      <c r="V9" s="22">
        <f t="shared" si="7"/>
        <v>19.999999999999929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-61.999999999992951</v>
      </c>
      <c r="AF9" s="21">
        <f t="shared" si="9"/>
        <v>0.96900000000000353</v>
      </c>
      <c r="AG9" s="172"/>
    </row>
    <row r="10" spans="1:33">
      <c r="A10" s="204" t="s">
        <v>1651</v>
      </c>
      <c r="B10" s="37" t="s">
        <v>1652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1"/>
        <v>113.63636363636363</v>
      </c>
      <c r="L10" s="30">
        <v>17.600000000000001</v>
      </c>
      <c r="M10" s="18">
        <f>AVERAGE(M5:M9)</f>
        <v>1914.5928750261774</v>
      </c>
      <c r="N10" s="17">
        <f t="shared" si="3"/>
        <v>108.7836860810328</v>
      </c>
      <c r="O10" s="19">
        <f t="shared" si="4"/>
        <v>0</v>
      </c>
      <c r="P10" s="20">
        <f t="shared" si="5"/>
        <v>-4.8526775553308283</v>
      </c>
      <c r="Q10" s="21">
        <f t="shared" si="6"/>
        <v>0.95729643751308868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f>SUM(AC5:AC9)</f>
        <v>5</v>
      </c>
      <c r="AD10" s="31">
        <f>SUM(AD5:AD9)</f>
        <v>0</v>
      </c>
      <c r="AE10" s="19">
        <f t="shared" si="8"/>
        <v>-85.407124973822647</v>
      </c>
      <c r="AF10" s="21">
        <f t="shared" si="9"/>
        <v>0.95729643751308868</v>
      </c>
      <c r="AG10" s="172"/>
    </row>
    <row r="11" spans="1:33" ht="15.75" customHeight="1">
      <c r="A11" s="200" t="s">
        <v>1653</v>
      </c>
      <c r="B11" s="37" t="s">
        <v>84</v>
      </c>
      <c r="C11" s="196" t="s">
        <v>85</v>
      </c>
      <c r="D11" s="197"/>
      <c r="E11" s="37">
        <v>39.619999999999997</v>
      </c>
      <c r="F11" s="4">
        <v>2376</v>
      </c>
      <c r="G11" s="4">
        <f t="shared" ref="G11:G12" si="11">E11*F11</f>
        <v>94137.12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1439.9999999999998</v>
      </c>
      <c r="N11" s="17">
        <f t="shared" si="3"/>
        <v>75.78947368421052</v>
      </c>
      <c r="O11" s="19">
        <f t="shared" si="4"/>
        <v>0</v>
      </c>
      <c r="P11" s="20">
        <f t="shared" si="5"/>
        <v>-3.1578947368421098</v>
      </c>
      <c r="Q11" s="21">
        <f t="shared" si="6"/>
        <v>0.96</v>
      </c>
      <c r="R11" s="172">
        <f>Q13</f>
        <v>0.9585454545454547</v>
      </c>
      <c r="S11" s="28">
        <v>0.20833333333333334</v>
      </c>
      <c r="T11" s="28">
        <v>0.27708333333333335</v>
      </c>
      <c r="U11" s="4"/>
      <c r="V11" s="22">
        <f t="shared" ref="V11:V12" si="13">(T11-S11)*24*60</f>
        <v>99.000000000000014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-60.000000000000227</v>
      </c>
      <c r="AF11" s="21">
        <f t="shared" si="9"/>
        <v>0.95999999999999985</v>
      </c>
      <c r="AG11" s="172">
        <f>AF13</f>
        <v>0.9585454545454547</v>
      </c>
    </row>
    <row r="12" spans="1:33" ht="15.75" customHeight="1">
      <c r="A12" s="200" t="s">
        <v>1653</v>
      </c>
      <c r="B12" s="37" t="s">
        <v>84</v>
      </c>
      <c r="C12" s="196" t="s">
        <v>86</v>
      </c>
      <c r="D12" s="197"/>
      <c r="E12" s="37">
        <v>39.799999999999997</v>
      </c>
      <c r="F12" s="4">
        <v>3948</v>
      </c>
      <c r="G12" s="4">
        <f t="shared" si="11"/>
        <v>157130.4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1435.636363636364</v>
      </c>
      <c r="N12" s="17">
        <f t="shared" si="3"/>
        <v>84.449197860962585</v>
      </c>
      <c r="O12" s="19">
        <f t="shared" si="4"/>
        <v>0</v>
      </c>
      <c r="P12" s="20">
        <f t="shared" si="5"/>
        <v>-3.7860962566844734</v>
      </c>
      <c r="Q12" s="21">
        <f t="shared" si="6"/>
        <v>0.95709090909090933</v>
      </c>
      <c r="R12" s="172"/>
      <c r="S12" s="28">
        <v>0.28263888888888888</v>
      </c>
      <c r="T12" s="28">
        <v>0.3972222222222222</v>
      </c>
      <c r="U12" s="4">
        <f t="shared" ref="U12" si="14">IF(S12=TIME(17,0,0),"",(S12-T11)*24*60)</f>
        <v>7.9999999999999716</v>
      </c>
      <c r="V12" s="22">
        <f t="shared" si="13"/>
        <v>164.99999999999997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-64.363636363636033</v>
      </c>
      <c r="AF12" s="21">
        <f t="shared" si="9"/>
        <v>0.95709090909090933</v>
      </c>
      <c r="AG12" s="172"/>
    </row>
    <row r="13" spans="1:33" ht="16.5" customHeight="1">
      <c r="A13" s="200" t="s">
        <v>1653</v>
      </c>
      <c r="B13" s="37" t="s">
        <v>1652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1437.818181818182</v>
      </c>
      <c r="N13" s="17">
        <f t="shared" si="3"/>
        <v>79.87878787878789</v>
      </c>
      <c r="O13" s="19">
        <f t="shared" si="4"/>
        <v>0</v>
      </c>
      <c r="P13" s="20">
        <f t="shared" si="5"/>
        <v>-3.454545454545439</v>
      </c>
      <c r="Q13" s="21">
        <f t="shared" si="6"/>
        <v>0.9585454545454547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f>SUM(AC11:AC12)</f>
        <v>2</v>
      </c>
      <c r="AD13" s="31">
        <f>SUM(AD11:AD12)</f>
        <v>0</v>
      </c>
      <c r="AE13" s="19">
        <f t="shared" si="8"/>
        <v>-62.181818181818016</v>
      </c>
      <c r="AF13" s="21">
        <f t="shared" si="9"/>
        <v>0.9585454545454547</v>
      </c>
      <c r="AG13" s="172"/>
    </row>
    <row r="14" spans="1:33" ht="16.5" customHeight="1">
      <c r="A14" s="198" t="s">
        <v>1654</v>
      </c>
      <c r="B14" s="4" t="s">
        <v>87</v>
      </c>
      <c r="C14" s="190" t="s">
        <v>88</v>
      </c>
      <c r="D14" s="190"/>
      <c r="E14" s="37">
        <v>41</v>
      </c>
      <c r="F14" s="4">
        <v>2454</v>
      </c>
      <c r="G14" s="4">
        <f t="shared" ref="G14:G19" si="15">E14*F14</f>
        <v>100614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19" si="16">F14/V14*60</f>
        <v>1429.5145631067962</v>
      </c>
      <c r="N14" s="17">
        <f t="shared" si="3"/>
        <v>54.98132935026139</v>
      </c>
      <c r="O14" s="19">
        <f t="shared" si="4"/>
        <v>0</v>
      </c>
      <c r="P14" s="20">
        <f t="shared" si="5"/>
        <v>-2.7109783420463032</v>
      </c>
      <c r="Q14" s="21">
        <f t="shared" si="6"/>
        <v>0.95300970873786406</v>
      </c>
      <c r="R14" s="172">
        <f>Q20</f>
        <v>0.96475592155011614</v>
      </c>
      <c r="S14" s="28">
        <v>0.20833333333333334</v>
      </c>
      <c r="T14" s="28">
        <v>0.27986111111111112</v>
      </c>
      <c r="U14" s="4"/>
      <c r="V14" s="22">
        <f t="shared" ref="V14:V19" si="17">(T14-S14)*24*60</f>
        <v>103</v>
      </c>
      <c r="W14" s="28"/>
      <c r="X14" s="28"/>
      <c r="Y14" s="28"/>
      <c r="Z14" s="28"/>
      <c r="AA14" s="164"/>
      <c r="AB14" s="164"/>
      <c r="AC14" s="25">
        <v>6</v>
      </c>
      <c r="AD14" s="25"/>
      <c r="AE14" s="19">
        <f t="shared" si="8"/>
        <v>-70.485436893203769</v>
      </c>
      <c r="AF14" s="21">
        <f t="shared" si="9"/>
        <v>0.95300970873786417</v>
      </c>
      <c r="AG14" s="172">
        <f>AF20</f>
        <v>0.96475592155011625</v>
      </c>
    </row>
    <row r="15" spans="1:33" ht="16.5" customHeight="1">
      <c r="A15" s="199" t="s">
        <v>1654</v>
      </c>
      <c r="B15" s="4" t="s">
        <v>89</v>
      </c>
      <c r="C15" s="190" t="s">
        <v>90</v>
      </c>
      <c r="D15" s="190"/>
      <c r="E15" s="37">
        <v>72.400000000000006</v>
      </c>
      <c r="F15" s="4">
        <v>554</v>
      </c>
      <c r="G15" s="4">
        <f t="shared" si="15"/>
        <v>40109.600000000006</v>
      </c>
      <c r="H15" s="22" t="s">
        <v>139</v>
      </c>
      <c r="I15" s="16">
        <v>18</v>
      </c>
      <c r="J15" s="18">
        <v>1500</v>
      </c>
      <c r="K15" s="17">
        <f t="shared" si="1"/>
        <v>83.333333333333329</v>
      </c>
      <c r="L15" s="16">
        <v>18</v>
      </c>
      <c r="M15" s="18">
        <f t="shared" si="16"/>
        <v>1445.2173913043478</v>
      </c>
      <c r="N15" s="17">
        <f t="shared" si="3"/>
        <v>80.289855072463766</v>
      </c>
      <c r="O15" s="19">
        <f t="shared" si="4"/>
        <v>0</v>
      </c>
      <c r="P15" s="20">
        <f t="shared" si="5"/>
        <v>-3.0434782608695627</v>
      </c>
      <c r="Q15" s="21">
        <f t="shared" si="6"/>
        <v>0.96347826086956523</v>
      </c>
      <c r="R15" s="172"/>
      <c r="S15" s="28">
        <v>0.28541666666666665</v>
      </c>
      <c r="T15" s="28">
        <v>0.30138888888888887</v>
      </c>
      <c r="U15" s="4">
        <f t="shared" ref="U15:U19" si="18">IF(S15=TIME(17,0,0),"",(S15-T14)*24*60)</f>
        <v>7.9999999999999716</v>
      </c>
      <c r="V15" s="22">
        <f t="shared" si="17"/>
        <v>23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-54.782608695652243</v>
      </c>
      <c r="AF15" s="21">
        <f t="shared" si="9"/>
        <v>0.96347826086956512</v>
      </c>
      <c r="AG15" s="172"/>
    </row>
    <row r="16" spans="1:33" ht="16.5" customHeight="1">
      <c r="A16" s="199" t="s">
        <v>1654</v>
      </c>
      <c r="B16" s="4" t="s">
        <v>78</v>
      </c>
      <c r="C16" s="190" t="s">
        <v>91</v>
      </c>
      <c r="D16" s="190"/>
      <c r="E16" s="37">
        <v>50.98</v>
      </c>
      <c r="F16" s="4">
        <v>2533</v>
      </c>
      <c r="G16" s="4">
        <f t="shared" si="15"/>
        <v>129132.34</v>
      </c>
      <c r="H16" s="22" t="s">
        <v>139</v>
      </c>
      <c r="I16" s="16">
        <v>16</v>
      </c>
      <c r="J16" s="18">
        <v>2000</v>
      </c>
      <c r="K16" s="17">
        <f t="shared" si="1"/>
        <v>125</v>
      </c>
      <c r="L16" s="16">
        <v>16</v>
      </c>
      <c r="M16" s="18">
        <f t="shared" si="16"/>
        <v>1923.7974683544294</v>
      </c>
      <c r="N16" s="17">
        <f t="shared" si="3"/>
        <v>120.23734177215184</v>
      </c>
      <c r="O16" s="19">
        <f t="shared" si="4"/>
        <v>0</v>
      </c>
      <c r="P16" s="20">
        <f t="shared" si="5"/>
        <v>-4.7626582278481635</v>
      </c>
      <c r="Q16" s="21">
        <f t="shared" si="6"/>
        <v>0.96189873417721472</v>
      </c>
      <c r="R16" s="172"/>
      <c r="S16" s="28">
        <v>0.70833333333333337</v>
      </c>
      <c r="T16" s="28">
        <v>0.76319444444444451</v>
      </c>
      <c r="U16" s="4" t="str">
        <f t="shared" si="18"/>
        <v/>
      </c>
      <c r="V16" s="22">
        <f t="shared" si="17"/>
        <v>79.000000000000043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-76.202531645570616</v>
      </c>
      <c r="AF16" s="21">
        <f t="shared" si="9"/>
        <v>0.96189873417721472</v>
      </c>
      <c r="AG16" s="172"/>
    </row>
    <row r="17" spans="1:33" ht="16.5" customHeight="1">
      <c r="A17" s="199" t="s">
        <v>1654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f t="shared" si="15"/>
        <v>40736</v>
      </c>
      <c r="H17" s="22">
        <v>2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1919.9999999999945</v>
      </c>
      <c r="N17" s="17">
        <f t="shared" si="3"/>
        <v>127.99999999999963</v>
      </c>
      <c r="O17" s="19">
        <f t="shared" si="4"/>
        <v>0</v>
      </c>
      <c r="P17" s="20">
        <f t="shared" si="5"/>
        <v>-5.3333333333337123</v>
      </c>
      <c r="Q17" s="21">
        <f t="shared" si="6"/>
        <v>0.95999999999999719</v>
      </c>
      <c r="R17" s="172"/>
      <c r="S17" s="28">
        <v>0.76875000000000004</v>
      </c>
      <c r="T17" s="28">
        <v>0.7861111111111112</v>
      </c>
      <c r="U17" s="4">
        <f t="shared" si="18"/>
        <v>7.9999999999999716</v>
      </c>
      <c r="V17" s="22">
        <f t="shared" si="17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-80.000000000005457</v>
      </c>
      <c r="AF17" s="21">
        <f t="shared" si="9"/>
        <v>0.9599999999999973</v>
      </c>
      <c r="AG17" s="172"/>
    </row>
    <row r="18" spans="1:33" ht="16.5" customHeight="1">
      <c r="A18" s="199" t="s">
        <v>1654</v>
      </c>
      <c r="B18" s="4" t="s">
        <v>78</v>
      </c>
      <c r="C18" s="190" t="s">
        <v>98</v>
      </c>
      <c r="D18" s="190"/>
      <c r="E18" s="37">
        <v>50.67</v>
      </c>
      <c r="F18" s="4">
        <v>912</v>
      </c>
      <c r="G18" s="4">
        <f t="shared" si="15"/>
        <v>46211.040000000001</v>
      </c>
      <c r="H18" s="22" t="s">
        <v>139</v>
      </c>
      <c r="I18" s="16">
        <v>16</v>
      </c>
      <c r="J18" s="18">
        <v>2000</v>
      </c>
      <c r="K18" s="17">
        <f t="shared" si="1"/>
        <v>125</v>
      </c>
      <c r="L18" s="16">
        <v>16</v>
      </c>
      <c r="M18" s="18">
        <f t="shared" si="16"/>
        <v>1954.2857142857099</v>
      </c>
      <c r="N18" s="17">
        <f t="shared" si="3"/>
        <v>122.14285714285687</v>
      </c>
      <c r="O18" s="19">
        <f t="shared" si="4"/>
        <v>0</v>
      </c>
      <c r="P18" s="20">
        <f t="shared" si="5"/>
        <v>-2.8571428571431312</v>
      </c>
      <c r="Q18" s="21">
        <f t="shared" si="6"/>
        <v>0.97714285714285498</v>
      </c>
      <c r="R18" s="172"/>
      <c r="S18" s="28">
        <v>0.79027777777777786</v>
      </c>
      <c r="T18" s="28">
        <v>0.80972222222222234</v>
      </c>
      <c r="U18" s="4">
        <f t="shared" si="18"/>
        <v>5.9999999999999787</v>
      </c>
      <c r="V18" s="22">
        <f t="shared" si="17"/>
        <v>28.00000000000006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-45.714285714290099</v>
      </c>
      <c r="AF18" s="21">
        <f t="shared" si="9"/>
        <v>0.97714285714285498</v>
      </c>
      <c r="AG18" s="172"/>
    </row>
    <row r="19" spans="1:33" ht="16.5" customHeight="1">
      <c r="A19" s="199" t="s">
        <v>1654</v>
      </c>
      <c r="B19" s="4" t="s">
        <v>78</v>
      </c>
      <c r="C19" s="217" t="s">
        <v>93</v>
      </c>
      <c r="D19" s="218"/>
      <c r="E19" s="37">
        <v>50.67</v>
      </c>
      <c r="F19" s="4">
        <v>1293</v>
      </c>
      <c r="G19" s="4">
        <f t="shared" si="15"/>
        <v>65516.310000000005</v>
      </c>
      <c r="H19" s="22" t="s">
        <v>139</v>
      </c>
      <c r="I19" s="16">
        <v>15</v>
      </c>
      <c r="J19" s="18">
        <v>2000</v>
      </c>
      <c r="K19" s="17">
        <f t="shared" si="1"/>
        <v>133.33333333333334</v>
      </c>
      <c r="L19" s="16">
        <v>15</v>
      </c>
      <c r="M19" s="18">
        <f t="shared" si="16"/>
        <v>1939.4999999999993</v>
      </c>
      <c r="N19" s="17">
        <f t="shared" si="3"/>
        <v>129.29999999999995</v>
      </c>
      <c r="O19" s="19">
        <f t="shared" si="4"/>
        <v>0</v>
      </c>
      <c r="P19" s="20">
        <f t="shared" si="5"/>
        <v>-4.0333333333333883</v>
      </c>
      <c r="Q19" s="21">
        <f t="shared" si="6"/>
        <v>0.96974999999999956</v>
      </c>
      <c r="R19" s="172"/>
      <c r="S19" s="28">
        <v>0.81458333333333344</v>
      </c>
      <c r="T19" s="28">
        <v>0.84236111111111123</v>
      </c>
      <c r="U19" s="4">
        <f t="shared" si="18"/>
        <v>6.9999999999999751</v>
      </c>
      <c r="V19" s="22">
        <f t="shared" si="17"/>
        <v>40.000000000000014</v>
      </c>
      <c r="W19" s="23"/>
      <c r="X19" s="23"/>
      <c r="Y19" s="26"/>
      <c r="Z19" s="26"/>
      <c r="AA19" s="175"/>
      <c r="AB19" s="176"/>
      <c r="AC19" s="25"/>
      <c r="AD19" s="25"/>
      <c r="AE19" s="19">
        <f t="shared" si="8"/>
        <v>-60.500000000000682</v>
      </c>
      <c r="AF19" s="21">
        <f t="shared" si="9"/>
        <v>0.96974999999999967</v>
      </c>
      <c r="AG19" s="172"/>
    </row>
    <row r="20" spans="1:33" ht="16.5" customHeight="1">
      <c r="A20" s="199" t="s">
        <v>1654</v>
      </c>
      <c r="B20" s="37" t="s">
        <v>1652</v>
      </c>
      <c r="C20" s="177"/>
      <c r="D20" s="177"/>
      <c r="E20" s="38"/>
      <c r="F20" s="17"/>
      <c r="G20" s="17"/>
      <c r="H20" s="4"/>
      <c r="I20" s="30">
        <v>17.666666666666668</v>
      </c>
      <c r="J20" s="18">
        <v>1833.3333333333333</v>
      </c>
      <c r="K20" s="17">
        <f t="shared" si="1"/>
        <v>103.77358490566037</v>
      </c>
      <c r="L20" s="30">
        <v>17.666666666666668</v>
      </c>
      <c r="M20" s="18">
        <f>AVERAGE(M14:M19)</f>
        <v>1768.7191895085464</v>
      </c>
      <c r="N20" s="17">
        <f t="shared" si="3"/>
        <v>100.1161805382196</v>
      </c>
      <c r="O20" s="19">
        <f t="shared" si="4"/>
        <v>0</v>
      </c>
      <c r="P20" s="20">
        <f t="shared" si="5"/>
        <v>-3.6574043674407761</v>
      </c>
      <c r="Q20" s="21">
        <f t="shared" si="6"/>
        <v>0.96475592155011614</v>
      </c>
      <c r="R20" s="172"/>
      <c r="S20" s="28"/>
      <c r="T20" s="28"/>
      <c r="U20" s="4"/>
      <c r="V20" s="22"/>
      <c r="W20" s="17"/>
      <c r="X20" s="17"/>
      <c r="Y20" s="31">
        <f>SUM(Y14:Y19)</f>
        <v>0</v>
      </c>
      <c r="Z20" s="31">
        <f>SUM(Z14:Z19)</f>
        <v>0</v>
      </c>
      <c r="AA20" s="168"/>
      <c r="AB20" s="168"/>
      <c r="AC20" s="31">
        <f>SUM(AC14:AC19)</f>
        <v>6</v>
      </c>
      <c r="AD20" s="31">
        <f>SUM(AD14:AD19)</f>
        <v>0</v>
      </c>
      <c r="AE20" s="19">
        <f t="shared" si="8"/>
        <v>-64.614143824786879</v>
      </c>
      <c r="AF20" s="21">
        <f t="shared" si="9"/>
        <v>0.96475592155011625</v>
      </c>
      <c r="AG20" s="172"/>
    </row>
    <row r="21" spans="1:33" ht="15.75" customHeight="1">
      <c r="A21" s="194" t="s">
        <v>1655</v>
      </c>
      <c r="B21" s="37" t="s">
        <v>78</v>
      </c>
      <c r="C21" s="190" t="s">
        <v>95</v>
      </c>
      <c r="D21" s="190"/>
      <c r="E21" s="37">
        <v>57.73</v>
      </c>
      <c r="F21" s="4">
        <v>2168</v>
      </c>
      <c r="G21" s="4">
        <f t="shared" ref="G21:G26" si="19">E21*F21</f>
        <v>125158.64</v>
      </c>
      <c r="H21" s="22" t="s">
        <v>139</v>
      </c>
      <c r="I21" s="16">
        <v>14</v>
      </c>
      <c r="J21" s="18">
        <v>2000</v>
      </c>
      <c r="K21" s="17">
        <f t="shared" si="1"/>
        <v>142.85714285714286</v>
      </c>
      <c r="L21" s="16">
        <v>14</v>
      </c>
      <c r="M21" s="18">
        <f t="shared" ref="M21:M26" si="20">F21/V21*60</f>
        <v>1912.9411764705897</v>
      </c>
      <c r="N21" s="17">
        <f t="shared" si="3"/>
        <v>136.63865546218497</v>
      </c>
      <c r="O21" s="19">
        <f t="shared" si="4"/>
        <v>0</v>
      </c>
      <c r="P21" s="20">
        <f t="shared" si="5"/>
        <v>-6.21848739495789</v>
      </c>
      <c r="Q21" s="21">
        <f t="shared" si="6"/>
        <v>0.95647058823529474</v>
      </c>
      <c r="R21" s="172">
        <f>Q27</f>
        <v>0.95969233427801248</v>
      </c>
      <c r="S21" s="28">
        <v>0.20833333333333334</v>
      </c>
      <c r="T21" s="28">
        <v>0.25555555555555554</v>
      </c>
      <c r="U21" s="4"/>
      <c r="V21" s="22">
        <f t="shared" ref="V21:V26" si="21">(T21-S21)*24*60</f>
        <v>67.999999999999957</v>
      </c>
      <c r="W21" s="28"/>
      <c r="X21" s="28"/>
      <c r="Y21" s="28"/>
      <c r="Z21" s="28"/>
      <c r="AA21" s="164"/>
      <c r="AB21" s="164"/>
      <c r="AC21" s="25">
        <v>6</v>
      </c>
      <c r="AD21" s="25"/>
      <c r="AE21" s="19">
        <f t="shared" si="8"/>
        <v>-87.058823529410347</v>
      </c>
      <c r="AF21" s="21">
        <f t="shared" si="9"/>
        <v>0.95647058823529485</v>
      </c>
      <c r="AG21" s="172">
        <f>AF27</f>
        <v>0.95969233427801248</v>
      </c>
    </row>
    <row r="22" spans="1:33" ht="15.75" customHeight="1">
      <c r="A22" s="195" t="s">
        <v>1655</v>
      </c>
      <c r="B22" s="37" t="s">
        <v>78</v>
      </c>
      <c r="C22" s="190" t="s">
        <v>96</v>
      </c>
      <c r="D22" s="190"/>
      <c r="E22" s="37">
        <v>53.68</v>
      </c>
      <c r="F22" s="4">
        <v>1287</v>
      </c>
      <c r="G22" s="4">
        <f t="shared" si="19"/>
        <v>69086.16</v>
      </c>
      <c r="H22" s="22" t="s">
        <v>139</v>
      </c>
      <c r="I22" s="16">
        <v>16</v>
      </c>
      <c r="J22" s="18">
        <v>2000</v>
      </c>
      <c r="K22" s="17">
        <f t="shared" si="1"/>
        <v>125</v>
      </c>
      <c r="L22" s="16">
        <v>16</v>
      </c>
      <c r="M22" s="18">
        <f t="shared" si="20"/>
        <v>1930.4999999999993</v>
      </c>
      <c r="N22" s="17">
        <f t="shared" si="3"/>
        <v>120.65624999999996</v>
      </c>
      <c r="O22" s="19">
        <f t="shared" si="4"/>
        <v>0</v>
      </c>
      <c r="P22" s="20">
        <f t="shared" si="5"/>
        <v>-4.3437500000000426</v>
      </c>
      <c r="Q22" s="21">
        <f t="shared" si="6"/>
        <v>0.96524999999999961</v>
      </c>
      <c r="R22" s="172"/>
      <c r="S22" s="28">
        <v>0.25902777777777775</v>
      </c>
      <c r="T22" s="28">
        <v>0.28680555555555554</v>
      </c>
      <c r="U22" s="4">
        <f t="shared" ref="U22:U26" si="22">IF(S22=TIME(17,0,0),"",(S22-T21)*24*60)</f>
        <v>4.9999999999999822</v>
      </c>
      <c r="V22" s="22">
        <f t="shared" si="21"/>
        <v>40.000000000000014</v>
      </c>
      <c r="W22" s="23"/>
      <c r="X22" s="4"/>
      <c r="Y22" s="4"/>
      <c r="Z22" s="4"/>
      <c r="AA22" s="164"/>
      <c r="AB22" s="164"/>
      <c r="AC22" s="25"/>
      <c r="AD22" s="25"/>
      <c r="AE22" s="19">
        <f t="shared" si="8"/>
        <v>-69.500000000000682</v>
      </c>
      <c r="AF22" s="21">
        <f t="shared" si="9"/>
        <v>0.96524999999999961</v>
      </c>
      <c r="AG22" s="172"/>
    </row>
    <row r="23" spans="1:33" ht="15.75" customHeight="1">
      <c r="A23" s="195" t="s">
        <v>1655</v>
      </c>
      <c r="B23" s="37" t="s">
        <v>78</v>
      </c>
      <c r="C23" s="190" t="s">
        <v>97</v>
      </c>
      <c r="D23" s="190"/>
      <c r="E23" s="37">
        <v>50.49</v>
      </c>
      <c r="F23" s="4">
        <v>1697</v>
      </c>
      <c r="G23" s="4">
        <f t="shared" si="19"/>
        <v>85681.53</v>
      </c>
      <c r="H23" s="22" t="s">
        <v>139</v>
      </c>
      <c r="I23" s="16">
        <v>15</v>
      </c>
      <c r="J23" s="18">
        <v>2000</v>
      </c>
      <c r="K23" s="17">
        <f t="shared" si="1"/>
        <v>133.33333333333334</v>
      </c>
      <c r="L23" s="16">
        <v>15</v>
      </c>
      <c r="M23" s="18">
        <f t="shared" si="20"/>
        <v>1921.1320754716994</v>
      </c>
      <c r="N23" s="17">
        <f t="shared" si="3"/>
        <v>128.07547169811329</v>
      </c>
      <c r="O23" s="19">
        <f t="shared" si="4"/>
        <v>0</v>
      </c>
      <c r="P23" s="20">
        <f t="shared" si="5"/>
        <v>-5.2578616352200527</v>
      </c>
      <c r="Q23" s="21">
        <f t="shared" si="6"/>
        <v>0.96056603773584959</v>
      </c>
      <c r="R23" s="172"/>
      <c r="S23" s="28">
        <v>0.70833333333333337</v>
      </c>
      <c r="T23" s="28">
        <v>0.74513888888888891</v>
      </c>
      <c r="U23" s="4" t="str">
        <f t="shared" si="22"/>
        <v/>
      </c>
      <c r="V23" s="22">
        <f t="shared" si="21"/>
        <v>52.999999999999972</v>
      </c>
      <c r="W23" s="23"/>
      <c r="X23" s="4"/>
      <c r="Y23" s="4"/>
      <c r="Z23" s="4"/>
      <c r="AA23" s="164"/>
      <c r="AB23" s="164"/>
      <c r="AC23" s="25"/>
      <c r="AD23" s="25"/>
      <c r="AE23" s="19">
        <f t="shared" si="8"/>
        <v>-78.867924528300591</v>
      </c>
      <c r="AF23" s="21">
        <f t="shared" si="9"/>
        <v>0.9605660377358497</v>
      </c>
      <c r="AG23" s="172"/>
    </row>
    <row r="24" spans="1:33" ht="15.75" customHeight="1">
      <c r="A24" s="195" t="s">
        <v>1655</v>
      </c>
      <c r="B24" s="37" t="s">
        <v>78</v>
      </c>
      <c r="C24" s="190" t="s">
        <v>94</v>
      </c>
      <c r="D24" s="190"/>
      <c r="E24" s="37">
        <v>57.3</v>
      </c>
      <c r="F24" s="4">
        <v>1624</v>
      </c>
      <c r="G24" s="4">
        <f t="shared" si="19"/>
        <v>93055.2</v>
      </c>
      <c r="H24" s="22" t="s">
        <v>139</v>
      </c>
      <c r="I24" s="16">
        <v>13</v>
      </c>
      <c r="J24" s="18">
        <v>2000</v>
      </c>
      <c r="K24" s="17">
        <f t="shared" si="1"/>
        <v>153.84615384615384</v>
      </c>
      <c r="L24" s="16">
        <v>13</v>
      </c>
      <c r="M24" s="18">
        <f t="shared" si="20"/>
        <v>1910.5882352941185</v>
      </c>
      <c r="N24" s="17">
        <f t="shared" si="3"/>
        <v>146.96832579185528</v>
      </c>
      <c r="O24" s="19">
        <f t="shared" si="4"/>
        <v>0</v>
      </c>
      <c r="P24" s="20">
        <f t="shared" si="5"/>
        <v>-6.8778280542985613</v>
      </c>
      <c r="Q24" s="21">
        <f t="shared" si="6"/>
        <v>0.9552941176470594</v>
      </c>
      <c r="R24" s="172"/>
      <c r="S24" s="28">
        <v>0.74861111111111112</v>
      </c>
      <c r="T24" s="28">
        <v>0.78402777777777777</v>
      </c>
      <c r="U24" s="4">
        <f t="shared" si="22"/>
        <v>4.9999999999999822</v>
      </c>
      <c r="V24" s="22">
        <f t="shared" si="21"/>
        <v>50.999999999999979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-89.411764705881524</v>
      </c>
      <c r="AF24" s="21">
        <f t="shared" si="9"/>
        <v>0.95529411764705929</v>
      </c>
      <c r="AG24" s="172"/>
    </row>
    <row r="25" spans="1:33" ht="15.75" customHeight="1">
      <c r="A25" s="195" t="s">
        <v>1655</v>
      </c>
      <c r="B25" s="37" t="s">
        <v>78</v>
      </c>
      <c r="C25" s="190" t="s">
        <v>99</v>
      </c>
      <c r="D25" s="190"/>
      <c r="E25" s="37">
        <v>53.68</v>
      </c>
      <c r="F25" s="4">
        <v>1779</v>
      </c>
      <c r="G25" s="4">
        <f t="shared" si="19"/>
        <v>95496.72</v>
      </c>
      <c r="H25" s="22" t="s">
        <v>139</v>
      </c>
      <c r="I25" s="16">
        <v>16</v>
      </c>
      <c r="J25" s="18">
        <v>1500</v>
      </c>
      <c r="K25" s="17">
        <f t="shared" si="1"/>
        <v>93.75</v>
      </c>
      <c r="L25" s="16">
        <v>16</v>
      </c>
      <c r="M25" s="18">
        <f t="shared" si="20"/>
        <v>1442.4324324324314</v>
      </c>
      <c r="N25" s="17">
        <f t="shared" si="3"/>
        <v>90.152027027026961</v>
      </c>
      <c r="O25" s="19">
        <f t="shared" si="4"/>
        <v>0</v>
      </c>
      <c r="P25" s="20">
        <f t="shared" si="5"/>
        <v>-3.5979729729730394</v>
      </c>
      <c r="Q25" s="21">
        <f t="shared" si="6"/>
        <v>0.9616216216216209</v>
      </c>
      <c r="R25" s="172"/>
      <c r="S25" s="28">
        <v>0.7895833333333333</v>
      </c>
      <c r="T25" s="28">
        <v>0.84097222222222223</v>
      </c>
      <c r="U25" s="4">
        <f t="shared" si="22"/>
        <v>7.9999999999999716</v>
      </c>
      <c r="V25" s="22">
        <f t="shared" si="21"/>
        <v>74.000000000000057</v>
      </c>
      <c r="W25" s="23">
        <f>T25</f>
        <v>0.84097222222222223</v>
      </c>
      <c r="X25" s="23">
        <f>S26</f>
        <v>0.88124999999999998</v>
      </c>
      <c r="Y25" s="4"/>
      <c r="Z25" s="4"/>
      <c r="AA25" s="164"/>
      <c r="AB25" s="164"/>
      <c r="AC25" s="25"/>
      <c r="AD25" s="25"/>
      <c r="AE25" s="19">
        <f t="shared" si="8"/>
        <v>-57.567567567568631</v>
      </c>
      <c r="AF25" s="21">
        <f t="shared" si="9"/>
        <v>0.9616216216216209</v>
      </c>
      <c r="AG25" s="172"/>
    </row>
    <row r="26" spans="1:33" ht="15.75" customHeight="1">
      <c r="A26" s="195" t="s">
        <v>1655</v>
      </c>
      <c r="B26" s="37" t="s">
        <v>78</v>
      </c>
      <c r="C26" s="190" t="s">
        <v>92</v>
      </c>
      <c r="D26" s="190"/>
      <c r="E26" s="37">
        <v>50.92</v>
      </c>
      <c r="F26" s="4">
        <v>1695</v>
      </c>
      <c r="G26" s="4">
        <f t="shared" si="19"/>
        <v>86309.400000000009</v>
      </c>
      <c r="H26" s="22" t="s">
        <v>139</v>
      </c>
      <c r="I26" s="16">
        <v>15</v>
      </c>
      <c r="J26" s="18">
        <v>2000</v>
      </c>
      <c r="K26" s="17">
        <f t="shared" si="1"/>
        <v>133.33333333333334</v>
      </c>
      <c r="L26" s="16">
        <v>15</v>
      </c>
      <c r="M26" s="18">
        <f t="shared" si="20"/>
        <v>1918.8679245283031</v>
      </c>
      <c r="N26" s="17">
        <f t="shared" si="3"/>
        <v>127.92452830188687</v>
      </c>
      <c r="O26" s="19">
        <f t="shared" si="4"/>
        <v>0</v>
      </c>
      <c r="P26" s="20">
        <f t="shared" si="5"/>
        <v>-5.4088050314464766</v>
      </c>
      <c r="Q26" s="21">
        <f t="shared" si="6"/>
        <v>0.95943396226415145</v>
      </c>
      <c r="R26" s="172"/>
      <c r="S26" s="28">
        <v>0.88124999999999998</v>
      </c>
      <c r="T26" s="28">
        <v>0.91805555555555551</v>
      </c>
      <c r="U26" s="4">
        <f t="shared" si="22"/>
        <v>57.999999999999957</v>
      </c>
      <c r="V26" s="22">
        <f t="shared" si="21"/>
        <v>52.999999999999972</v>
      </c>
      <c r="W26" s="23"/>
      <c r="X26" s="28"/>
      <c r="Y26" s="28"/>
      <c r="Z26" s="28"/>
      <c r="AA26" s="164"/>
      <c r="AB26" s="164"/>
      <c r="AC26" s="25"/>
      <c r="AD26" s="25"/>
      <c r="AE26" s="19">
        <f t="shared" si="8"/>
        <v>-81.132075471696908</v>
      </c>
      <c r="AF26" s="21">
        <f t="shared" si="9"/>
        <v>0.95943396226415156</v>
      </c>
      <c r="AG26" s="172"/>
    </row>
    <row r="27" spans="1:33" ht="15.75" customHeight="1">
      <c r="A27" s="195" t="s">
        <v>1655</v>
      </c>
      <c r="B27" s="37" t="s">
        <v>1656</v>
      </c>
      <c r="C27" s="177"/>
      <c r="D27" s="177"/>
      <c r="E27" s="38"/>
      <c r="F27" s="4"/>
      <c r="G27" s="4"/>
      <c r="H27" s="4"/>
      <c r="I27" s="30">
        <v>14.833333333333334</v>
      </c>
      <c r="J27" s="18">
        <v>1916.6666666666667</v>
      </c>
      <c r="K27" s="17">
        <f t="shared" si="1"/>
        <v>129.2134831460674</v>
      </c>
      <c r="L27" s="30">
        <v>14.833333333333334</v>
      </c>
      <c r="M27" s="18">
        <f>AVERAGE(M21:M26)</f>
        <v>1839.4103073661906</v>
      </c>
      <c r="N27" s="17">
        <f t="shared" si="3"/>
        <v>124.00518926064206</v>
      </c>
      <c r="O27" s="19">
        <f t="shared" si="4"/>
        <v>0</v>
      </c>
      <c r="P27" s="20">
        <f t="shared" si="5"/>
        <v>-5.2082938854253484</v>
      </c>
      <c r="Q27" s="21">
        <f t="shared" si="6"/>
        <v>0.95969233427801248</v>
      </c>
      <c r="R27" s="172"/>
      <c r="S27" s="28"/>
      <c r="T27" s="28"/>
      <c r="U27" s="17"/>
      <c r="V27" s="22"/>
      <c r="W27" s="17"/>
      <c r="X27" s="17"/>
      <c r="Y27" s="31">
        <f>SUM(Y21:Y26)</f>
        <v>0</v>
      </c>
      <c r="Z27" s="31">
        <f>SUM(Z21:Z26)</f>
        <v>0</v>
      </c>
      <c r="AA27" s="168"/>
      <c r="AB27" s="168"/>
      <c r="AC27" s="31">
        <f>SUM(AC21:AC26)</f>
        <v>6</v>
      </c>
      <c r="AD27" s="31">
        <f>SUM(AD21:AD26)</f>
        <v>0</v>
      </c>
      <c r="AE27" s="19">
        <f t="shared" si="8"/>
        <v>-77.256359300476106</v>
      </c>
      <c r="AF27" s="21">
        <f t="shared" si="9"/>
        <v>0.95969233427801248</v>
      </c>
      <c r="AG27" s="172"/>
    </row>
    <row r="28" spans="1:33" ht="15.75" customHeight="1">
      <c r="A28" s="193" t="s">
        <v>1657</v>
      </c>
      <c r="B28" s="37" t="s">
        <v>100</v>
      </c>
      <c r="C28" s="190" t="s">
        <v>101</v>
      </c>
      <c r="D28" s="190"/>
      <c r="E28" s="37">
        <v>31.29</v>
      </c>
      <c r="F28" s="4">
        <v>7422</v>
      </c>
      <c r="G28" s="4">
        <f t="shared" ref="G28:G32" si="23">E28*F28</f>
        <v>232234.38</v>
      </c>
      <c r="H28" s="22" t="s">
        <v>139</v>
      </c>
      <c r="I28" s="16">
        <v>18</v>
      </c>
      <c r="J28" s="18">
        <v>2400</v>
      </c>
      <c r="K28" s="17">
        <f t="shared" si="1"/>
        <v>133.33333333333334</v>
      </c>
      <c r="L28" s="16">
        <v>18</v>
      </c>
      <c r="M28" s="18">
        <f t="shared" ref="M28:M32" si="24">F28/V28*60</f>
        <v>2283.6923076923085</v>
      </c>
      <c r="N28" s="17">
        <f t="shared" si="3"/>
        <v>126.87179487179492</v>
      </c>
      <c r="O28" s="19">
        <f t="shared" si="4"/>
        <v>0</v>
      </c>
      <c r="P28" s="20">
        <f t="shared" si="5"/>
        <v>-6.4615384615384244</v>
      </c>
      <c r="Q28" s="21">
        <f t="shared" si="6"/>
        <v>0.95153846153846178</v>
      </c>
      <c r="R28" s="172">
        <f>Q33</f>
        <v>0.95677131767826473</v>
      </c>
      <c r="S28" s="28">
        <v>0.125</v>
      </c>
      <c r="T28" s="28">
        <v>0.26041666666666663</v>
      </c>
      <c r="U28" s="4"/>
      <c r="V28" s="22">
        <f t="shared" ref="V28:V32" si="25">(T28-S28)*24*60</f>
        <v>194.99999999999994</v>
      </c>
      <c r="W28" s="23">
        <f>T28</f>
        <v>0.26041666666666663</v>
      </c>
      <c r="X28" s="23">
        <f>S29</f>
        <v>0.27986111111111106</v>
      </c>
      <c r="Y28" s="23"/>
      <c r="Z28" s="23"/>
      <c r="AA28" s="164"/>
      <c r="AB28" s="164"/>
      <c r="AC28" s="25">
        <v>5</v>
      </c>
      <c r="AD28" s="25"/>
      <c r="AE28" s="19">
        <f t="shared" si="8"/>
        <v>-116.30769230769147</v>
      </c>
      <c r="AF28" s="21">
        <f t="shared" si="9"/>
        <v>0.95153846153846189</v>
      </c>
      <c r="AG28" s="172">
        <f>AF33</f>
        <v>0.95677131767826473</v>
      </c>
    </row>
    <row r="29" spans="1:33" ht="15.75" customHeight="1">
      <c r="A29" s="193" t="s">
        <v>1657</v>
      </c>
      <c r="B29" s="37" t="s">
        <v>100</v>
      </c>
      <c r="C29" s="190" t="s">
        <v>105</v>
      </c>
      <c r="D29" s="190"/>
      <c r="E29" s="37">
        <v>25.98</v>
      </c>
      <c r="F29" s="4">
        <v>2225</v>
      </c>
      <c r="G29" s="4">
        <f t="shared" si="23"/>
        <v>57805.5</v>
      </c>
      <c r="H29" s="22" t="s">
        <v>139</v>
      </c>
      <c r="I29" s="16">
        <v>21</v>
      </c>
      <c r="J29" s="18">
        <v>2400</v>
      </c>
      <c r="K29" s="17">
        <f t="shared" si="1"/>
        <v>114.28571428571429</v>
      </c>
      <c r="L29" s="16">
        <v>21</v>
      </c>
      <c r="M29" s="18">
        <f t="shared" si="24"/>
        <v>2301.7241379310331</v>
      </c>
      <c r="N29" s="17">
        <f t="shared" si="3"/>
        <v>109.6059113300492</v>
      </c>
      <c r="O29" s="19">
        <f t="shared" si="4"/>
        <v>0</v>
      </c>
      <c r="P29" s="20">
        <f t="shared" si="5"/>
        <v>-4.679802955665096</v>
      </c>
      <c r="Q29" s="21">
        <f t="shared" si="6"/>
        <v>0.95905172413793038</v>
      </c>
      <c r="R29" s="172"/>
      <c r="S29" s="28">
        <v>0.27986111111111106</v>
      </c>
      <c r="T29" s="28">
        <v>0.32013888888888886</v>
      </c>
      <c r="U29" s="4">
        <f t="shared" ref="U29:U32" si="26">(S29-T28)*24*60</f>
        <v>27.999999999999979</v>
      </c>
      <c r="V29" s="22">
        <f t="shared" si="25"/>
        <v>58.000000000000036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8"/>
        <v>-98.275862068966944</v>
      </c>
      <c r="AF29" s="21">
        <f t="shared" si="9"/>
        <v>0.95905172413793049</v>
      </c>
      <c r="AG29" s="172"/>
    </row>
    <row r="30" spans="1:33" ht="15.75" customHeight="1">
      <c r="A30" s="193" t="s">
        <v>1657</v>
      </c>
      <c r="B30" s="37" t="s">
        <v>100</v>
      </c>
      <c r="C30" s="190" t="s">
        <v>102</v>
      </c>
      <c r="D30" s="190"/>
      <c r="E30" s="37">
        <v>26.2</v>
      </c>
      <c r="F30" s="4">
        <v>3974</v>
      </c>
      <c r="G30" s="4">
        <f t="shared" si="23"/>
        <v>104118.8</v>
      </c>
      <c r="H30" s="22" t="s">
        <v>139</v>
      </c>
      <c r="I30" s="16">
        <v>20</v>
      </c>
      <c r="J30" s="18">
        <v>2400</v>
      </c>
      <c r="K30" s="17">
        <f t="shared" si="1"/>
        <v>120</v>
      </c>
      <c r="L30" s="16">
        <v>20</v>
      </c>
      <c r="M30" s="18">
        <f t="shared" si="24"/>
        <v>2292.6923076923072</v>
      </c>
      <c r="N30" s="17">
        <f t="shared" si="3"/>
        <v>114.63461538461536</v>
      </c>
      <c r="O30" s="19">
        <f t="shared" si="4"/>
        <v>0</v>
      </c>
      <c r="P30" s="20">
        <f t="shared" si="5"/>
        <v>-5.3653846153846416</v>
      </c>
      <c r="Q30" s="21">
        <f t="shared" si="6"/>
        <v>0.95528846153846136</v>
      </c>
      <c r="R30" s="172"/>
      <c r="S30" s="28">
        <v>0.32361111111111107</v>
      </c>
      <c r="T30" s="28">
        <v>0.39583333333333331</v>
      </c>
      <c r="U30" s="4">
        <f t="shared" si="26"/>
        <v>4.9999999999999822</v>
      </c>
      <c r="V30" s="22">
        <f t="shared" si="25"/>
        <v>104.00000000000003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8"/>
        <v>-107.30769230769283</v>
      </c>
      <c r="AF30" s="21">
        <f t="shared" si="9"/>
        <v>0.95528846153846136</v>
      </c>
      <c r="AG30" s="172"/>
    </row>
    <row r="31" spans="1:33" ht="15.75" customHeight="1">
      <c r="A31" s="193" t="s">
        <v>1657</v>
      </c>
      <c r="B31" s="37" t="s">
        <v>100</v>
      </c>
      <c r="C31" s="190" t="s">
        <v>103</v>
      </c>
      <c r="D31" s="190"/>
      <c r="E31" s="37">
        <v>25.99</v>
      </c>
      <c r="F31" s="4">
        <v>3255</v>
      </c>
      <c r="G31" s="4">
        <f t="shared" si="23"/>
        <v>84597.45</v>
      </c>
      <c r="H31" s="22" t="s">
        <v>139</v>
      </c>
      <c r="I31" s="16">
        <v>14</v>
      </c>
      <c r="J31" s="18">
        <v>2400</v>
      </c>
      <c r="K31" s="17">
        <f t="shared" si="1"/>
        <v>171.42857142857142</v>
      </c>
      <c r="L31" s="16">
        <v>14</v>
      </c>
      <c r="M31" s="18">
        <f t="shared" si="24"/>
        <v>2297.6470588235293</v>
      </c>
      <c r="N31" s="17">
        <f t="shared" si="3"/>
        <v>164.11764705882351</v>
      </c>
      <c r="O31" s="19">
        <f t="shared" si="4"/>
        <v>0</v>
      </c>
      <c r="P31" s="20">
        <f t="shared" si="5"/>
        <v>-7.3109243697479087</v>
      </c>
      <c r="Q31" s="21">
        <f t="shared" si="6"/>
        <v>0.95735294117647052</v>
      </c>
      <c r="R31" s="172"/>
      <c r="S31" s="28">
        <v>0.39930555555555552</v>
      </c>
      <c r="T31" s="28">
        <v>0.45833333333333331</v>
      </c>
      <c r="U31" s="4">
        <f t="shared" si="26"/>
        <v>4.9999999999999822</v>
      </c>
      <c r="V31" s="22">
        <f t="shared" si="25"/>
        <v>85.000000000000014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8"/>
        <v>-102.35294117647072</v>
      </c>
      <c r="AF31" s="21">
        <f t="shared" si="9"/>
        <v>0.95735294117647052</v>
      </c>
      <c r="AG31" s="172"/>
    </row>
    <row r="32" spans="1:33" ht="15.75" customHeight="1">
      <c r="A32" s="193" t="s">
        <v>1657</v>
      </c>
      <c r="B32" s="37" t="s">
        <v>100</v>
      </c>
      <c r="C32" s="190" t="s">
        <v>107</v>
      </c>
      <c r="D32" s="190"/>
      <c r="E32" s="37">
        <v>26.18</v>
      </c>
      <c r="F32" s="4">
        <v>1537</v>
      </c>
      <c r="G32" s="4">
        <f t="shared" si="23"/>
        <v>40238.659999999996</v>
      </c>
      <c r="H32" s="22" t="s">
        <v>139</v>
      </c>
      <c r="I32" s="16">
        <v>19</v>
      </c>
      <c r="J32" s="18">
        <v>2400</v>
      </c>
      <c r="K32" s="17">
        <f t="shared" si="1"/>
        <v>126.31578947368421</v>
      </c>
      <c r="L32" s="16">
        <v>19</v>
      </c>
      <c r="M32" s="18">
        <f t="shared" si="24"/>
        <v>2305.4999999999991</v>
      </c>
      <c r="N32" s="17">
        <f t="shared" si="3"/>
        <v>121.34210526315785</v>
      </c>
      <c r="O32" s="19">
        <f t="shared" si="4"/>
        <v>0</v>
      </c>
      <c r="P32" s="20">
        <f t="shared" si="5"/>
        <v>-4.9736842105263577</v>
      </c>
      <c r="Q32" s="21">
        <f t="shared" si="6"/>
        <v>0.96062499999999962</v>
      </c>
      <c r="R32" s="172"/>
      <c r="S32" s="28">
        <v>0.46388888888888885</v>
      </c>
      <c r="T32" s="28">
        <v>0.49166666666666664</v>
      </c>
      <c r="U32" s="4">
        <f t="shared" si="26"/>
        <v>7.9999999999999716</v>
      </c>
      <c r="V32" s="22">
        <f t="shared" si="25"/>
        <v>40.000000000000014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8"/>
        <v>-94.500000000000909</v>
      </c>
      <c r="AF32" s="21">
        <f t="shared" si="9"/>
        <v>0.96062499999999962</v>
      </c>
      <c r="AG32" s="172"/>
    </row>
    <row r="33" spans="1:33" ht="15.75" customHeight="1">
      <c r="A33" s="193" t="s">
        <v>1657</v>
      </c>
      <c r="B33" s="37" t="s">
        <v>1658</v>
      </c>
      <c r="C33" s="177"/>
      <c r="D33" s="177"/>
      <c r="E33" s="38"/>
      <c r="F33" s="4"/>
      <c r="G33" s="4"/>
      <c r="H33" s="4"/>
      <c r="I33" s="30">
        <v>18.399999999999999</v>
      </c>
      <c r="J33" s="18">
        <v>2400</v>
      </c>
      <c r="K33" s="17">
        <f t="shared" si="1"/>
        <v>130.43478260869566</v>
      </c>
      <c r="L33" s="30">
        <v>18.399999999999999</v>
      </c>
      <c r="M33" s="18">
        <f>AVERAGE(M28:M32)</f>
        <v>2296.2511624278354</v>
      </c>
      <c r="N33" s="17">
        <f t="shared" si="3"/>
        <v>124.79625882759976</v>
      </c>
      <c r="O33" s="19">
        <f t="shared" si="4"/>
        <v>0</v>
      </c>
      <c r="P33" s="20">
        <f t="shared" si="5"/>
        <v>-5.6385237810958984</v>
      </c>
      <c r="Q33" s="21">
        <f t="shared" si="6"/>
        <v>0.95677131767826473</v>
      </c>
      <c r="R33" s="172"/>
      <c r="S33" s="28"/>
      <c r="T33" s="28"/>
      <c r="U33" s="4"/>
      <c r="V33" s="22"/>
      <c r="W33" s="4"/>
      <c r="X33" s="4"/>
      <c r="Y33" s="31">
        <f>SUM(Y28:Y32)</f>
        <v>0</v>
      </c>
      <c r="Z33" s="31">
        <f>SUM(Z28:Z32)</f>
        <v>0</v>
      </c>
      <c r="AA33" s="168"/>
      <c r="AB33" s="168"/>
      <c r="AC33" s="31">
        <f>SUM(AC28:AC32)</f>
        <v>5</v>
      </c>
      <c r="AD33" s="31">
        <f>SUM(AD28:AD32)</f>
        <v>0</v>
      </c>
      <c r="AE33" s="19">
        <f t="shared" si="8"/>
        <v>-103.74883757216458</v>
      </c>
      <c r="AF33" s="21">
        <f t="shared" si="9"/>
        <v>0.95677131767826473</v>
      </c>
      <c r="AG33" s="172"/>
    </row>
    <row r="34" spans="1:33" ht="15.75" customHeight="1">
      <c r="A34" s="191" t="s">
        <v>1659</v>
      </c>
      <c r="B34" s="37" t="s">
        <v>100</v>
      </c>
      <c r="C34" s="165" t="s">
        <v>106</v>
      </c>
      <c r="D34" s="165"/>
      <c r="E34" s="37">
        <v>26.2</v>
      </c>
      <c r="F34" s="4">
        <v>5592</v>
      </c>
      <c r="G34" s="4">
        <f t="shared" ref="G34:G38" si="27">E34*F34</f>
        <v>146510.39999999999</v>
      </c>
      <c r="H34" s="22" t="s">
        <v>139</v>
      </c>
      <c r="I34" s="16">
        <v>18</v>
      </c>
      <c r="J34" s="18">
        <v>2400</v>
      </c>
      <c r="K34" s="17">
        <f t="shared" si="1"/>
        <v>133.33333333333334</v>
      </c>
      <c r="L34" s="16">
        <v>18</v>
      </c>
      <c r="M34" s="18">
        <f t="shared" ref="M34:M38" si="28">F34/V34*60</f>
        <v>2282.4489795918362</v>
      </c>
      <c r="N34" s="17">
        <f t="shared" si="3"/>
        <v>126.80272108843535</v>
      </c>
      <c r="O34" s="19">
        <f t="shared" si="4"/>
        <v>0</v>
      </c>
      <c r="P34" s="20">
        <f t="shared" si="5"/>
        <v>-6.5306122448979949</v>
      </c>
      <c r="Q34" s="21">
        <f t="shared" si="6"/>
        <v>0.95102040816326505</v>
      </c>
      <c r="R34" s="172">
        <f>Q39</f>
        <v>0.95525470812083024</v>
      </c>
      <c r="S34" s="28">
        <v>0.125</v>
      </c>
      <c r="T34" s="28">
        <v>0.22708333333333336</v>
      </c>
      <c r="U34" s="4"/>
      <c r="V34" s="22">
        <f t="shared" ref="V34:V38" si="29">(T34-S34)*24*60</f>
        <v>147.00000000000003</v>
      </c>
      <c r="W34" s="28">
        <f>T34</f>
        <v>0.22708333333333336</v>
      </c>
      <c r="X34" s="28">
        <f>S35</f>
        <v>0.24722222222222226</v>
      </c>
      <c r="Y34" s="28"/>
      <c r="Z34" s="28"/>
      <c r="AA34" s="164"/>
      <c r="AB34" s="164"/>
      <c r="AC34" s="25">
        <v>5</v>
      </c>
      <c r="AD34" s="25"/>
      <c r="AE34" s="19">
        <f t="shared" si="8"/>
        <v>-117.55102040816382</v>
      </c>
      <c r="AF34" s="21">
        <f t="shared" si="9"/>
        <v>0.95102040816326505</v>
      </c>
      <c r="AG34" s="172">
        <f>AF39</f>
        <v>0.95525470812083013</v>
      </c>
    </row>
    <row r="35" spans="1:33" ht="15.75" customHeight="1">
      <c r="A35" s="191" t="s">
        <v>1659</v>
      </c>
      <c r="B35" s="37" t="s">
        <v>100</v>
      </c>
      <c r="C35" s="165" t="s">
        <v>104</v>
      </c>
      <c r="D35" s="165"/>
      <c r="E35" s="37">
        <v>20.52</v>
      </c>
      <c r="F35" s="4">
        <v>2866</v>
      </c>
      <c r="G35" s="4">
        <f t="shared" si="27"/>
        <v>58810.32</v>
      </c>
      <c r="H35" s="22" t="s">
        <v>139</v>
      </c>
      <c r="I35" s="16">
        <v>18</v>
      </c>
      <c r="J35" s="18">
        <v>2400</v>
      </c>
      <c r="K35" s="17">
        <f t="shared" si="1"/>
        <v>133.33333333333334</v>
      </c>
      <c r="L35" s="16">
        <v>18</v>
      </c>
      <c r="M35" s="18">
        <f t="shared" si="28"/>
        <v>2292.7999999999993</v>
      </c>
      <c r="N35" s="17">
        <f t="shared" si="3"/>
        <v>127.37777777777774</v>
      </c>
      <c r="O35" s="19">
        <f t="shared" si="4"/>
        <v>0</v>
      </c>
      <c r="P35" s="20">
        <f t="shared" si="5"/>
        <v>-5.9555555555556055</v>
      </c>
      <c r="Q35" s="21">
        <f t="shared" si="6"/>
        <v>0.95533333333333292</v>
      </c>
      <c r="R35" s="172"/>
      <c r="S35" s="28">
        <v>0.24722222222222226</v>
      </c>
      <c r="T35" s="28">
        <v>0.2993055555555556</v>
      </c>
      <c r="U35" s="4">
        <f t="shared" ref="U35:U38" si="30">(S35-T34)*24*60</f>
        <v>29.000000000000018</v>
      </c>
      <c r="V35" s="22">
        <f t="shared" si="29"/>
        <v>75.000000000000014</v>
      </c>
      <c r="W35" s="4"/>
      <c r="X35" s="4"/>
      <c r="Y35" s="4"/>
      <c r="Z35" s="4"/>
      <c r="AA35" s="164"/>
      <c r="AB35" s="164"/>
      <c r="AC35" s="25"/>
      <c r="AD35" s="25"/>
      <c r="AE35" s="19">
        <f t="shared" si="8"/>
        <v>-107.20000000000073</v>
      </c>
      <c r="AF35" s="21">
        <f t="shared" si="9"/>
        <v>0.95533333333333303</v>
      </c>
      <c r="AG35" s="172"/>
    </row>
    <row r="36" spans="1:33">
      <c r="A36" s="192" t="s">
        <v>1659</v>
      </c>
      <c r="B36" s="37" t="s">
        <v>100</v>
      </c>
      <c r="C36" s="165" t="s">
        <v>108</v>
      </c>
      <c r="D36" s="165"/>
      <c r="E36" s="37">
        <v>26.39</v>
      </c>
      <c r="F36" s="4">
        <v>4513</v>
      </c>
      <c r="G36" s="4">
        <f t="shared" si="27"/>
        <v>119098.07</v>
      </c>
      <c r="H36" s="22" t="s">
        <v>139</v>
      </c>
      <c r="I36" s="16">
        <v>19</v>
      </c>
      <c r="J36" s="18">
        <v>2400</v>
      </c>
      <c r="K36" s="17">
        <f t="shared" si="1"/>
        <v>126.31578947368421</v>
      </c>
      <c r="L36" s="16">
        <v>19</v>
      </c>
      <c r="M36" s="18">
        <f t="shared" si="28"/>
        <v>2294.7457627118647</v>
      </c>
      <c r="N36" s="17">
        <f t="shared" si="3"/>
        <v>120.77609277430867</v>
      </c>
      <c r="O36" s="19">
        <f t="shared" si="4"/>
        <v>0</v>
      </c>
      <c r="P36" s="20">
        <f t="shared" si="5"/>
        <v>-5.5396966993755399</v>
      </c>
      <c r="Q36" s="21">
        <f t="shared" si="6"/>
        <v>0.95614406779661032</v>
      </c>
      <c r="R36" s="172"/>
      <c r="S36" s="28">
        <v>0.30486111111111114</v>
      </c>
      <c r="T36" s="28">
        <v>0.38680555555555557</v>
      </c>
      <c r="U36" s="4">
        <f t="shared" si="30"/>
        <v>7.9999999999999716</v>
      </c>
      <c r="V36" s="22">
        <f t="shared" si="29"/>
        <v>117.99999999999999</v>
      </c>
      <c r="W36" s="4"/>
      <c r="X36" s="4"/>
      <c r="Y36" s="4"/>
      <c r="Z36" s="4"/>
      <c r="AA36" s="164"/>
      <c r="AB36" s="164"/>
      <c r="AC36" s="25"/>
      <c r="AD36" s="25"/>
      <c r="AE36" s="19">
        <f t="shared" si="8"/>
        <v>-105.2542372881353</v>
      </c>
      <c r="AF36" s="21">
        <f t="shared" si="9"/>
        <v>0.95614406779661032</v>
      </c>
      <c r="AG36" s="172"/>
    </row>
    <row r="37" spans="1:33">
      <c r="A37" s="192" t="s">
        <v>1659</v>
      </c>
      <c r="B37" s="37" t="s">
        <v>100</v>
      </c>
      <c r="C37" s="165" t="s">
        <v>137</v>
      </c>
      <c r="D37" s="165"/>
      <c r="E37" s="37">
        <v>20.21</v>
      </c>
      <c r="F37" s="4">
        <v>2712</v>
      </c>
      <c r="G37" s="4">
        <f t="shared" si="27"/>
        <v>54809.520000000004</v>
      </c>
      <c r="H37" s="22" t="s">
        <v>139</v>
      </c>
      <c r="I37" s="16">
        <v>16</v>
      </c>
      <c r="J37" s="18">
        <v>2400</v>
      </c>
      <c r="K37" s="17">
        <f t="shared" si="1"/>
        <v>150</v>
      </c>
      <c r="L37" s="16">
        <v>16</v>
      </c>
      <c r="M37" s="18">
        <f t="shared" si="28"/>
        <v>2291.8309859154933</v>
      </c>
      <c r="N37" s="17">
        <f t="shared" si="3"/>
        <v>143.23943661971833</v>
      </c>
      <c r="O37" s="19">
        <f t="shared" si="4"/>
        <v>0</v>
      </c>
      <c r="P37" s="20">
        <f t="shared" si="5"/>
        <v>-6.7605633802816669</v>
      </c>
      <c r="Q37" s="21">
        <f t="shared" si="6"/>
        <v>0.9549295774647889</v>
      </c>
      <c r="R37" s="172"/>
      <c r="S37" s="28">
        <v>0.3923611111111111</v>
      </c>
      <c r="T37" s="28">
        <v>0.44166666666666665</v>
      </c>
      <c r="U37" s="4">
        <f t="shared" si="30"/>
        <v>7.9999999999999716</v>
      </c>
      <c r="V37" s="22">
        <f t="shared" si="29"/>
        <v>70.999999999999986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8"/>
        <v>-108.16901408450667</v>
      </c>
      <c r="AF37" s="21">
        <f t="shared" si="9"/>
        <v>0.9549295774647889</v>
      </c>
      <c r="AG37" s="172"/>
    </row>
    <row r="38" spans="1:33">
      <c r="A38" s="192" t="s">
        <v>1659</v>
      </c>
      <c r="B38" s="37" t="s">
        <v>100</v>
      </c>
      <c r="C38" s="165" t="s">
        <v>134</v>
      </c>
      <c r="D38" s="165"/>
      <c r="E38" s="37">
        <v>20.52</v>
      </c>
      <c r="F38" s="4">
        <v>2493</v>
      </c>
      <c r="G38" s="4">
        <f t="shared" si="27"/>
        <v>51156.36</v>
      </c>
      <c r="H38" s="22" t="s">
        <v>139</v>
      </c>
      <c r="I38" s="16">
        <v>18</v>
      </c>
      <c r="J38" s="18">
        <v>2400</v>
      </c>
      <c r="K38" s="17">
        <f t="shared" si="1"/>
        <v>133.33333333333334</v>
      </c>
      <c r="L38" s="16">
        <v>18</v>
      </c>
      <c r="M38" s="18">
        <f t="shared" si="28"/>
        <v>2301.2307692307686</v>
      </c>
      <c r="N38" s="17">
        <f t="shared" si="3"/>
        <v>127.84615384615381</v>
      </c>
      <c r="O38" s="19">
        <f t="shared" si="4"/>
        <v>0</v>
      </c>
      <c r="P38" s="20">
        <f t="shared" si="5"/>
        <v>-5.4871794871795316</v>
      </c>
      <c r="Q38" s="21">
        <f t="shared" si="6"/>
        <v>0.95884615384615357</v>
      </c>
      <c r="R38" s="172"/>
      <c r="S38" s="28">
        <v>0.44722222222222219</v>
      </c>
      <c r="T38" s="28">
        <v>0.49236111111111108</v>
      </c>
      <c r="U38" s="4">
        <f t="shared" si="30"/>
        <v>7.9999999999999716</v>
      </c>
      <c r="V38" s="22">
        <f t="shared" si="29"/>
        <v>65.000000000000014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8"/>
        <v>-98.769230769231399</v>
      </c>
      <c r="AF38" s="21">
        <f t="shared" si="9"/>
        <v>0.95884615384615357</v>
      </c>
      <c r="AG38" s="172"/>
    </row>
    <row r="39" spans="1:33">
      <c r="A39" s="192" t="s">
        <v>1659</v>
      </c>
      <c r="B39" s="17" t="s">
        <v>1658</v>
      </c>
      <c r="C39" s="177"/>
      <c r="D39" s="177"/>
      <c r="E39" s="38"/>
      <c r="F39" s="17"/>
      <c r="G39" s="17"/>
      <c r="H39" s="4"/>
      <c r="I39" s="30">
        <v>17.8</v>
      </c>
      <c r="J39" s="18">
        <v>2400</v>
      </c>
      <c r="K39" s="17">
        <f t="shared" si="1"/>
        <v>134.83146067415728</v>
      </c>
      <c r="L39" s="30">
        <v>17.8</v>
      </c>
      <c r="M39" s="18">
        <f>AVERAGE(M34:M38)</f>
        <v>2292.6112994899922</v>
      </c>
      <c r="N39" s="17">
        <f t="shared" si="3"/>
        <v>128.79838761179732</v>
      </c>
      <c r="O39" s="19">
        <f t="shared" si="4"/>
        <v>0</v>
      </c>
      <c r="P39" s="20">
        <f t="shared" si="5"/>
        <v>-6.0330730623599607</v>
      </c>
      <c r="Q39" s="21">
        <f t="shared" si="6"/>
        <v>0.95525470812083024</v>
      </c>
      <c r="R39" s="172"/>
      <c r="S39" s="28"/>
      <c r="T39" s="28"/>
      <c r="U39" s="17"/>
      <c r="V39" s="22"/>
      <c r="W39" s="17"/>
      <c r="X39" s="17"/>
      <c r="Y39" s="31">
        <f>SUM(Y34:Y38)</f>
        <v>0</v>
      </c>
      <c r="Z39" s="31">
        <f>SUM(Z34:Z38)</f>
        <v>0</v>
      </c>
      <c r="AA39" s="168"/>
      <c r="AB39" s="168"/>
      <c r="AC39" s="31">
        <f>SUM(AC34:AC38)</f>
        <v>5</v>
      </c>
      <c r="AD39" s="31">
        <f>SUM(AD34:AD38)</f>
        <v>0</v>
      </c>
      <c r="AE39" s="19">
        <f t="shared" si="8"/>
        <v>-107.38870051000777</v>
      </c>
      <c r="AF39" s="21">
        <f t="shared" si="9"/>
        <v>0.95525470812083013</v>
      </c>
      <c r="AG39" s="172"/>
    </row>
    <row r="40" spans="1:33" ht="15.75" customHeight="1">
      <c r="A40" s="184" t="s">
        <v>1660</v>
      </c>
      <c r="B40" s="37" t="s">
        <v>111</v>
      </c>
      <c r="C40" s="173" t="s">
        <v>403</v>
      </c>
      <c r="D40" s="174"/>
      <c r="E40" s="37">
        <v>34.36</v>
      </c>
      <c r="F40" s="4">
        <v>2460</v>
      </c>
      <c r="G40" s="4">
        <f t="shared" ref="G40:G49" si="31">E40*F40</f>
        <v>84525.6</v>
      </c>
      <c r="H40" s="22" t="s">
        <v>139</v>
      </c>
      <c r="I40" s="16">
        <v>10</v>
      </c>
      <c r="J40" s="18">
        <v>3000</v>
      </c>
      <c r="K40" s="17">
        <f t="shared" si="1"/>
        <v>300</v>
      </c>
      <c r="L40" s="16">
        <v>10</v>
      </c>
      <c r="M40" s="18">
        <f t="shared" ref="M40:M49" si="32">F40/V40*60</f>
        <v>2894.1176470588221</v>
      </c>
      <c r="N40" s="18">
        <f t="shared" si="3"/>
        <v>289.41176470588221</v>
      </c>
      <c r="O40" s="19">
        <f t="shared" si="4"/>
        <v>0</v>
      </c>
      <c r="P40" s="20">
        <f t="shared" si="5"/>
        <v>-10.588235294117794</v>
      </c>
      <c r="Q40" s="21">
        <f t="shared" si="6"/>
        <v>0.96470588235294064</v>
      </c>
      <c r="R40" s="187">
        <f>Q50</f>
        <v>0.9640989362858422</v>
      </c>
      <c r="S40" s="28">
        <v>0.20833333333333334</v>
      </c>
      <c r="T40" s="28">
        <v>0.24375000000000002</v>
      </c>
      <c r="U40" s="28"/>
      <c r="V40" s="22">
        <f t="shared" ref="V40:V49" si="33">(T40-S40)*24*60</f>
        <v>51.000000000000021</v>
      </c>
      <c r="W40" s="23"/>
      <c r="X40" s="23"/>
      <c r="Y40" s="26"/>
      <c r="Z40" s="26"/>
      <c r="AA40" s="175"/>
      <c r="AB40" s="176"/>
      <c r="AC40" s="25">
        <v>10</v>
      </c>
      <c r="AD40" s="25"/>
      <c r="AE40" s="19">
        <f t="shared" si="8"/>
        <v>-105.88235294117794</v>
      </c>
      <c r="AF40" s="21">
        <f t="shared" si="9"/>
        <v>0.96470588235294064</v>
      </c>
      <c r="AG40" s="187">
        <f>AF50</f>
        <v>0.96409893628584209</v>
      </c>
    </row>
    <row r="41" spans="1:33" ht="15.75" customHeight="1">
      <c r="A41" s="185" t="s">
        <v>1660</v>
      </c>
      <c r="B41" s="37" t="s">
        <v>111</v>
      </c>
      <c r="C41" s="173" t="s">
        <v>114</v>
      </c>
      <c r="D41" s="174"/>
      <c r="E41" s="37">
        <v>35.119999999999997</v>
      </c>
      <c r="F41" s="4">
        <v>3300</v>
      </c>
      <c r="G41" s="4">
        <f t="shared" si="31"/>
        <v>115895.99999999999</v>
      </c>
      <c r="H41" s="22">
        <v>2</v>
      </c>
      <c r="I41" s="16">
        <v>10</v>
      </c>
      <c r="J41" s="18">
        <v>3000</v>
      </c>
      <c r="K41" s="17">
        <f t="shared" si="1"/>
        <v>300</v>
      </c>
      <c r="L41" s="16">
        <v>10</v>
      </c>
      <c r="M41" s="18">
        <f t="shared" si="32"/>
        <v>2869.5652173913031</v>
      </c>
      <c r="N41" s="18">
        <f t="shared" si="3"/>
        <v>286.95652173913032</v>
      </c>
      <c r="O41" s="19">
        <f t="shared" si="4"/>
        <v>0</v>
      </c>
      <c r="P41" s="20">
        <f t="shared" si="5"/>
        <v>-13.043478260869676</v>
      </c>
      <c r="Q41" s="21">
        <f t="shared" si="6"/>
        <v>0.95652173913043437</v>
      </c>
      <c r="R41" s="188"/>
      <c r="S41" s="28">
        <v>0.24930555555555559</v>
      </c>
      <c r="T41" s="28">
        <v>0.29722222222222228</v>
      </c>
      <c r="U41" s="4">
        <f t="shared" ref="U41:U49" si="34">(S41-T40)*24*60</f>
        <v>8.0000000000000107</v>
      </c>
      <c r="V41" s="22">
        <f t="shared" si="33"/>
        <v>69.000000000000028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8"/>
        <v>-130.43478260869688</v>
      </c>
      <c r="AF41" s="21">
        <f t="shared" si="9"/>
        <v>0.95652173913043437</v>
      </c>
      <c r="AG41" s="188"/>
    </row>
    <row r="42" spans="1:33" ht="15.75" customHeight="1">
      <c r="A42" s="185" t="s">
        <v>1660</v>
      </c>
      <c r="B42" s="37" t="s">
        <v>111</v>
      </c>
      <c r="C42" s="173" t="s">
        <v>115</v>
      </c>
      <c r="D42" s="174"/>
      <c r="E42" s="37">
        <v>26.78</v>
      </c>
      <c r="F42" s="4">
        <v>2556</v>
      </c>
      <c r="G42" s="4">
        <f t="shared" si="31"/>
        <v>68449.680000000008</v>
      </c>
      <c r="H42" s="22" t="s">
        <v>139</v>
      </c>
      <c r="I42" s="16">
        <v>10</v>
      </c>
      <c r="J42" s="18">
        <v>3000</v>
      </c>
      <c r="K42" s="17">
        <f t="shared" si="1"/>
        <v>300</v>
      </c>
      <c r="L42" s="16">
        <v>10</v>
      </c>
      <c r="M42" s="18">
        <f t="shared" si="32"/>
        <v>2893.5849056603788</v>
      </c>
      <c r="N42" s="18">
        <f t="shared" si="3"/>
        <v>289.35849056603786</v>
      </c>
      <c r="O42" s="19">
        <f t="shared" si="4"/>
        <v>0</v>
      </c>
      <c r="P42" s="20">
        <f t="shared" si="5"/>
        <v>-10.641509433962142</v>
      </c>
      <c r="Q42" s="21">
        <f t="shared" si="6"/>
        <v>0.96452830188679284</v>
      </c>
      <c r="R42" s="188"/>
      <c r="S42" s="28">
        <v>0.30277777777777781</v>
      </c>
      <c r="T42" s="28">
        <v>0.33958333333333335</v>
      </c>
      <c r="U42" s="4">
        <f t="shared" si="34"/>
        <v>7.9999999999999716</v>
      </c>
      <c r="V42" s="22">
        <f t="shared" si="33"/>
        <v>52.999999999999972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8"/>
        <v>-106.41509433962119</v>
      </c>
      <c r="AF42" s="21">
        <f t="shared" si="9"/>
        <v>0.96452830188679295</v>
      </c>
      <c r="AG42" s="188"/>
    </row>
    <row r="43" spans="1:33" ht="15.75" customHeight="1">
      <c r="A43" s="185" t="s">
        <v>1660</v>
      </c>
      <c r="B43" s="37" t="s">
        <v>111</v>
      </c>
      <c r="C43" s="173" t="s">
        <v>117</v>
      </c>
      <c r="D43" s="174"/>
      <c r="E43" s="37">
        <v>44.03</v>
      </c>
      <c r="F43" s="4">
        <v>1134</v>
      </c>
      <c r="G43" s="4">
        <f t="shared" si="31"/>
        <v>49930.020000000004</v>
      </c>
      <c r="H43" s="22" t="s">
        <v>139</v>
      </c>
      <c r="I43" s="16">
        <v>10</v>
      </c>
      <c r="J43" s="18">
        <v>3000</v>
      </c>
      <c r="K43" s="17">
        <f t="shared" si="1"/>
        <v>300</v>
      </c>
      <c r="L43" s="16">
        <v>10</v>
      </c>
      <c r="M43" s="18">
        <f t="shared" si="32"/>
        <v>2958.260869565217</v>
      </c>
      <c r="N43" s="18">
        <f t="shared" si="3"/>
        <v>295.82608695652169</v>
      </c>
      <c r="O43" s="19">
        <f t="shared" si="4"/>
        <v>0</v>
      </c>
      <c r="P43" s="20">
        <f t="shared" si="5"/>
        <v>-4.1739130434783078</v>
      </c>
      <c r="Q43" s="21">
        <f t="shared" si="6"/>
        <v>0.98608695652173894</v>
      </c>
      <c r="R43" s="188"/>
      <c r="S43" s="28">
        <v>0.34305555555555556</v>
      </c>
      <c r="T43" s="28">
        <v>0.35902777777777778</v>
      </c>
      <c r="U43" s="4">
        <f t="shared" si="34"/>
        <v>4.9999999999999822</v>
      </c>
      <c r="V43" s="22">
        <f t="shared" si="33"/>
        <v>23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8"/>
        <v>-41.739130434782965</v>
      </c>
      <c r="AF43" s="21">
        <f t="shared" si="9"/>
        <v>0.98608695652173906</v>
      </c>
      <c r="AG43" s="188"/>
    </row>
    <row r="44" spans="1:33" ht="15.75" customHeight="1">
      <c r="A44" s="185" t="s">
        <v>1660</v>
      </c>
      <c r="B44" s="37" t="s">
        <v>111</v>
      </c>
      <c r="C44" s="173" t="s">
        <v>112</v>
      </c>
      <c r="D44" s="174"/>
      <c r="E44" s="37">
        <v>21.13</v>
      </c>
      <c r="F44" s="4">
        <v>2200</v>
      </c>
      <c r="G44" s="4">
        <f t="shared" si="31"/>
        <v>46486</v>
      </c>
      <c r="H44" s="22">
        <v>2</v>
      </c>
      <c r="I44" s="16">
        <v>10</v>
      </c>
      <c r="J44" s="18">
        <v>3000</v>
      </c>
      <c r="K44" s="17">
        <f t="shared" si="1"/>
        <v>300</v>
      </c>
      <c r="L44" s="16">
        <v>10</v>
      </c>
      <c r="M44" s="18">
        <f t="shared" si="32"/>
        <v>2869.5652173913045</v>
      </c>
      <c r="N44" s="18">
        <f t="shared" si="3"/>
        <v>286.95652173913044</v>
      </c>
      <c r="O44" s="19">
        <f t="shared" si="4"/>
        <v>0</v>
      </c>
      <c r="P44" s="20">
        <f t="shared" si="5"/>
        <v>-13.043478260869563</v>
      </c>
      <c r="Q44" s="21">
        <f t="shared" si="6"/>
        <v>0.95652173913043481</v>
      </c>
      <c r="R44" s="188"/>
      <c r="S44" s="28">
        <v>0.36458333333333331</v>
      </c>
      <c r="T44" s="28">
        <v>0.39652777777777776</v>
      </c>
      <c r="U44" s="4">
        <f t="shared" si="34"/>
        <v>7.9999999999999716</v>
      </c>
      <c r="V44" s="22">
        <f t="shared" si="33"/>
        <v>46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-130.43478260869551</v>
      </c>
      <c r="AF44" s="21">
        <f t="shared" si="9"/>
        <v>0.95652173913043481</v>
      </c>
      <c r="AG44" s="188"/>
    </row>
    <row r="45" spans="1:33" ht="15.75" customHeight="1">
      <c r="A45" s="185" t="s">
        <v>1660</v>
      </c>
      <c r="B45" s="37" t="s">
        <v>111</v>
      </c>
      <c r="C45" s="173" t="s">
        <v>113</v>
      </c>
      <c r="D45" s="174"/>
      <c r="E45" s="37">
        <v>27.17</v>
      </c>
      <c r="F45" s="4">
        <v>3800</v>
      </c>
      <c r="G45" s="4">
        <f t="shared" si="31"/>
        <v>103246</v>
      </c>
      <c r="H45" s="22">
        <v>2</v>
      </c>
      <c r="I45" s="16">
        <v>10</v>
      </c>
      <c r="J45" s="18">
        <v>3000</v>
      </c>
      <c r="K45" s="17">
        <f t="shared" si="1"/>
        <v>300</v>
      </c>
      <c r="L45" s="16">
        <v>10</v>
      </c>
      <c r="M45" s="18">
        <f t="shared" si="32"/>
        <v>2886.0759493670903</v>
      </c>
      <c r="N45" s="18">
        <f t="shared" si="3"/>
        <v>288.60759493670901</v>
      </c>
      <c r="O45" s="19">
        <f t="shared" si="4"/>
        <v>0</v>
      </c>
      <c r="P45" s="20">
        <f t="shared" si="5"/>
        <v>-11.392405063290994</v>
      </c>
      <c r="Q45" s="21">
        <f t="shared" si="6"/>
        <v>0.96202531645569667</v>
      </c>
      <c r="R45" s="188"/>
      <c r="S45" s="28">
        <v>0.40208333333333329</v>
      </c>
      <c r="T45" s="28">
        <v>0.45694444444444438</v>
      </c>
      <c r="U45" s="4">
        <f t="shared" si="34"/>
        <v>7.9999999999999716</v>
      </c>
      <c r="V45" s="22">
        <f t="shared" si="33"/>
        <v>78.999999999999957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8"/>
        <v>-113.92405063290971</v>
      </c>
      <c r="AF45" s="21">
        <f t="shared" si="9"/>
        <v>0.96202531645569678</v>
      </c>
      <c r="AG45" s="188"/>
    </row>
    <row r="46" spans="1:33" ht="15.75" customHeight="1">
      <c r="A46" s="185" t="s">
        <v>1660</v>
      </c>
      <c r="B46" s="37" t="s">
        <v>111</v>
      </c>
      <c r="C46" s="173" t="s">
        <v>116</v>
      </c>
      <c r="D46" s="174"/>
      <c r="E46" s="37">
        <v>35.869999999999997</v>
      </c>
      <c r="F46" s="4">
        <v>3896</v>
      </c>
      <c r="G46" s="4">
        <f t="shared" si="31"/>
        <v>139749.51999999999</v>
      </c>
      <c r="H46" s="22" t="s">
        <v>139</v>
      </c>
      <c r="I46" s="16">
        <v>9</v>
      </c>
      <c r="J46" s="18">
        <v>3000</v>
      </c>
      <c r="K46" s="17">
        <f t="shared" si="1"/>
        <v>333.33333333333331</v>
      </c>
      <c r="L46" s="16">
        <v>9</v>
      </c>
      <c r="M46" s="18">
        <f t="shared" si="32"/>
        <v>2885.9259259259252</v>
      </c>
      <c r="N46" s="18">
        <f t="shared" si="3"/>
        <v>320.65843621399171</v>
      </c>
      <c r="O46" s="19">
        <f t="shared" si="4"/>
        <v>0</v>
      </c>
      <c r="P46" s="20">
        <f t="shared" si="5"/>
        <v>-12.674897119341608</v>
      </c>
      <c r="Q46" s="21">
        <f t="shared" si="6"/>
        <v>0.96197530864197522</v>
      </c>
      <c r="R46" s="188"/>
      <c r="S46" s="28">
        <v>0.46180555555555547</v>
      </c>
      <c r="T46" s="28">
        <v>0.51805555555555549</v>
      </c>
      <c r="U46" s="4">
        <f t="shared" si="34"/>
        <v>6.9999999999999751</v>
      </c>
      <c r="V46" s="22">
        <f t="shared" si="33"/>
        <v>81.000000000000028</v>
      </c>
      <c r="W46" s="23">
        <f>T46</f>
        <v>0.51805555555555549</v>
      </c>
      <c r="X46" s="23">
        <f>S47</f>
        <v>0.55833333333333324</v>
      </c>
      <c r="Y46" s="26"/>
      <c r="Z46" s="26"/>
      <c r="AA46" s="175"/>
      <c r="AB46" s="176"/>
      <c r="AC46" s="25"/>
      <c r="AD46" s="25"/>
      <c r="AE46" s="19">
        <f t="shared" si="8"/>
        <v>-114.07407407407482</v>
      </c>
      <c r="AF46" s="21">
        <f t="shared" si="9"/>
        <v>0.96197530864197511</v>
      </c>
      <c r="AG46" s="188"/>
    </row>
    <row r="47" spans="1:33" ht="15.75" customHeight="1">
      <c r="A47" s="185" t="s">
        <v>1660</v>
      </c>
      <c r="B47" s="37" t="s">
        <v>111</v>
      </c>
      <c r="C47" s="173" t="s">
        <v>112</v>
      </c>
      <c r="D47" s="174"/>
      <c r="E47" s="37">
        <v>21.13</v>
      </c>
      <c r="F47" s="4">
        <v>2375</v>
      </c>
      <c r="G47" s="4">
        <f t="shared" si="31"/>
        <v>50183.75</v>
      </c>
      <c r="H47" s="22" t="s">
        <v>139</v>
      </c>
      <c r="I47" s="16">
        <v>10</v>
      </c>
      <c r="J47" s="18">
        <v>3000</v>
      </c>
      <c r="K47" s="17">
        <f t="shared" si="1"/>
        <v>300</v>
      </c>
      <c r="L47" s="16">
        <v>10</v>
      </c>
      <c r="M47" s="18">
        <f t="shared" si="32"/>
        <v>2908.1632653061233</v>
      </c>
      <c r="N47" s="18">
        <f t="shared" si="3"/>
        <v>290.81632653061234</v>
      </c>
      <c r="O47" s="19">
        <f t="shared" si="4"/>
        <v>0</v>
      </c>
      <c r="P47" s="20">
        <f t="shared" si="5"/>
        <v>-9.1836734693876565</v>
      </c>
      <c r="Q47" s="21">
        <f t="shared" si="6"/>
        <v>0.96938775510204112</v>
      </c>
      <c r="R47" s="188"/>
      <c r="S47" s="28">
        <v>0.55833333333333324</v>
      </c>
      <c r="T47" s="28">
        <v>0.59236111111111101</v>
      </c>
      <c r="U47" s="4">
        <f t="shared" si="34"/>
        <v>57.999999999999957</v>
      </c>
      <c r="V47" s="22">
        <f t="shared" si="33"/>
        <v>48.999999999999986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8"/>
        <v>-91.836734693876679</v>
      </c>
      <c r="AF47" s="21">
        <f t="shared" si="9"/>
        <v>0.96938775510204112</v>
      </c>
      <c r="AG47" s="188"/>
    </row>
    <row r="48" spans="1:33" ht="15.75" customHeight="1">
      <c r="A48" s="185" t="s">
        <v>1660</v>
      </c>
      <c r="B48" s="37" t="s">
        <v>111</v>
      </c>
      <c r="C48" s="173" t="s">
        <v>113</v>
      </c>
      <c r="D48" s="174"/>
      <c r="E48" s="37">
        <v>27.17</v>
      </c>
      <c r="F48" s="4">
        <v>2414</v>
      </c>
      <c r="G48" s="4">
        <f t="shared" si="31"/>
        <v>65588.38</v>
      </c>
      <c r="H48" s="22" t="s">
        <v>139</v>
      </c>
      <c r="I48" s="16">
        <v>10</v>
      </c>
      <c r="J48" s="18">
        <v>3000</v>
      </c>
      <c r="K48" s="17">
        <f t="shared" si="1"/>
        <v>300</v>
      </c>
      <c r="L48" s="16">
        <v>10</v>
      </c>
      <c r="M48" s="18">
        <f t="shared" si="32"/>
        <v>2896.8000000000011</v>
      </c>
      <c r="N48" s="18">
        <f t="shared" si="3"/>
        <v>289.68000000000012</v>
      </c>
      <c r="O48" s="19">
        <f t="shared" si="4"/>
        <v>0</v>
      </c>
      <c r="P48" s="20">
        <f t="shared" si="5"/>
        <v>-10.319999999999879</v>
      </c>
      <c r="Q48" s="21">
        <f t="shared" si="6"/>
        <v>0.96560000000000035</v>
      </c>
      <c r="R48" s="188"/>
      <c r="S48" s="28">
        <v>0.59583333333333321</v>
      </c>
      <c r="T48" s="28">
        <v>0.63055555555555542</v>
      </c>
      <c r="U48" s="4">
        <f t="shared" si="34"/>
        <v>4.9999999999999822</v>
      </c>
      <c r="V48" s="22">
        <f t="shared" si="33"/>
        <v>49.999999999999986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-103.19999999999891</v>
      </c>
      <c r="AF48" s="21">
        <f t="shared" si="9"/>
        <v>0.96560000000000035</v>
      </c>
      <c r="AG48" s="188"/>
    </row>
    <row r="49" spans="1:33" ht="15.75" customHeight="1">
      <c r="A49" s="185" t="s">
        <v>1660</v>
      </c>
      <c r="B49" s="37" t="s">
        <v>111</v>
      </c>
      <c r="C49" s="173" t="s">
        <v>114</v>
      </c>
      <c r="D49" s="174"/>
      <c r="E49" s="37">
        <v>35.119999999999997</v>
      </c>
      <c r="F49" s="4">
        <v>2098</v>
      </c>
      <c r="G49" s="4">
        <f t="shared" si="31"/>
        <v>73681.759999999995</v>
      </c>
      <c r="H49" s="22" t="s">
        <v>139</v>
      </c>
      <c r="I49" s="16">
        <v>10</v>
      </c>
      <c r="J49" s="18">
        <v>3000</v>
      </c>
      <c r="K49" s="17">
        <f t="shared" si="1"/>
        <v>300</v>
      </c>
      <c r="L49" s="16">
        <v>10</v>
      </c>
      <c r="M49" s="18">
        <f t="shared" si="32"/>
        <v>2860.909090909091</v>
      </c>
      <c r="N49" s="18">
        <f t="shared" si="3"/>
        <v>286.09090909090912</v>
      </c>
      <c r="O49" s="19">
        <f t="shared" si="4"/>
        <v>0</v>
      </c>
      <c r="P49" s="20">
        <f t="shared" si="5"/>
        <v>-13.909090909090878</v>
      </c>
      <c r="Q49" s="21">
        <f t="shared" si="6"/>
        <v>0.95363636363636373</v>
      </c>
      <c r="R49" s="188"/>
      <c r="S49" s="28">
        <v>0.63402777777777763</v>
      </c>
      <c r="T49" s="28">
        <v>0.66458333333333319</v>
      </c>
      <c r="U49" s="4">
        <f t="shared" si="34"/>
        <v>4.9999999999999822</v>
      </c>
      <c r="V49" s="22">
        <f t="shared" si="33"/>
        <v>44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-139.09090909090901</v>
      </c>
      <c r="AF49" s="21">
        <f t="shared" si="9"/>
        <v>0.95363636363636362</v>
      </c>
      <c r="AG49" s="188"/>
    </row>
    <row r="50" spans="1:33" ht="15.75" customHeight="1">
      <c r="A50" s="186" t="s">
        <v>1660</v>
      </c>
      <c r="B50" s="37" t="s">
        <v>1658</v>
      </c>
      <c r="C50" s="166"/>
      <c r="D50" s="167"/>
      <c r="E50" s="41"/>
      <c r="F50" s="4"/>
      <c r="G50" s="4"/>
      <c r="H50" s="4"/>
      <c r="I50" s="30">
        <v>9.9</v>
      </c>
      <c r="J50" s="18">
        <v>3000</v>
      </c>
      <c r="K50" s="17">
        <f t="shared" si="1"/>
        <v>303.030303030303</v>
      </c>
      <c r="L50" s="30">
        <v>9.9</v>
      </c>
      <c r="M50" s="18">
        <f>AVERAGE(M40:M49)</f>
        <v>2892.2968088575262</v>
      </c>
      <c r="N50" s="17">
        <f t="shared" si="3"/>
        <v>292.15119281389156</v>
      </c>
      <c r="O50" s="19">
        <f t="shared" si="4"/>
        <v>0</v>
      </c>
      <c r="P50" s="20">
        <f t="shared" si="5"/>
        <v>-10.879110216411448</v>
      </c>
      <c r="Q50" s="21">
        <f t="shared" si="6"/>
        <v>0.9640989362858422</v>
      </c>
      <c r="R50" s="189"/>
      <c r="S50" s="28"/>
      <c r="T50" s="28"/>
      <c r="U50" s="4"/>
      <c r="V50" s="22"/>
      <c r="W50" s="23"/>
      <c r="X50" s="23"/>
      <c r="Y50" s="31">
        <f>SUM(Y40:Y49)</f>
        <v>0</v>
      </c>
      <c r="Z50" s="31">
        <f>SUM(Z40:Z49)</f>
        <v>0</v>
      </c>
      <c r="AA50" s="180"/>
      <c r="AB50" s="181"/>
      <c r="AC50" s="31">
        <f>SUM(AC40:AC49)</f>
        <v>10</v>
      </c>
      <c r="AD50" s="31">
        <f>SUM(AD40:AD49)</f>
        <v>0</v>
      </c>
      <c r="AE50" s="19">
        <f t="shared" si="8"/>
        <v>-107.70319114247377</v>
      </c>
      <c r="AF50" s="21">
        <f t="shared" si="9"/>
        <v>0.96409893628584209</v>
      </c>
      <c r="AG50" s="189"/>
    </row>
    <row r="51" spans="1:33" ht="15.75" customHeight="1">
      <c r="A51" s="182" t="s">
        <v>1661</v>
      </c>
      <c r="B51" s="37" t="s">
        <v>84</v>
      </c>
      <c r="C51" s="165" t="s">
        <v>118</v>
      </c>
      <c r="D51" s="165"/>
      <c r="E51" s="37">
        <v>46</v>
      </c>
      <c r="F51" s="42">
        <v>1036</v>
      </c>
      <c r="G51" s="4">
        <f t="shared" ref="G51:G60" si="35">E51*F51</f>
        <v>47656</v>
      </c>
      <c r="H51" s="22" t="s">
        <v>139</v>
      </c>
      <c r="I51" s="16">
        <v>17</v>
      </c>
      <c r="J51" s="18">
        <v>2000</v>
      </c>
      <c r="K51" s="17">
        <f t="shared" si="1"/>
        <v>117.64705882352941</v>
      </c>
      <c r="L51" s="16">
        <v>17</v>
      </c>
      <c r="M51" s="18">
        <f t="shared" ref="M51:M60" si="36">F51/V51*60</f>
        <v>1942.4999999999995</v>
      </c>
      <c r="N51" s="18">
        <f t="shared" si="3"/>
        <v>114.26470588235291</v>
      </c>
      <c r="O51" s="19">
        <f t="shared" si="4"/>
        <v>0</v>
      </c>
      <c r="P51" s="20">
        <f t="shared" si="5"/>
        <v>-3.3823529411764923</v>
      </c>
      <c r="Q51" s="21">
        <f t="shared" si="6"/>
        <v>0.97124999999999984</v>
      </c>
      <c r="R51" s="172">
        <f>Q61</f>
        <v>0.94136298021348552</v>
      </c>
      <c r="S51" s="28">
        <v>0.20833333333333334</v>
      </c>
      <c r="T51" s="28">
        <v>0.23055555555555557</v>
      </c>
      <c r="U51" s="28"/>
      <c r="V51" s="22">
        <f t="shared" ref="V51:V60" si="37">(T51-S51)*24*60</f>
        <v>32.000000000000007</v>
      </c>
      <c r="W51" s="28"/>
      <c r="X51" s="28"/>
      <c r="Y51" s="28"/>
      <c r="Z51" s="28"/>
      <c r="AA51" s="164"/>
      <c r="AB51" s="164"/>
      <c r="AC51" s="25">
        <v>10</v>
      </c>
      <c r="AD51" s="25"/>
      <c r="AE51" s="19">
        <f t="shared" si="8"/>
        <v>-57.500000000000455</v>
      </c>
      <c r="AF51" s="21">
        <f t="shared" si="9"/>
        <v>0.97124999999999972</v>
      </c>
      <c r="AG51" s="172">
        <f>AF61</f>
        <v>0.94136298021348552</v>
      </c>
    </row>
    <row r="52" spans="1:33" ht="15.75" customHeight="1">
      <c r="A52" s="182" t="s">
        <v>1662</v>
      </c>
      <c r="B52" s="37" t="s">
        <v>84</v>
      </c>
      <c r="C52" s="165" t="s">
        <v>119</v>
      </c>
      <c r="D52" s="165"/>
      <c r="E52" s="37">
        <v>46</v>
      </c>
      <c r="F52" s="42">
        <v>1122</v>
      </c>
      <c r="G52" s="4">
        <f t="shared" si="35"/>
        <v>51612</v>
      </c>
      <c r="H52" s="22" t="s">
        <v>139</v>
      </c>
      <c r="I52" s="16">
        <v>17</v>
      </c>
      <c r="J52" s="18">
        <v>2000</v>
      </c>
      <c r="K52" s="17">
        <f t="shared" si="1"/>
        <v>117.64705882352941</v>
      </c>
      <c r="L52" s="16">
        <v>17</v>
      </c>
      <c r="M52" s="18">
        <f t="shared" si="36"/>
        <v>1923.4285714285718</v>
      </c>
      <c r="N52" s="18">
        <f t="shared" si="3"/>
        <v>113.14285714285717</v>
      </c>
      <c r="O52" s="19">
        <f t="shared" si="4"/>
        <v>0</v>
      </c>
      <c r="P52" s="20">
        <f t="shared" si="5"/>
        <v>-4.5042016806722387</v>
      </c>
      <c r="Q52" s="21">
        <f t="shared" si="6"/>
        <v>0.96171428571428597</v>
      </c>
      <c r="R52" s="172"/>
      <c r="S52" s="28">
        <v>0.23541666666666669</v>
      </c>
      <c r="T52" s="28">
        <v>0.25972222222222224</v>
      </c>
      <c r="U52" s="4">
        <f t="shared" ref="U52:U60" si="38">IF(S52=TIME(17,0,0),"",(S52-T51)*24*60)</f>
        <v>7.0000000000000151</v>
      </c>
      <c r="V52" s="22">
        <f t="shared" si="37"/>
        <v>34.999999999999993</v>
      </c>
      <c r="W52" s="23"/>
      <c r="X52" s="23"/>
      <c r="Y52" s="23"/>
      <c r="Z52" s="23"/>
      <c r="AA52" s="164"/>
      <c r="AB52" s="164"/>
      <c r="AC52" s="25"/>
      <c r="AD52" s="25"/>
      <c r="AE52" s="19">
        <f t="shared" si="8"/>
        <v>-76.571428571428214</v>
      </c>
      <c r="AF52" s="21">
        <f t="shared" si="9"/>
        <v>0.96171428571428585</v>
      </c>
      <c r="AG52" s="172"/>
    </row>
    <row r="53" spans="1:33" ht="15.75" customHeight="1">
      <c r="A53" s="182" t="s">
        <v>1662</v>
      </c>
      <c r="B53" s="37" t="s">
        <v>78</v>
      </c>
      <c r="C53" s="173" t="s">
        <v>120</v>
      </c>
      <c r="D53" s="174"/>
      <c r="E53" s="37">
        <v>56.43</v>
      </c>
      <c r="F53" s="42">
        <v>1685</v>
      </c>
      <c r="G53" s="4">
        <f t="shared" si="35"/>
        <v>95084.55</v>
      </c>
      <c r="H53" s="22" t="s">
        <v>139</v>
      </c>
      <c r="I53" s="16">
        <v>22</v>
      </c>
      <c r="J53" s="18">
        <v>2000</v>
      </c>
      <c r="K53" s="17">
        <f t="shared" si="1"/>
        <v>90.909090909090907</v>
      </c>
      <c r="L53" s="16">
        <v>22</v>
      </c>
      <c r="M53" s="18">
        <f t="shared" si="36"/>
        <v>1743.103448275861</v>
      </c>
      <c r="N53" s="18">
        <f t="shared" si="3"/>
        <v>79.231974921630041</v>
      </c>
      <c r="O53" s="19">
        <f t="shared" si="4"/>
        <v>0</v>
      </c>
      <c r="P53" s="20">
        <f t="shared" si="5"/>
        <v>-11.677115987460866</v>
      </c>
      <c r="Q53" s="21">
        <f t="shared" si="6"/>
        <v>0.87155172413793047</v>
      </c>
      <c r="R53" s="172"/>
      <c r="S53" s="28">
        <v>0.26319444444444445</v>
      </c>
      <c r="T53" s="28">
        <v>0.30347222222222225</v>
      </c>
      <c r="U53" s="4">
        <f t="shared" si="38"/>
        <v>4.9999999999999822</v>
      </c>
      <c r="V53" s="22">
        <f t="shared" si="37"/>
        <v>58.000000000000036</v>
      </c>
      <c r="W53" s="23"/>
      <c r="X53" s="23"/>
      <c r="Y53" s="26"/>
      <c r="Z53" s="26"/>
      <c r="AA53" s="164"/>
      <c r="AB53" s="164"/>
      <c r="AC53" s="25"/>
      <c r="AD53" s="25"/>
      <c r="AE53" s="19">
        <f t="shared" si="8"/>
        <v>-256.89655172413904</v>
      </c>
      <c r="AF53" s="21">
        <f t="shared" si="9"/>
        <v>0.87155172413793047</v>
      </c>
      <c r="AG53" s="172"/>
    </row>
    <row r="54" spans="1:33" ht="15.75" customHeight="1">
      <c r="A54" s="182" t="s">
        <v>1662</v>
      </c>
      <c r="B54" s="37" t="s">
        <v>78</v>
      </c>
      <c r="C54" s="43" t="s">
        <v>121</v>
      </c>
      <c r="D54" s="44"/>
      <c r="E54" s="37">
        <v>51.75</v>
      </c>
      <c r="F54" s="42">
        <v>1544</v>
      </c>
      <c r="G54" s="4">
        <f t="shared" si="35"/>
        <v>79902</v>
      </c>
      <c r="H54" s="22" t="s">
        <v>139</v>
      </c>
      <c r="I54" s="16">
        <v>25</v>
      </c>
      <c r="J54" s="18">
        <v>2000</v>
      </c>
      <c r="K54" s="17">
        <f t="shared" si="1"/>
        <v>80</v>
      </c>
      <c r="L54" s="16">
        <v>25</v>
      </c>
      <c r="M54" s="18">
        <f t="shared" si="36"/>
        <v>1684.3636363636374</v>
      </c>
      <c r="N54" s="18">
        <f t="shared" si="3"/>
        <v>67.374545454545498</v>
      </c>
      <c r="O54" s="19">
        <f t="shared" si="4"/>
        <v>0</v>
      </c>
      <c r="P54" s="20">
        <f t="shared" si="5"/>
        <v>-12.625454545454502</v>
      </c>
      <c r="Q54" s="21">
        <f t="shared" si="6"/>
        <v>0.8421818181818187</v>
      </c>
      <c r="R54" s="172"/>
      <c r="S54" s="28">
        <v>0.30902777777777779</v>
      </c>
      <c r="T54" s="28">
        <v>0.34722222222222221</v>
      </c>
      <c r="U54" s="4">
        <f t="shared" si="38"/>
        <v>7.9999999999999716</v>
      </c>
      <c r="V54" s="22">
        <f t="shared" si="37"/>
        <v>54.999999999999964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8"/>
        <v>-315.6363636363626</v>
      </c>
      <c r="AF54" s="21">
        <f t="shared" si="9"/>
        <v>0.8421818181818187</v>
      </c>
      <c r="AG54" s="172"/>
    </row>
    <row r="55" spans="1:33" ht="15.75" customHeight="1">
      <c r="A55" s="182" t="s">
        <v>1662</v>
      </c>
      <c r="B55" s="37" t="s">
        <v>78</v>
      </c>
      <c r="C55" s="43" t="s">
        <v>122</v>
      </c>
      <c r="D55" s="44"/>
      <c r="E55" s="37">
        <v>54.09</v>
      </c>
      <c r="F55" s="42">
        <v>1207</v>
      </c>
      <c r="G55" s="4">
        <f t="shared" si="35"/>
        <v>65286.630000000005</v>
      </c>
      <c r="H55" s="22" t="s">
        <v>139</v>
      </c>
      <c r="I55" s="16">
        <v>19</v>
      </c>
      <c r="J55" s="18">
        <v>2000</v>
      </c>
      <c r="K55" s="17">
        <f t="shared" si="1"/>
        <v>105.26315789473684</v>
      </c>
      <c r="L55" s="16">
        <v>19</v>
      </c>
      <c r="M55" s="18">
        <f t="shared" si="36"/>
        <v>1856.9230769230758</v>
      </c>
      <c r="N55" s="18">
        <f t="shared" si="3"/>
        <v>97.732793522267144</v>
      </c>
      <c r="O55" s="19">
        <f t="shared" si="4"/>
        <v>0</v>
      </c>
      <c r="P55" s="20">
        <f t="shared" si="5"/>
        <v>-7.5303643724696911</v>
      </c>
      <c r="Q55" s="21">
        <f t="shared" si="6"/>
        <v>0.92846153846153789</v>
      </c>
      <c r="R55" s="172"/>
      <c r="S55" s="28">
        <v>0.35277777777777775</v>
      </c>
      <c r="T55" s="28">
        <v>0.37986111111111109</v>
      </c>
      <c r="U55" s="4">
        <f t="shared" si="38"/>
        <v>7.9999999999999716</v>
      </c>
      <c r="V55" s="22">
        <f t="shared" si="37"/>
        <v>39.000000000000021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8"/>
        <v>-143.07692307692423</v>
      </c>
      <c r="AF55" s="21">
        <f t="shared" si="9"/>
        <v>0.92846153846153789</v>
      </c>
      <c r="AG55" s="172"/>
    </row>
    <row r="56" spans="1:33" ht="15.75" customHeight="1">
      <c r="A56" s="182" t="s">
        <v>1662</v>
      </c>
      <c r="B56" s="37" t="s">
        <v>78</v>
      </c>
      <c r="C56" s="173" t="s">
        <v>123</v>
      </c>
      <c r="D56" s="174"/>
      <c r="E56" s="37">
        <v>55.56</v>
      </c>
      <c r="F56" s="42">
        <v>1000</v>
      </c>
      <c r="G56" s="4">
        <f t="shared" si="35"/>
        <v>55560</v>
      </c>
      <c r="H56" s="22">
        <v>2</v>
      </c>
      <c r="I56" s="16">
        <v>17</v>
      </c>
      <c r="J56" s="18">
        <v>2000</v>
      </c>
      <c r="K56" s="17">
        <f t="shared" si="1"/>
        <v>117.64705882352941</v>
      </c>
      <c r="L56" s="16">
        <v>17</v>
      </c>
      <c r="M56" s="18">
        <f t="shared" si="36"/>
        <v>1935.483870967739</v>
      </c>
      <c r="N56" s="18">
        <f t="shared" si="3"/>
        <v>113.85199240986699</v>
      </c>
      <c r="O56" s="19">
        <f t="shared" si="4"/>
        <v>0</v>
      </c>
      <c r="P56" s="20">
        <f t="shared" si="5"/>
        <v>-3.7950664136624113</v>
      </c>
      <c r="Q56" s="21">
        <f t="shared" si="6"/>
        <v>0.96774193548386955</v>
      </c>
      <c r="R56" s="172"/>
      <c r="S56" s="28">
        <v>0.70833333333333337</v>
      </c>
      <c r="T56" s="28">
        <v>0.72986111111111118</v>
      </c>
      <c r="U56" s="4" t="str">
        <f t="shared" si="38"/>
        <v/>
      </c>
      <c r="V56" s="22">
        <f t="shared" si="37"/>
        <v>31.00000000000005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8"/>
        <v>-64.516129032261006</v>
      </c>
      <c r="AF56" s="21">
        <f t="shared" si="9"/>
        <v>0.96774193548386944</v>
      </c>
      <c r="AG56" s="172"/>
    </row>
    <row r="57" spans="1:33" ht="15.75" customHeight="1">
      <c r="A57" s="182" t="s">
        <v>1662</v>
      </c>
      <c r="B57" s="37" t="s">
        <v>78</v>
      </c>
      <c r="C57" s="173" t="s">
        <v>124</v>
      </c>
      <c r="D57" s="174"/>
      <c r="E57" s="37">
        <v>55.32</v>
      </c>
      <c r="F57" s="42">
        <v>1296</v>
      </c>
      <c r="G57" s="4">
        <f t="shared" si="35"/>
        <v>71694.720000000001</v>
      </c>
      <c r="H57" s="22" t="s">
        <v>139</v>
      </c>
      <c r="I57" s="16">
        <v>15</v>
      </c>
      <c r="J57" s="18">
        <v>2000</v>
      </c>
      <c r="K57" s="17">
        <f t="shared" si="1"/>
        <v>133.33333333333334</v>
      </c>
      <c r="L57" s="16">
        <v>15</v>
      </c>
      <c r="M57" s="18">
        <f t="shared" si="36"/>
        <v>1943.9999999999995</v>
      </c>
      <c r="N57" s="18">
        <f t="shared" si="3"/>
        <v>129.59999999999997</v>
      </c>
      <c r="O57" s="19">
        <f t="shared" si="4"/>
        <v>0</v>
      </c>
      <c r="P57" s="20">
        <f t="shared" si="5"/>
        <v>-3.7333333333333769</v>
      </c>
      <c r="Q57" s="21">
        <f t="shared" si="6"/>
        <v>0.97199999999999964</v>
      </c>
      <c r="R57" s="172"/>
      <c r="S57" s="28">
        <v>0.73402777777777783</v>
      </c>
      <c r="T57" s="28">
        <v>0.76180555555555562</v>
      </c>
      <c r="U57" s="4">
        <f t="shared" si="38"/>
        <v>5.9999999999999787</v>
      </c>
      <c r="V57" s="22">
        <f t="shared" si="37"/>
        <v>40.000000000000014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8"/>
        <v>-56.000000000000455</v>
      </c>
      <c r="AF57" s="21">
        <f t="shared" si="9"/>
        <v>0.97199999999999975</v>
      </c>
      <c r="AG57" s="172"/>
    </row>
    <row r="58" spans="1:33" ht="15.75" customHeight="1">
      <c r="A58" s="182" t="s">
        <v>1662</v>
      </c>
      <c r="B58" s="37" t="s">
        <v>78</v>
      </c>
      <c r="C58" s="173" t="s">
        <v>125</v>
      </c>
      <c r="D58" s="174"/>
      <c r="E58" s="37">
        <v>54.29</v>
      </c>
      <c r="F58" s="42">
        <v>1567</v>
      </c>
      <c r="G58" s="4">
        <f t="shared" si="35"/>
        <v>85072.43</v>
      </c>
      <c r="H58" s="22" t="s">
        <v>139</v>
      </c>
      <c r="I58" s="16">
        <v>20</v>
      </c>
      <c r="J58" s="18">
        <v>2000</v>
      </c>
      <c r="K58" s="17">
        <f t="shared" si="1"/>
        <v>100</v>
      </c>
      <c r="L58" s="16">
        <v>20</v>
      </c>
      <c r="M58" s="18">
        <f t="shared" si="36"/>
        <v>1918.7755102040821</v>
      </c>
      <c r="N58" s="18">
        <f t="shared" si="3"/>
        <v>95.93877551020411</v>
      </c>
      <c r="O58" s="19">
        <f t="shared" si="4"/>
        <v>0</v>
      </c>
      <c r="P58" s="20">
        <f t="shared" si="5"/>
        <v>-4.0612244897958902</v>
      </c>
      <c r="Q58" s="21">
        <f t="shared" si="6"/>
        <v>0.95938775510204111</v>
      </c>
      <c r="R58" s="172"/>
      <c r="S58" s="28">
        <v>0.76666666666666672</v>
      </c>
      <c r="T58" s="28">
        <v>0.80069444444444449</v>
      </c>
      <c r="U58" s="4">
        <f t="shared" si="38"/>
        <v>6.9999999999999751</v>
      </c>
      <c r="V58" s="22">
        <f t="shared" si="37"/>
        <v>48.999999999999986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8"/>
        <v>-81.224489795917862</v>
      </c>
      <c r="AF58" s="21">
        <f t="shared" si="9"/>
        <v>0.95938775510204111</v>
      </c>
      <c r="AG58" s="172"/>
    </row>
    <row r="59" spans="1:33">
      <c r="A59" s="182" t="s">
        <v>1662</v>
      </c>
      <c r="B59" s="37" t="s">
        <v>78</v>
      </c>
      <c r="C59" s="173" t="s">
        <v>126</v>
      </c>
      <c r="D59" s="174"/>
      <c r="E59" s="37">
        <v>57.73</v>
      </c>
      <c r="F59" s="42">
        <v>1095</v>
      </c>
      <c r="G59" s="4">
        <f t="shared" si="35"/>
        <v>63214.35</v>
      </c>
      <c r="H59" s="22" t="s">
        <v>139</v>
      </c>
      <c r="I59" s="16">
        <v>16</v>
      </c>
      <c r="J59" s="18">
        <v>1500</v>
      </c>
      <c r="K59" s="17">
        <f t="shared" si="1"/>
        <v>93.75</v>
      </c>
      <c r="L59" s="16">
        <v>16</v>
      </c>
      <c r="M59" s="18">
        <f t="shared" si="36"/>
        <v>1460</v>
      </c>
      <c r="N59" s="18">
        <f t="shared" si="3"/>
        <v>91.25</v>
      </c>
      <c r="O59" s="19">
        <f t="shared" si="4"/>
        <v>0</v>
      </c>
      <c r="P59" s="20">
        <f t="shared" si="5"/>
        <v>-2.5</v>
      </c>
      <c r="Q59" s="21">
        <f t="shared" si="6"/>
        <v>0.97333333333333338</v>
      </c>
      <c r="R59" s="172"/>
      <c r="S59" s="28">
        <v>0.8041666666666667</v>
      </c>
      <c r="T59" s="28">
        <v>0.8354166666666667</v>
      </c>
      <c r="U59" s="4">
        <f t="shared" si="38"/>
        <v>4.9999999999999822</v>
      </c>
      <c r="V59" s="22">
        <f t="shared" si="37"/>
        <v>45</v>
      </c>
      <c r="W59" s="23">
        <f>T59</f>
        <v>0.8354166666666667</v>
      </c>
      <c r="X59" s="23">
        <f>S60</f>
        <v>0.87430555555555556</v>
      </c>
      <c r="Y59" s="26"/>
      <c r="Z59" s="26"/>
      <c r="AA59" s="175"/>
      <c r="AB59" s="176"/>
      <c r="AC59" s="25"/>
      <c r="AD59" s="25"/>
      <c r="AE59" s="19">
        <f t="shared" si="8"/>
        <v>-40</v>
      </c>
      <c r="AF59" s="21">
        <f t="shared" si="9"/>
        <v>0.97333333333333338</v>
      </c>
      <c r="AG59" s="172"/>
    </row>
    <row r="60" spans="1:33">
      <c r="A60" s="182" t="s">
        <v>1662</v>
      </c>
      <c r="B60" s="37" t="s">
        <v>78</v>
      </c>
      <c r="C60" s="173" t="s">
        <v>123</v>
      </c>
      <c r="D60" s="174"/>
      <c r="E60" s="37">
        <v>55.56</v>
      </c>
      <c r="F60" s="42">
        <v>974</v>
      </c>
      <c r="G60" s="4">
        <f t="shared" si="35"/>
        <v>54115.44</v>
      </c>
      <c r="H60" s="22" t="s">
        <v>139</v>
      </c>
      <c r="I60" s="16">
        <v>17</v>
      </c>
      <c r="J60" s="18">
        <v>2000</v>
      </c>
      <c r="K60" s="17">
        <f t="shared" si="1"/>
        <v>117.64705882352941</v>
      </c>
      <c r="L60" s="16">
        <v>17</v>
      </c>
      <c r="M60" s="18">
        <f t="shared" si="36"/>
        <v>1947.9999999999968</v>
      </c>
      <c r="N60" s="18">
        <f t="shared" si="3"/>
        <v>114.58823529411745</v>
      </c>
      <c r="O60" s="19">
        <f t="shared" si="4"/>
        <v>0</v>
      </c>
      <c r="P60" s="20">
        <f t="shared" si="5"/>
        <v>-3.0588235294119528</v>
      </c>
      <c r="Q60" s="21">
        <f t="shared" si="6"/>
        <v>0.97399999999999842</v>
      </c>
      <c r="R60" s="172"/>
      <c r="S60" s="28">
        <v>0.87430555555555556</v>
      </c>
      <c r="T60" s="28">
        <v>0.89513888888888893</v>
      </c>
      <c r="U60" s="4">
        <f t="shared" si="38"/>
        <v>55.999999999999957</v>
      </c>
      <c r="V60" s="22">
        <f t="shared" si="37"/>
        <v>30.000000000000053</v>
      </c>
      <c r="W60" s="23"/>
      <c r="X60" s="23"/>
      <c r="Y60" s="26"/>
      <c r="Z60" s="26"/>
      <c r="AA60" s="175"/>
      <c r="AB60" s="176"/>
      <c r="AC60" s="25"/>
      <c r="AD60" s="25"/>
      <c r="AE60" s="19">
        <f t="shared" si="8"/>
        <v>-52.000000000003183</v>
      </c>
      <c r="AF60" s="21">
        <f t="shared" si="9"/>
        <v>0.97399999999999842</v>
      </c>
      <c r="AG60" s="172"/>
    </row>
    <row r="61" spans="1:33">
      <c r="A61" s="183" t="s">
        <v>1662</v>
      </c>
      <c r="B61" s="37" t="s">
        <v>1652</v>
      </c>
      <c r="C61" s="177"/>
      <c r="D61" s="177"/>
      <c r="E61" s="38"/>
      <c r="F61" s="17"/>
      <c r="G61" s="17"/>
      <c r="H61" s="4"/>
      <c r="I61" s="30">
        <v>18.5</v>
      </c>
      <c r="J61" s="18">
        <v>1950</v>
      </c>
      <c r="K61" s="17">
        <f t="shared" si="1"/>
        <v>105.4054054054054</v>
      </c>
      <c r="L61" s="30">
        <v>18.5</v>
      </c>
      <c r="M61" s="18">
        <f>AVERAGE(M51:M60)</f>
        <v>1835.6578114162967</v>
      </c>
      <c r="N61" s="17">
        <f t="shared" si="3"/>
        <v>99.22474656304307</v>
      </c>
      <c r="O61" s="19">
        <f t="shared" si="4"/>
        <v>0</v>
      </c>
      <c r="P61" s="20">
        <f t="shared" si="5"/>
        <v>-6.1806588423623339</v>
      </c>
      <c r="Q61" s="21">
        <f t="shared" si="6"/>
        <v>0.94136298021348552</v>
      </c>
      <c r="R61" s="172"/>
      <c r="S61" s="28"/>
      <c r="T61" s="28"/>
      <c r="U61" s="4"/>
      <c r="V61" s="22"/>
      <c r="W61" s="17"/>
      <c r="X61" s="17"/>
      <c r="Y61" s="31">
        <f>SUM(Y51:Y60)</f>
        <v>0</v>
      </c>
      <c r="Z61" s="31">
        <f>SUM(Z51:Z60)</f>
        <v>0</v>
      </c>
      <c r="AA61" s="168"/>
      <c r="AB61" s="168"/>
      <c r="AC61" s="31">
        <f>SUM(AC51:AC60)</f>
        <v>10</v>
      </c>
      <c r="AD61" s="31">
        <f>SUM(AD51:AD60)</f>
        <v>0</v>
      </c>
      <c r="AE61" s="19">
        <f>M61-J61</f>
        <v>-114.34218858370332</v>
      </c>
      <c r="AF61" s="21">
        <f t="shared" si="9"/>
        <v>0.94136298021348552</v>
      </c>
      <c r="AG61" s="172"/>
    </row>
    <row r="62" spans="1:33" ht="15.75" customHeight="1">
      <c r="A62" s="178" t="s">
        <v>1663</v>
      </c>
      <c r="B62" s="4" t="s">
        <v>84</v>
      </c>
      <c r="C62" s="165" t="s">
        <v>127</v>
      </c>
      <c r="D62" s="165"/>
      <c r="E62" s="37">
        <v>26.97</v>
      </c>
      <c r="F62" s="42">
        <v>1878</v>
      </c>
      <c r="G62" s="4">
        <f t="shared" ref="G62:G66" si="39">E62*F62</f>
        <v>50649.659999999996</v>
      </c>
      <c r="H62" s="22" t="s">
        <v>139</v>
      </c>
      <c r="I62" s="16">
        <v>8</v>
      </c>
      <c r="J62" s="18">
        <v>1500</v>
      </c>
      <c r="K62" s="17">
        <f t="shared" si="1"/>
        <v>187.5</v>
      </c>
      <c r="L62" s="16">
        <v>8</v>
      </c>
      <c r="M62" s="18">
        <f t="shared" ref="M62:M66" si="40">F62/V62*60</f>
        <v>1444.6153846153845</v>
      </c>
      <c r="N62" s="17">
        <f t="shared" si="3"/>
        <v>180.57692307692307</v>
      </c>
      <c r="O62" s="19">
        <f t="shared" si="4"/>
        <v>0</v>
      </c>
      <c r="P62" s="20">
        <f t="shared" si="5"/>
        <v>-6.923076923076934</v>
      </c>
      <c r="Q62" s="21">
        <f t="shared" si="6"/>
        <v>0.96307692307692305</v>
      </c>
      <c r="R62" s="172">
        <f>Q67</f>
        <v>0.965892878892879</v>
      </c>
      <c r="S62" s="28">
        <v>0.20833333333333334</v>
      </c>
      <c r="T62" s="28">
        <v>0.26250000000000001</v>
      </c>
      <c r="U62" s="4"/>
      <c r="V62" s="22">
        <f t="shared" ref="V62:V66" si="41">(T62-S62)*24*60</f>
        <v>78</v>
      </c>
      <c r="W62" s="28"/>
      <c r="X62" s="28"/>
      <c r="Y62" s="28"/>
      <c r="Z62" s="28"/>
      <c r="AA62" s="164"/>
      <c r="AB62" s="164"/>
      <c r="AC62" s="25">
        <v>5</v>
      </c>
      <c r="AD62" s="25"/>
      <c r="AE62" s="19">
        <f t="shared" ref="AE62:AE73" si="42">M62-J62</f>
        <v>-55.384615384615472</v>
      </c>
      <c r="AF62" s="21">
        <f t="shared" si="9"/>
        <v>0.96307692307692305</v>
      </c>
      <c r="AG62" s="172">
        <f>AF67</f>
        <v>0.965892878892879</v>
      </c>
    </row>
    <row r="63" spans="1:33" ht="15.75" customHeight="1">
      <c r="A63" s="178" t="s">
        <v>1663</v>
      </c>
      <c r="B63" s="4" t="s">
        <v>84</v>
      </c>
      <c r="C63" s="165" t="s">
        <v>128</v>
      </c>
      <c r="D63" s="165"/>
      <c r="E63" s="37">
        <v>27.4</v>
      </c>
      <c r="F63" s="42">
        <v>891</v>
      </c>
      <c r="G63" s="4">
        <f t="shared" si="39"/>
        <v>24413.399999999998</v>
      </c>
      <c r="H63" s="22" t="s">
        <v>139</v>
      </c>
      <c r="I63" s="16">
        <v>10</v>
      </c>
      <c r="J63" s="18">
        <v>1500</v>
      </c>
      <c r="K63" s="17">
        <f t="shared" si="1"/>
        <v>150</v>
      </c>
      <c r="L63" s="16">
        <v>10</v>
      </c>
      <c r="M63" s="18">
        <f t="shared" si="40"/>
        <v>1444.8648648648639</v>
      </c>
      <c r="N63" s="17">
        <f t="shared" si="3"/>
        <v>144.4864864864864</v>
      </c>
      <c r="O63" s="19">
        <f t="shared" si="4"/>
        <v>0</v>
      </c>
      <c r="P63" s="20">
        <f t="shared" si="5"/>
        <v>-5.5135135135136011</v>
      </c>
      <c r="Q63" s="21">
        <f t="shared" si="6"/>
        <v>0.96324324324324262</v>
      </c>
      <c r="R63" s="172"/>
      <c r="S63" s="28">
        <v>0.26597222222222222</v>
      </c>
      <c r="T63" s="28">
        <v>0.29166666666666669</v>
      </c>
      <c r="U63" s="4">
        <f t="shared" ref="U63:U66" si="43">(S63-T62)*24*60</f>
        <v>4.9999999999999822</v>
      </c>
      <c r="V63" s="22">
        <f t="shared" si="41"/>
        <v>37.000000000000028</v>
      </c>
      <c r="W63" s="4"/>
      <c r="X63" s="4"/>
      <c r="Y63" s="4"/>
      <c r="Z63" s="4"/>
      <c r="AA63" s="164"/>
      <c r="AB63" s="164"/>
      <c r="AC63" s="25"/>
      <c r="AD63" s="25"/>
      <c r="AE63" s="19">
        <f t="shared" si="42"/>
        <v>-55.135135135136125</v>
      </c>
      <c r="AF63" s="21">
        <f t="shared" si="9"/>
        <v>0.96324324324324262</v>
      </c>
      <c r="AG63" s="172"/>
    </row>
    <row r="64" spans="1:33" ht="15.75" customHeight="1">
      <c r="A64" s="178" t="s">
        <v>1663</v>
      </c>
      <c r="B64" s="4" t="s">
        <v>111</v>
      </c>
      <c r="C64" s="165" t="s">
        <v>129</v>
      </c>
      <c r="D64" s="165"/>
      <c r="E64" s="37">
        <v>31</v>
      </c>
      <c r="F64" s="42">
        <v>706</v>
      </c>
      <c r="G64" s="4">
        <f t="shared" si="39"/>
        <v>21886</v>
      </c>
      <c r="H64" s="22" t="s">
        <v>139</v>
      </c>
      <c r="I64" s="16">
        <v>13</v>
      </c>
      <c r="J64" s="18">
        <v>2000</v>
      </c>
      <c r="K64" s="17">
        <f t="shared" si="1"/>
        <v>153.84615384615384</v>
      </c>
      <c r="L64" s="16">
        <v>13</v>
      </c>
      <c r="M64" s="18">
        <f t="shared" si="40"/>
        <v>1925.4545454545455</v>
      </c>
      <c r="N64" s="17">
        <f t="shared" si="3"/>
        <v>148.11188811188811</v>
      </c>
      <c r="O64" s="19">
        <f t="shared" si="4"/>
        <v>0</v>
      </c>
      <c r="P64" s="20">
        <f t="shared" si="5"/>
        <v>-5.7342657342657333</v>
      </c>
      <c r="Q64" s="21">
        <f t="shared" si="6"/>
        <v>0.96272727272727276</v>
      </c>
      <c r="R64" s="172"/>
      <c r="S64" s="28">
        <v>0.29583333333333334</v>
      </c>
      <c r="T64" s="28">
        <v>0.31111111111111112</v>
      </c>
      <c r="U64" s="4">
        <f t="shared" si="43"/>
        <v>5.9999999999999787</v>
      </c>
      <c r="V64" s="22">
        <f t="shared" si="41"/>
        <v>22</v>
      </c>
      <c r="W64" s="4"/>
      <c r="X64" s="4"/>
      <c r="Y64" s="4"/>
      <c r="Z64" s="4"/>
      <c r="AA64" s="164"/>
      <c r="AB64" s="164"/>
      <c r="AC64" s="25"/>
      <c r="AD64" s="25"/>
      <c r="AE64" s="19">
        <f t="shared" si="42"/>
        <v>-74.545454545454504</v>
      </c>
      <c r="AF64" s="21">
        <f t="shared" si="9"/>
        <v>0.96272727272727276</v>
      </c>
      <c r="AG64" s="172"/>
    </row>
    <row r="65" spans="1:33" ht="15.75" customHeight="1">
      <c r="A65" s="178" t="s">
        <v>1663</v>
      </c>
      <c r="B65" s="4" t="s">
        <v>111</v>
      </c>
      <c r="C65" s="165" t="s">
        <v>130</v>
      </c>
      <c r="D65" s="165"/>
      <c r="E65" s="37">
        <v>37.85</v>
      </c>
      <c r="F65" s="42">
        <v>2351</v>
      </c>
      <c r="G65" s="4">
        <f t="shared" si="39"/>
        <v>88985.35</v>
      </c>
      <c r="H65" s="22" t="s">
        <v>139</v>
      </c>
      <c r="I65" s="16">
        <v>12</v>
      </c>
      <c r="J65" s="18">
        <v>2000</v>
      </c>
      <c r="K65" s="17">
        <f t="shared" si="1"/>
        <v>166.66666666666666</v>
      </c>
      <c r="L65" s="16">
        <v>12</v>
      </c>
      <c r="M65" s="18">
        <f t="shared" si="40"/>
        <v>1906.2162162162169</v>
      </c>
      <c r="N65" s="17">
        <f t="shared" si="3"/>
        <v>158.85135135135141</v>
      </c>
      <c r="O65" s="19">
        <f t="shared" si="4"/>
        <v>0</v>
      </c>
      <c r="P65" s="20">
        <f t="shared" si="5"/>
        <v>-7.8153153153152459</v>
      </c>
      <c r="Q65" s="21">
        <f t="shared" si="6"/>
        <v>0.95310810810810853</v>
      </c>
      <c r="R65" s="172"/>
      <c r="S65" s="28">
        <v>0.31597222222222221</v>
      </c>
      <c r="T65" s="28">
        <v>0.36736111111111108</v>
      </c>
      <c r="U65" s="4">
        <f t="shared" si="43"/>
        <v>6.9999999999999751</v>
      </c>
      <c r="V65" s="22">
        <f t="shared" si="41"/>
        <v>73.999999999999972</v>
      </c>
      <c r="W65" s="4"/>
      <c r="X65" s="4"/>
      <c r="Y65" s="4"/>
      <c r="Z65" s="4"/>
      <c r="AA65" s="164"/>
      <c r="AB65" s="164"/>
      <c r="AC65" s="25"/>
      <c r="AD65" s="25"/>
      <c r="AE65" s="19">
        <f t="shared" si="42"/>
        <v>-93.783783783783065</v>
      </c>
      <c r="AF65" s="21">
        <f t="shared" si="9"/>
        <v>0.95310810810810842</v>
      </c>
      <c r="AG65" s="172"/>
    </row>
    <row r="66" spans="1:33">
      <c r="A66" s="179" t="s">
        <v>1663</v>
      </c>
      <c r="B66" s="4" t="s">
        <v>111</v>
      </c>
      <c r="C66" s="165" t="s">
        <v>131</v>
      </c>
      <c r="D66" s="165"/>
      <c r="E66" s="37">
        <v>34.36</v>
      </c>
      <c r="F66" s="42">
        <v>1322</v>
      </c>
      <c r="G66" s="4">
        <f t="shared" si="39"/>
        <v>45423.92</v>
      </c>
      <c r="H66" s="22" t="s">
        <v>139</v>
      </c>
      <c r="I66" s="16">
        <v>10</v>
      </c>
      <c r="J66" s="18">
        <v>3000</v>
      </c>
      <c r="K66" s="17">
        <f t="shared" si="1"/>
        <v>300</v>
      </c>
      <c r="L66" s="16">
        <v>10</v>
      </c>
      <c r="M66" s="18">
        <f t="shared" si="40"/>
        <v>2937.7777777777792</v>
      </c>
      <c r="N66" s="17">
        <f t="shared" si="3"/>
        <v>293.77777777777794</v>
      </c>
      <c r="O66" s="19">
        <f t="shared" si="4"/>
        <v>0</v>
      </c>
      <c r="P66" s="20">
        <f t="shared" si="5"/>
        <v>-6.222222222222058</v>
      </c>
      <c r="Q66" s="21">
        <f t="shared" si="6"/>
        <v>0.97925925925925983</v>
      </c>
      <c r="R66" s="172"/>
      <c r="S66" s="28">
        <v>0.37083333333333329</v>
      </c>
      <c r="T66" s="28">
        <v>0.38958333333333328</v>
      </c>
      <c r="U66" s="4">
        <f t="shared" si="43"/>
        <v>4.9999999999999822</v>
      </c>
      <c r="V66" s="22">
        <f t="shared" si="41"/>
        <v>26.999999999999986</v>
      </c>
      <c r="W66" s="23"/>
      <c r="X66" s="23"/>
      <c r="Y66" s="23"/>
      <c r="Z66" s="23"/>
      <c r="AA66" s="164"/>
      <c r="AB66" s="164"/>
      <c r="AC66" s="25"/>
      <c r="AD66" s="25"/>
      <c r="AE66" s="19">
        <f t="shared" si="42"/>
        <v>-62.222222222220807</v>
      </c>
      <c r="AF66" s="21">
        <f t="shared" si="9"/>
        <v>0.97925925925925972</v>
      </c>
      <c r="AG66" s="172"/>
    </row>
    <row r="67" spans="1:33">
      <c r="A67" s="179" t="s">
        <v>1663</v>
      </c>
      <c r="B67" s="37" t="s">
        <v>1652</v>
      </c>
      <c r="C67" s="177"/>
      <c r="D67" s="177"/>
      <c r="E67" s="38"/>
      <c r="F67" s="17"/>
      <c r="G67" s="17"/>
      <c r="H67" s="4"/>
      <c r="I67" s="30">
        <v>10.6</v>
      </c>
      <c r="J67" s="18">
        <v>2000</v>
      </c>
      <c r="K67" s="17">
        <f t="shared" si="1"/>
        <v>188.67924528301887</v>
      </c>
      <c r="L67" s="30">
        <v>10.6</v>
      </c>
      <c r="M67" s="18">
        <f>AVERAGE(M62:M66)</f>
        <v>1931.7857577857581</v>
      </c>
      <c r="N67" s="17">
        <f t="shared" si="3"/>
        <v>182.24393941375075</v>
      </c>
      <c r="O67" s="19">
        <f t="shared" si="4"/>
        <v>0</v>
      </c>
      <c r="P67" s="20">
        <f t="shared" si="5"/>
        <v>-6.4353058692681202</v>
      </c>
      <c r="Q67" s="21">
        <f t="shared" si="6"/>
        <v>0.965892878892879</v>
      </c>
      <c r="R67" s="172"/>
      <c r="S67" s="28"/>
      <c r="T67" s="28"/>
      <c r="U67" s="17"/>
      <c r="V67" s="22"/>
      <c r="W67" s="17"/>
      <c r="X67" s="17"/>
      <c r="Y67" s="31">
        <f>SUM(Y62:Y66)</f>
        <v>0</v>
      </c>
      <c r="Z67" s="31">
        <f>SUM(Z62:Z66)</f>
        <v>0</v>
      </c>
      <c r="AA67" s="168"/>
      <c r="AB67" s="168"/>
      <c r="AC67" s="31">
        <f>SUM(AC62:AC66)</f>
        <v>5</v>
      </c>
      <c r="AD67" s="31">
        <f>SUM(AD62:AD66)</f>
        <v>0</v>
      </c>
      <c r="AE67" s="19">
        <f t="shared" si="42"/>
        <v>-68.214242214241949</v>
      </c>
      <c r="AF67" s="21">
        <f t="shared" si="9"/>
        <v>0.965892878892879</v>
      </c>
      <c r="AG67" s="172"/>
    </row>
    <row r="68" spans="1:33" ht="15.75" customHeight="1">
      <c r="A68" s="169" t="s">
        <v>1664</v>
      </c>
      <c r="B68" s="4" t="s">
        <v>100</v>
      </c>
      <c r="C68" s="165" t="s">
        <v>133</v>
      </c>
      <c r="D68" s="165"/>
      <c r="E68" s="37">
        <v>20.2</v>
      </c>
      <c r="F68" s="4">
        <v>1405</v>
      </c>
      <c r="G68" s="4">
        <f t="shared" ref="G68:G72" si="44">E68*F68</f>
        <v>28381</v>
      </c>
      <c r="H68" s="22" t="s">
        <v>139</v>
      </c>
      <c r="I68" s="16">
        <v>19</v>
      </c>
      <c r="J68" s="18">
        <v>2400</v>
      </c>
      <c r="K68" s="17">
        <f t="shared" si="1"/>
        <v>126.31578947368421</v>
      </c>
      <c r="L68" s="16">
        <v>19</v>
      </c>
      <c r="M68" s="18">
        <f t="shared" ref="M68:M72" si="45">F68/V68*60</f>
        <v>2341.666666666667</v>
      </c>
      <c r="N68" s="17">
        <f t="shared" si="3"/>
        <v>123.24561403508774</v>
      </c>
      <c r="O68" s="19">
        <f t="shared" si="4"/>
        <v>0</v>
      </c>
      <c r="P68" s="20">
        <f t="shared" si="5"/>
        <v>-3.0701754385964648</v>
      </c>
      <c r="Q68" s="21">
        <f t="shared" si="6"/>
        <v>0.97569444444444464</v>
      </c>
      <c r="R68" s="172">
        <f>Q73</f>
        <v>0.96375803008807048</v>
      </c>
      <c r="S68" s="28">
        <v>0.125</v>
      </c>
      <c r="T68" s="28">
        <v>0.15</v>
      </c>
      <c r="U68" s="28"/>
      <c r="V68" s="22">
        <f t="shared" ref="V68:V72" si="46">(T68-S68)*24*60</f>
        <v>35.999999999999993</v>
      </c>
      <c r="W68" s="23">
        <f>T68</f>
        <v>0.15</v>
      </c>
      <c r="X68" s="23">
        <f>S69</f>
        <v>0.16944444444444445</v>
      </c>
      <c r="Y68" s="23"/>
      <c r="Z68" s="23"/>
      <c r="AA68" s="164"/>
      <c r="AB68" s="164"/>
      <c r="AC68" s="25">
        <v>5</v>
      </c>
      <c r="AD68" s="25"/>
      <c r="AE68" s="19">
        <f t="shared" si="42"/>
        <v>-58.33333333333303</v>
      </c>
      <c r="AF68" s="21">
        <f t="shared" si="9"/>
        <v>0.97569444444444453</v>
      </c>
      <c r="AG68" s="172">
        <f>AF73</f>
        <v>0.96375803008807037</v>
      </c>
    </row>
    <row r="69" spans="1:33" ht="15.75" customHeight="1">
      <c r="A69" s="170" t="s">
        <v>1664</v>
      </c>
      <c r="B69" s="4" t="s">
        <v>100</v>
      </c>
      <c r="C69" s="165" t="s">
        <v>109</v>
      </c>
      <c r="D69" s="165"/>
      <c r="E69" s="37">
        <v>24.45</v>
      </c>
      <c r="F69" s="4">
        <v>2276</v>
      </c>
      <c r="G69" s="4">
        <f t="shared" si="44"/>
        <v>55648.2</v>
      </c>
      <c r="H69" s="22" t="s">
        <v>139</v>
      </c>
      <c r="I69" s="16">
        <v>20</v>
      </c>
      <c r="J69" s="18">
        <v>2400</v>
      </c>
      <c r="K69" s="17">
        <f t="shared" ref="K69:K73" si="47">J69/I69</f>
        <v>120</v>
      </c>
      <c r="L69" s="16">
        <v>20</v>
      </c>
      <c r="M69" s="18">
        <f t="shared" si="45"/>
        <v>2314.5762711864413</v>
      </c>
      <c r="N69" s="17">
        <f t="shared" ref="N69:N73" si="48">M69/L69</f>
        <v>115.72881355932206</v>
      </c>
      <c r="O69" s="19">
        <f t="shared" ref="O69:O73" si="49">L69-I69</f>
        <v>0</v>
      </c>
      <c r="P69" s="20">
        <f t="shared" ref="P69:P73" si="50">N69-K69</f>
        <v>-4.271186440677937</v>
      </c>
      <c r="Q69" s="21">
        <f t="shared" ref="Q69:Q73" si="51">N69/K69</f>
        <v>0.96440677966101718</v>
      </c>
      <c r="R69" s="172"/>
      <c r="S69" s="28">
        <v>0.16944444444444445</v>
      </c>
      <c r="T69" s="28">
        <v>0.21041666666666667</v>
      </c>
      <c r="U69" s="4">
        <f t="shared" ref="U69:U72" si="52">(S69-T68)*24*60</f>
        <v>28.000000000000021</v>
      </c>
      <c r="V69" s="22">
        <f t="shared" si="46"/>
        <v>58.999999999999993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42"/>
        <v>-85.423728813558682</v>
      </c>
      <c r="AF69" s="21">
        <f t="shared" ref="AF69:AF73" si="53">M69/J69</f>
        <v>0.96440677966101718</v>
      </c>
      <c r="AG69" s="172"/>
    </row>
    <row r="70" spans="1:33" ht="15.75" customHeight="1">
      <c r="A70" s="170" t="s">
        <v>1664</v>
      </c>
      <c r="B70" s="4" t="s">
        <v>100</v>
      </c>
      <c r="C70" s="165" t="s">
        <v>136</v>
      </c>
      <c r="D70" s="165"/>
      <c r="E70" s="37">
        <v>24.43</v>
      </c>
      <c r="F70" s="4">
        <v>5251</v>
      </c>
      <c r="G70" s="4">
        <f t="shared" si="44"/>
        <v>128281.93</v>
      </c>
      <c r="H70" s="22" t="s">
        <v>139</v>
      </c>
      <c r="I70" s="16">
        <v>14</v>
      </c>
      <c r="J70" s="18">
        <v>2400</v>
      </c>
      <c r="K70" s="17">
        <f t="shared" si="47"/>
        <v>171.42857142857142</v>
      </c>
      <c r="L70" s="16">
        <v>14</v>
      </c>
      <c r="M70" s="18">
        <f t="shared" si="45"/>
        <v>2299.7080291970801</v>
      </c>
      <c r="N70" s="17">
        <f t="shared" si="48"/>
        <v>164.26485922836287</v>
      </c>
      <c r="O70" s="19">
        <f t="shared" si="49"/>
        <v>0</v>
      </c>
      <c r="P70" s="20">
        <f t="shared" si="50"/>
        <v>-7.1637122002085505</v>
      </c>
      <c r="Q70" s="21">
        <f t="shared" si="51"/>
        <v>0.95821167883211678</v>
      </c>
      <c r="R70" s="172"/>
      <c r="S70" s="28">
        <v>0.21597222222222223</v>
      </c>
      <c r="T70" s="28">
        <v>0.31111111111111112</v>
      </c>
      <c r="U70" s="4">
        <f t="shared" si="52"/>
        <v>8.0000000000000107</v>
      </c>
      <c r="V70" s="22">
        <f t="shared" si="46"/>
        <v>137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42"/>
        <v>-100.29197080291988</v>
      </c>
      <c r="AF70" s="21">
        <f t="shared" si="53"/>
        <v>0.95821167883211666</v>
      </c>
      <c r="AG70" s="172"/>
    </row>
    <row r="71" spans="1:33" ht="15.75" customHeight="1">
      <c r="A71" s="170" t="s">
        <v>1664</v>
      </c>
      <c r="B71" s="4" t="s">
        <v>100</v>
      </c>
      <c r="C71" s="165" t="s">
        <v>138</v>
      </c>
      <c r="D71" s="165"/>
      <c r="E71" s="37">
        <v>22.69</v>
      </c>
      <c r="F71" s="4">
        <v>658</v>
      </c>
      <c r="G71" s="4">
        <f t="shared" si="44"/>
        <v>14930.02</v>
      </c>
      <c r="H71" s="22" t="s">
        <v>139</v>
      </c>
      <c r="I71" s="16">
        <v>15</v>
      </c>
      <c r="J71" s="18">
        <v>2400</v>
      </c>
      <c r="K71" s="17">
        <f t="shared" si="47"/>
        <v>160</v>
      </c>
      <c r="L71" s="16">
        <v>15</v>
      </c>
      <c r="M71" s="18">
        <f t="shared" si="45"/>
        <v>2322.352941176468</v>
      </c>
      <c r="N71" s="17">
        <f t="shared" si="48"/>
        <v>154.82352941176453</v>
      </c>
      <c r="O71" s="19">
        <f t="shared" si="49"/>
        <v>0</v>
      </c>
      <c r="P71" s="20">
        <f t="shared" si="50"/>
        <v>-5.1764705882354747</v>
      </c>
      <c r="Q71" s="21">
        <f t="shared" si="51"/>
        <v>0.96764705882352831</v>
      </c>
      <c r="R71" s="172"/>
      <c r="S71" s="28">
        <v>0.31597222222222221</v>
      </c>
      <c r="T71" s="28">
        <v>0.32777777777777778</v>
      </c>
      <c r="U71" s="4">
        <f t="shared" si="52"/>
        <v>6.9999999999999751</v>
      </c>
      <c r="V71" s="22">
        <f t="shared" si="46"/>
        <v>17.000000000000021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42"/>
        <v>-77.647058823532006</v>
      </c>
      <c r="AF71" s="21">
        <f t="shared" si="53"/>
        <v>0.96764705882352831</v>
      </c>
      <c r="AG71" s="172"/>
    </row>
    <row r="72" spans="1:33" ht="15.75" customHeight="1">
      <c r="A72" s="170" t="s">
        <v>1664</v>
      </c>
      <c r="B72" s="4" t="s">
        <v>100</v>
      </c>
      <c r="C72" s="165" t="s">
        <v>135</v>
      </c>
      <c r="D72" s="165"/>
      <c r="E72" s="37">
        <v>19.02</v>
      </c>
      <c r="F72" s="4">
        <v>8080</v>
      </c>
      <c r="G72" s="4">
        <f t="shared" si="44"/>
        <v>153681.60000000001</v>
      </c>
      <c r="H72" s="22" t="s">
        <v>139</v>
      </c>
      <c r="I72" s="16">
        <v>15</v>
      </c>
      <c r="J72" s="18">
        <v>2400</v>
      </c>
      <c r="K72" s="17">
        <f t="shared" si="47"/>
        <v>160</v>
      </c>
      <c r="L72" s="16">
        <v>15</v>
      </c>
      <c r="M72" s="18">
        <f t="shared" si="45"/>
        <v>2286.7924528301887</v>
      </c>
      <c r="N72" s="17">
        <f t="shared" si="48"/>
        <v>152.45283018867926</v>
      </c>
      <c r="O72" s="19">
        <f t="shared" si="49"/>
        <v>0</v>
      </c>
      <c r="P72" s="20">
        <f t="shared" si="50"/>
        <v>-7.5471698113207424</v>
      </c>
      <c r="Q72" s="21">
        <f t="shared" si="51"/>
        <v>0.9528301886792454</v>
      </c>
      <c r="R72" s="172"/>
      <c r="S72" s="28">
        <v>0.33124999999999999</v>
      </c>
      <c r="T72" s="28">
        <v>0.47847222222222219</v>
      </c>
      <c r="U72" s="4">
        <f t="shared" si="52"/>
        <v>4.9999999999999822</v>
      </c>
      <c r="V72" s="22">
        <f t="shared" si="46"/>
        <v>211.99999999999997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42"/>
        <v>-113.20754716981128</v>
      </c>
      <c r="AF72" s="21">
        <f t="shared" si="53"/>
        <v>0.95283018867924529</v>
      </c>
      <c r="AG72" s="172"/>
    </row>
    <row r="73" spans="1:33" ht="16.5" customHeight="1">
      <c r="A73" s="171" t="s">
        <v>1664</v>
      </c>
      <c r="B73" s="37" t="s">
        <v>1652</v>
      </c>
      <c r="C73" s="166"/>
      <c r="D73" s="167"/>
      <c r="E73" s="38"/>
      <c r="F73" s="17"/>
      <c r="G73" s="17"/>
      <c r="H73" s="4"/>
      <c r="I73" s="30">
        <v>16.600000000000001</v>
      </c>
      <c r="J73" s="18">
        <v>2400</v>
      </c>
      <c r="K73" s="17">
        <f t="shared" si="47"/>
        <v>144.57831325301203</v>
      </c>
      <c r="L73" s="30">
        <v>16.600000000000001</v>
      </c>
      <c r="M73" s="18">
        <f>AVERAGE(M68:M72)</f>
        <v>2313.0192722113688</v>
      </c>
      <c r="N73" s="17">
        <f t="shared" si="48"/>
        <v>139.33851037417884</v>
      </c>
      <c r="O73" s="19">
        <f t="shared" si="49"/>
        <v>0</v>
      </c>
      <c r="P73" s="20">
        <f t="shared" si="50"/>
        <v>-5.2398028788331885</v>
      </c>
      <c r="Q73" s="21">
        <f t="shared" si="51"/>
        <v>0.96375803008807048</v>
      </c>
      <c r="R73" s="172"/>
      <c r="S73" s="28"/>
      <c r="T73" s="28"/>
      <c r="U73" s="17"/>
      <c r="V73" s="22"/>
      <c r="W73" s="17"/>
      <c r="X73" s="17"/>
      <c r="Y73" s="31">
        <f>SUM(Y68:Y72)</f>
        <v>0</v>
      </c>
      <c r="Z73" s="31">
        <f>SUM(Z68:Z72)</f>
        <v>0</v>
      </c>
      <c r="AA73" s="168"/>
      <c r="AB73" s="168"/>
      <c r="AC73" s="31">
        <f>SUM(AC68:AC72)</f>
        <v>5</v>
      </c>
      <c r="AD73" s="31">
        <f>SUM(AD68:AD72)</f>
        <v>0</v>
      </c>
      <c r="AE73" s="19">
        <f t="shared" si="42"/>
        <v>-86.980727788631157</v>
      </c>
      <c r="AF73" s="21">
        <f t="shared" si="53"/>
        <v>0.96375803008807037</v>
      </c>
      <c r="AG73" s="172"/>
    </row>
    <row r="74" spans="1:33">
      <c r="D74" s="33"/>
      <c r="E74" s="33"/>
    </row>
  </sheetData>
  <mergeCells count="199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14:A20"/>
    <mergeCell ref="C14:D14"/>
    <mergeCell ref="R14:R20"/>
    <mergeCell ref="AA14:AB14"/>
    <mergeCell ref="AG14:AG20"/>
    <mergeCell ref="C18:D18"/>
    <mergeCell ref="AA18:AB18"/>
    <mergeCell ref="C19:D19"/>
    <mergeCell ref="AA19:AB19"/>
    <mergeCell ref="C20:D20"/>
    <mergeCell ref="AA20:AB20"/>
    <mergeCell ref="C15:D15"/>
    <mergeCell ref="AA15:AB15"/>
    <mergeCell ref="C16:D16"/>
    <mergeCell ref="AA16:AB16"/>
    <mergeCell ref="C17:D17"/>
    <mergeCell ref="AA17:AB17"/>
    <mergeCell ref="A11:A13"/>
    <mergeCell ref="C11:D11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G28:AG33"/>
    <mergeCell ref="C29:D29"/>
    <mergeCell ref="AA29:AB29"/>
    <mergeCell ref="C30:D30"/>
    <mergeCell ref="AA30:AB30"/>
    <mergeCell ref="C31:D31"/>
    <mergeCell ref="AA24:AB24"/>
    <mergeCell ref="C25:D25"/>
    <mergeCell ref="AA25:AB25"/>
    <mergeCell ref="C26:D26"/>
    <mergeCell ref="AA26:AB26"/>
    <mergeCell ref="C27:D27"/>
    <mergeCell ref="AA27:AB27"/>
    <mergeCell ref="AA31:AB31"/>
    <mergeCell ref="C32:D32"/>
    <mergeCell ref="AA32:AB32"/>
    <mergeCell ref="C33:D33"/>
    <mergeCell ref="AA33:AB33"/>
    <mergeCell ref="A34:A39"/>
    <mergeCell ref="C34:D34"/>
    <mergeCell ref="R34:R39"/>
    <mergeCell ref="AA34:AB34"/>
    <mergeCell ref="AA39:AB39"/>
    <mergeCell ref="A28:A33"/>
    <mergeCell ref="C28:D28"/>
    <mergeCell ref="R28:R33"/>
    <mergeCell ref="AA28:AB28"/>
    <mergeCell ref="AG40:AG50"/>
    <mergeCell ref="C41:D41"/>
    <mergeCell ref="AA41:AB41"/>
    <mergeCell ref="C42:D42"/>
    <mergeCell ref="AA42:AB42"/>
    <mergeCell ref="C43:D43"/>
    <mergeCell ref="AG34:AG39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C47:D47"/>
    <mergeCell ref="AA47:AB47"/>
    <mergeCell ref="C48:D48"/>
    <mergeCell ref="AA48:AB48"/>
    <mergeCell ref="C49:D49"/>
    <mergeCell ref="AA49:AB49"/>
    <mergeCell ref="AA43:AB43"/>
    <mergeCell ref="C44:D44"/>
    <mergeCell ref="A51:A61"/>
    <mergeCell ref="C51:D51"/>
    <mergeCell ref="R51:R61"/>
    <mergeCell ref="AA51:AB51"/>
    <mergeCell ref="AA57:AB57"/>
    <mergeCell ref="C58:D58"/>
    <mergeCell ref="AA58:AB58"/>
    <mergeCell ref="C59:D59"/>
    <mergeCell ref="A40:A50"/>
    <mergeCell ref="C40:D40"/>
    <mergeCell ref="AA44:AB44"/>
    <mergeCell ref="C45:D45"/>
    <mergeCell ref="AA45:AB45"/>
    <mergeCell ref="C46:D46"/>
    <mergeCell ref="AA46:AB46"/>
    <mergeCell ref="R40:R50"/>
    <mergeCell ref="AA40:AB40"/>
    <mergeCell ref="C50:D50"/>
    <mergeCell ref="AA50:AB50"/>
    <mergeCell ref="AG51:AG61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A59:AB59"/>
    <mergeCell ref="C60:D60"/>
    <mergeCell ref="AA60:AB60"/>
    <mergeCell ref="C61:D61"/>
    <mergeCell ref="AA61:AB61"/>
    <mergeCell ref="AG68:AG73"/>
    <mergeCell ref="C69:D69"/>
    <mergeCell ref="AA69:AB69"/>
    <mergeCell ref="C70:D70"/>
    <mergeCell ref="AA70:AB70"/>
    <mergeCell ref="C71:D71"/>
    <mergeCell ref="AG62:AG67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A71:AB71"/>
    <mergeCell ref="C72:D72"/>
    <mergeCell ref="AA72:AB72"/>
    <mergeCell ref="C73:D73"/>
    <mergeCell ref="AA73:AB73"/>
    <mergeCell ref="A68:A73"/>
    <mergeCell ref="C68:D68"/>
    <mergeCell ref="R68:R73"/>
    <mergeCell ref="AA68:AB68"/>
    <mergeCell ref="A62:A67"/>
    <mergeCell ref="C62:D62"/>
    <mergeCell ref="R62:R67"/>
    <mergeCell ref="AA62:AB62"/>
    <mergeCell ref="AA67:AB67"/>
  </mergeCells>
  <phoneticPr fontId="3" type="noConversion"/>
  <conditionalFormatting sqref="O5:O73">
    <cfRule type="cellIs" dxfId="178" priority="1" operator="greaterThan">
      <formula>0</formula>
    </cfRule>
  </conditionalFormatting>
  <conditionalFormatting sqref="P5:P73">
    <cfRule type="cellIs" dxfId="177" priority="4" operator="lessThan">
      <formula>0</formula>
    </cfRule>
  </conditionalFormatting>
  <conditionalFormatting sqref="Q5:Q73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R5:R11 AG5:AG11">
    <cfRule type="cellIs" dxfId="174" priority="81" operator="lessThan">
      <formula>0.8</formula>
    </cfRule>
  </conditionalFormatting>
  <conditionalFormatting sqref="AE5:AE73">
    <cfRule type="cellIs" dxfId="173" priority="17" operator="lessThan">
      <formula>0</formula>
    </cfRule>
  </conditionalFormatting>
  <conditionalFormatting sqref="AF5:AF73">
    <cfRule type="cellIs" dxfId="172" priority="15" operator="greaterThan">
      <formula>1</formula>
    </cfRule>
    <cfRule type="cellIs" dxfId="171" priority="16" operator="lessThan">
      <formula>0.8</formula>
    </cfRule>
  </conditionalFormatting>
  <conditionalFormatting sqref="AG14:AG65 R14:R73">
    <cfRule type="cellIs" dxfId="170" priority="5" operator="lessThan">
      <formula>0.8</formula>
    </cfRule>
  </conditionalFormatting>
  <dataValidations count="1">
    <dataValidation type="list" allowBlank="1" showInputMessage="1" showErrorMessage="1" sqref="AB10 AA5:AB9 AB66 AA10:AA66 AB12:AB62 AA67:AB73" xr:uid="{00000000-0002-0000-1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32"/>
  <sheetViews>
    <sheetView zoomScale="85" zoomScaleNormal="85" workbookViewId="0">
      <selection activeCell="C15" sqref="C15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1470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1471</v>
      </c>
      <c r="C3" s="153" t="str">
        <f>TEXT('0217 4度C'!A2,"yyyy.mm.ddaaaa")</f>
        <v>2026.02.17星期二</v>
      </c>
      <c r="D3" s="154"/>
      <c r="E3" s="47" t="s">
        <v>1472</v>
      </c>
      <c r="F3" s="155">
        <f>'0217 4度C'!D1</f>
        <v>132717</v>
      </c>
      <c r="G3" s="156"/>
      <c r="H3" s="47" t="s">
        <v>1473</v>
      </c>
      <c r="I3" s="157">
        <f>'0217 4度C'!F1</f>
        <v>4603676.99</v>
      </c>
      <c r="J3" s="158"/>
      <c r="K3" s="48"/>
      <c r="L3" s="49"/>
      <c r="M3" s="49"/>
      <c r="N3" s="49"/>
    </row>
    <row r="4" spans="2:17" ht="28.5" customHeight="1">
      <c r="B4" s="159" t="s">
        <v>1474</v>
      </c>
      <c r="C4" s="145" t="s">
        <v>1475</v>
      </c>
      <c r="D4" s="146"/>
      <c r="E4" s="162" t="s">
        <v>1476</v>
      </c>
      <c r="F4" s="163"/>
      <c r="G4" s="162" t="s">
        <v>1477</v>
      </c>
      <c r="H4" s="163"/>
      <c r="I4" s="162" t="s">
        <v>1478</v>
      </c>
      <c r="J4" s="163"/>
      <c r="K4" s="143" t="s">
        <v>1479</v>
      </c>
      <c r="L4" s="144"/>
      <c r="M4" s="144" t="s">
        <v>1480</v>
      </c>
      <c r="N4" s="144"/>
    </row>
    <row r="5" spans="2:17" ht="28.5" customHeight="1">
      <c r="B5" s="160"/>
      <c r="C5" s="145" t="s">
        <v>1481</v>
      </c>
      <c r="D5" s="146"/>
      <c r="E5" s="145" t="s">
        <v>1482</v>
      </c>
      <c r="F5" s="146"/>
      <c r="G5" s="147" t="s">
        <v>1483</v>
      </c>
      <c r="H5" s="148"/>
      <c r="I5" s="149" t="s">
        <v>1484</v>
      </c>
      <c r="J5" s="150"/>
      <c r="K5" s="50" t="s">
        <v>1485</v>
      </c>
      <c r="L5" s="51" t="s">
        <v>1486</v>
      </c>
      <c r="M5" s="50" t="s">
        <v>1485</v>
      </c>
      <c r="N5" s="51" t="s">
        <v>1487</v>
      </c>
    </row>
    <row r="6" spans="2:17" ht="28.5" customHeight="1">
      <c r="B6" s="160"/>
      <c r="C6" s="145" t="s">
        <v>158</v>
      </c>
      <c r="D6" s="146"/>
      <c r="E6" s="137">
        <f>AVERAGE(D13:M13)</f>
        <v>143.69162752760172</v>
      </c>
      <c r="F6" s="138">
        <f>AVERAGE(D31:O31,D13:J13)</f>
        <v>146.72453124859314</v>
      </c>
      <c r="G6" s="139">
        <f>AVERAGE(D13:J13)</f>
        <v>146.72453124859314</v>
      </c>
      <c r="H6" s="140"/>
      <c r="I6" s="139">
        <f>AVERAGE(K13:M13)</f>
        <v>136.61485217862165</v>
      </c>
      <c r="J6" s="140"/>
      <c r="K6" s="141">
        <f>'0217 4度C'!Y2</f>
        <v>0</v>
      </c>
      <c r="L6" s="126">
        <f>'0217 4度C'!Z2</f>
        <v>0</v>
      </c>
      <c r="M6" s="142">
        <f>'0217 4度C'!AC2</f>
        <v>59</v>
      </c>
      <c r="N6" s="126">
        <f>'0217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137.78551469452515</v>
      </c>
      <c r="F7" s="130">
        <f>AVERAGE(D32:O32,D14:J14)</f>
        <v>140.73959030229926</v>
      </c>
      <c r="G7" s="131">
        <f>AVERAGE(D14:J14)</f>
        <v>140.73959030229926</v>
      </c>
      <c r="H7" s="132"/>
      <c r="I7" s="131">
        <f>AVERAGE(K14:M14)</f>
        <v>130.89267160971892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0.95790150997267587</v>
      </c>
      <c r="F8" s="134">
        <f>AVERAGE(D15:J15,D33:O33)</f>
        <v>0.95788500719409353</v>
      </c>
      <c r="G8" s="135">
        <f>AVERAGE(D15:J15)</f>
        <v>0.95788500719409353</v>
      </c>
      <c r="H8" s="136"/>
      <c r="I8" s="135">
        <f>AVERAGE(K15:M15)</f>
        <v>0.95794001645603455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1488</v>
      </c>
      <c r="N9" s="49"/>
      <c r="O9" s="49"/>
      <c r="P9" s="49"/>
      <c r="Q9" s="49"/>
    </row>
    <row r="10" spans="2:17" ht="30" customHeight="1">
      <c r="B10" s="109" t="s">
        <v>1489</v>
      </c>
      <c r="C10" s="110"/>
      <c r="D10" s="111" t="s">
        <v>1490</v>
      </c>
      <c r="E10" s="112"/>
      <c r="F10" s="112"/>
      <c r="G10" s="112"/>
      <c r="H10" s="112"/>
      <c r="I10" s="112"/>
      <c r="J10" s="113"/>
      <c r="K10" s="114" t="s">
        <v>1491</v>
      </c>
      <c r="L10" s="115"/>
      <c r="M10" s="116"/>
      <c r="P10" s="55"/>
      <c r="Q10" s="55"/>
    </row>
    <row r="11" spans="2:17" ht="17.25" customHeight="1">
      <c r="B11" s="117" t="s">
        <v>1492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1493</v>
      </c>
      <c r="C13" s="62" t="s">
        <v>1494</v>
      </c>
      <c r="D13" s="63">
        <f>SUMIFS('0217 4度C'!$K:$K,'0217 4度C'!$A:$A,"新豐6線",'0217 4度C'!$B:$B,"平均")</f>
        <v>113.63636363636363</v>
      </c>
      <c r="E13" s="64">
        <f>SUMIFS('0217 4度C'!$K:$K,'0217 4度C'!$A:$A,"新豐2線",'0217 4度C'!$B:$B,"平均")</f>
        <v>83.333333333333329</v>
      </c>
      <c r="F13" s="65">
        <f>SUMIFS('0217 4度C'!$K:$K,'0217 4度C'!$A:$A,"新豐5線",'0217 4度C'!$B:$B,"平均")</f>
        <v>103.77358490566037</v>
      </c>
      <c r="G13" s="65">
        <f>SUMIFS('0217 4度C'!$K:$K,'0217 4度C'!$A:$A,"新豐7線",'0217 4度C'!$B:$B,"平均")</f>
        <v>129.2134831460674</v>
      </c>
      <c r="H13" s="65">
        <f>SUMIFS('0217 4度C'!$K:$K,'0217 4度C'!$A:$A,"新豐3線",'0217 4度C'!$B:$B,"平均")</f>
        <v>303.030303030303</v>
      </c>
      <c r="I13" s="65">
        <f>SUMIFS('0217 4度C'!$K:$K,'0217 4度C'!$A:$A,"新豐1線",'0217 4度C'!$B:$B,"平均")</f>
        <v>105.4054054054054</v>
      </c>
      <c r="J13" s="66">
        <f>SUMIFS('0217 4度C'!$K:$K,'0217 4度C'!$A:$A,"新豐10線",'0217 4度C'!$B:$B,"平均")</f>
        <v>188.67924528301887</v>
      </c>
      <c r="K13" s="67">
        <f>SUMIFS('0217 4度C'!$K:$K,'0217 4度C'!$A:$A,"新豐8線",'0217 4度C'!$B:$B,"平均")</f>
        <v>130.43478260869566</v>
      </c>
      <c r="L13" s="68">
        <f>SUMIFS('0217 4度C'!$K:$K,'0217 4度C'!$A:$A,"新豐9線",'0217 4度C'!$B:$B,"平均")</f>
        <v>134.83146067415728</v>
      </c>
      <c r="M13" s="66">
        <f>SUMIFS('0217 4度C'!$K:$K,'0217 4度C'!$A:$A,"新豐4線",'0217 4度C'!$B:$B,"平均")</f>
        <v>144.57831325301203</v>
      </c>
    </row>
    <row r="14" spans="2:17" ht="39.6" customHeight="1">
      <c r="B14" s="122"/>
      <c r="C14" s="69" t="s">
        <v>1495</v>
      </c>
      <c r="D14" s="70">
        <f>SUMIFS('0217 4度C'!$N:$N,'0217 4度C'!$A:$A,"新豐6線",'0217 4度C'!$B:$B,"平均")</f>
        <v>109.15837862636207</v>
      </c>
      <c r="E14" s="71">
        <f>SUMIFS('0217 4度C'!$N:$N,'0217 4度C'!$A:$A,"新豐2線",'0217 4度C'!$B:$B,"平均")</f>
        <v>79.413937058445711</v>
      </c>
      <c r="F14" s="71">
        <f>SUMIFS('0217 4度C'!$N:$N,'0217 4度C'!$A:$A,"新豐5線",'0217 4度C'!$B:$B,"平均")</f>
        <v>99.886535749631904</v>
      </c>
      <c r="G14" s="71">
        <f>SUMIFS('0217 4度C'!$N:$N,'0217 4度C'!$A:$A,"新豐7線",'0217 4度C'!$B:$B,"平均")</f>
        <v>124.33189941593569</v>
      </c>
      <c r="H14" s="71">
        <f>SUMIFS('0217 4度C'!$N:$N,'0217 4度C'!$A:$A,"新豐3線",'0217 4度C'!$B:$B,"平均")</f>
        <v>291.11572107461797</v>
      </c>
      <c r="I14" s="71">
        <f>SUMIFS('0217 4度C'!$N:$N,'0217 4度C'!$A:$A,"新豐1線",'0217 4度C'!$B:$B,"平均")</f>
        <v>99.220472591159236</v>
      </c>
      <c r="J14" s="72">
        <f>SUMIFS('0217 4度C'!$N:$N,'0217 4度C'!$A:$A,"新豐10線",'0217 4度C'!$B:$B,"平均")</f>
        <v>182.05018759994209</v>
      </c>
      <c r="K14" s="73">
        <f>SUMIFS('0217 4度C'!$N:$N,'0217 4度C'!$A:$A,"新豐8線",'0217 4度C'!$B:$B,"平均")</f>
        <v>124.74539729661316</v>
      </c>
      <c r="L14" s="74">
        <f>SUMIFS('0217 4度C'!$N:$N,'0217 4度C'!$A:$A,"新豐9線",'0217 4度C'!$B:$B,"平均")</f>
        <v>128.47613098795199</v>
      </c>
      <c r="M14" s="72">
        <f>SUMIFS('0217 4度C'!$N:$N,'0217 4度C'!$A:$A,"新豐4線",'0217 4度C'!$B:$B,"平均")</f>
        <v>139.4564865445916</v>
      </c>
    </row>
    <row r="15" spans="2:17" ht="40.15" customHeight="1">
      <c r="B15" s="123"/>
      <c r="C15" s="75" t="s">
        <v>1496</v>
      </c>
      <c r="D15" s="76">
        <f t="shared" ref="D15:M15" si="0">D14/D13</f>
        <v>0.96059373191198627</v>
      </c>
      <c r="E15" s="77">
        <f t="shared" si="0"/>
        <v>0.95296724470134864</v>
      </c>
      <c r="F15" s="77">
        <f t="shared" si="0"/>
        <v>0.96254298086008927</v>
      </c>
      <c r="G15" s="77">
        <f t="shared" si="0"/>
        <v>0.96222078678419809</v>
      </c>
      <c r="H15" s="77">
        <f t="shared" si="0"/>
        <v>0.9606818795462394</v>
      </c>
      <c r="I15" s="77">
        <f t="shared" si="0"/>
        <v>0.94132243227510048</v>
      </c>
      <c r="J15" s="78">
        <f t="shared" si="0"/>
        <v>0.96486599427969311</v>
      </c>
      <c r="K15" s="76">
        <f t="shared" si="0"/>
        <v>0.95638137927403422</v>
      </c>
      <c r="L15" s="77">
        <f t="shared" si="0"/>
        <v>0.95286463816064404</v>
      </c>
      <c r="M15" s="78">
        <f t="shared" si="0"/>
        <v>0.96457403193342539</v>
      </c>
    </row>
    <row r="16" spans="2:17" ht="17.25" customHeight="1">
      <c r="B16" s="124" t="s">
        <v>1497</v>
      </c>
      <c r="C16" s="79" t="s">
        <v>1498</v>
      </c>
      <c r="D16" s="80">
        <f>VLOOKUP("新豐6線",'0217 4度C'!$A:$T,19,0)</f>
        <v>0.70833333333333337</v>
      </c>
      <c r="E16" s="81">
        <f>VLOOKUP("新豐2線",'0217 4度C'!$A:$T,19,0)</f>
        <v>0.20833333333333334</v>
      </c>
      <c r="F16" s="81">
        <f>VLOOKUP("新豐5線",'0217 4度C'!$A:$T,19,0)</f>
        <v>0.20833333333333334</v>
      </c>
      <c r="G16" s="81">
        <f>VLOOKUP("新豐7線",'0217 4度C'!$A:$T,19,0)</f>
        <v>0.20833333333333334</v>
      </c>
      <c r="H16" s="81">
        <f>VLOOKUP("新豐3線",'0217 4度C'!$A:$T,19,0)</f>
        <v>0.20833333333333334</v>
      </c>
      <c r="I16" s="81">
        <f>VLOOKUP("新豐1線",'0217 4度C'!$A:$T,19,0)</f>
        <v>0.20833333333333334</v>
      </c>
      <c r="J16" s="82">
        <f>VLOOKUP("新豐10線",'0217 4度C'!$A:$T,19,0)</f>
        <v>0.20833333333333334</v>
      </c>
      <c r="K16" s="83">
        <f>VLOOKUP("新豐8線",'0217 4度C'!$A:$T,19,0)</f>
        <v>0.125</v>
      </c>
      <c r="L16" s="84">
        <f>VLOOKUP("新豐9線",'0217 4度C'!$A:$T,19,0)</f>
        <v>0.125</v>
      </c>
      <c r="M16" s="85">
        <f>VLOOKUP("新豐4線",'0217 4度C'!$A:$T,19,0)</f>
        <v>0.125</v>
      </c>
    </row>
    <row r="17" spans="2:13" ht="17.25" customHeight="1">
      <c r="B17" s="125"/>
      <c r="C17" s="79" t="s">
        <v>1499</v>
      </c>
      <c r="D17" s="83">
        <f>LOOKUP(2,1/(('0217 4度C'!$A:$A="新豐6線")*('0217 4度C'!$T:$T&lt;&gt;"")),'0217 4度C'!$T:$T)</f>
        <v>0.84374999999999989</v>
      </c>
      <c r="E17" s="81">
        <f>LOOKUP(2,1/(('0217 4度C'!$A:$A="新豐2線")*('0217 4度C'!$T:$T&lt;&gt;"")),'0217 4度C'!$T:$T)</f>
        <v>0.4</v>
      </c>
      <c r="F17" s="81">
        <f>LOOKUP(2,1/(('0217 4度C'!$A:$A="新豐5線")*('0217 4度C'!$T:$T&lt;&gt;"")),'0217 4度C'!$T:$T)</f>
        <v>0.84583333333333344</v>
      </c>
      <c r="G17" s="81">
        <f>LOOKUP(2,1/(('0217 4度C'!$A:$A="新豐7線")*('0217 4度C'!$T:$T&lt;&gt;"")),'0217 4度C'!$T:$T)</f>
        <v>0.92291666666666661</v>
      </c>
      <c r="H17" s="81">
        <f>LOOKUP(2,1/(('0217 4度C'!$A:$A="新豐3線")*('0217 4度C'!$T:$T&lt;&gt;"")),'0217 4度C'!$T:$T)</f>
        <v>0.65138888888888868</v>
      </c>
      <c r="I17" s="81">
        <f>LOOKUP(2,1/(('0217 4度C'!$A:$A="新豐1線")*('0217 4度C'!$T:$T&lt;&gt;"")),'0217 4度C'!$T:$T)</f>
        <v>0.89722222222222225</v>
      </c>
      <c r="J17" s="82">
        <f>LOOKUP(2,1/(('0217 4度C'!$A:$A="新豐10線")*('0217 4度C'!$T:$T&lt;&gt;"")),'0217 4度C'!$T:$T)</f>
        <v>0.38958333333333328</v>
      </c>
      <c r="K17" s="80">
        <f>LOOKUP(2,1/(('0217 4度C'!$A:$A="新豐8線")*('0217 4度C'!$T:$T&lt;&gt;"")),'0217 4度C'!$T:$T)</f>
        <v>0.50902777777777775</v>
      </c>
      <c r="L17" s="81">
        <f>LOOKUP(2,1/(('0217 4度C'!$A:$A="新豐9線")*('0217 4度C'!$T:$T&lt;&gt;"")),'0217 4度C'!$T:$T)</f>
        <v>0.49791666666666651</v>
      </c>
      <c r="M17" s="82">
        <f>LOOKUP(2,1/(('0217 4度C'!$A:$A="新豐4線")*('0217 4度C'!$T:$T&lt;&gt;"")),'0217 4度C'!$T:$T)</f>
        <v>0.49375000000000002</v>
      </c>
    </row>
    <row r="18" spans="2:13" ht="17.25" customHeight="1">
      <c r="B18" s="103" t="s">
        <v>1500</v>
      </c>
      <c r="C18" s="86" t="s">
        <v>1501</v>
      </c>
      <c r="D18" s="87">
        <f>SUMIFS('0217 4度C'!$Y:$Y,'0217 4度C'!$A:$A,"新豐6線",'0217 4度C'!$B:$B,"平均")</f>
        <v>0</v>
      </c>
      <c r="E18" s="88">
        <f>SUMIFS('0217 4度C'!$Y:$Y,'0217 4度C'!$A:$A,"新豐2線",'0217 4度C'!$B:$B,"平均")</f>
        <v>0</v>
      </c>
      <c r="F18" s="88">
        <f>SUMIFS('0217 4度C'!$Y:$Y,'0217 4度C'!$A:$A,"新豐5線",'0217 4度C'!$B:$B,"平均")</f>
        <v>0</v>
      </c>
      <c r="G18" s="88">
        <f>SUMIFS('0217 4度C'!$Y:$Y,'0217 4度C'!$A:$A,"新豐7線",'0217 4度C'!$B:$B,"平均")</f>
        <v>0</v>
      </c>
      <c r="H18" s="88">
        <f>SUMIFS('0217 4度C'!$Y:$Y,'0217 4度C'!$A:$A,"新豐3線",'0217 4度C'!$B:$B,"平均")</f>
        <v>0</v>
      </c>
      <c r="I18" s="88">
        <f>SUMIFS('0217 4度C'!$Y:$Y,'0217 4度C'!$A:$A,"新豐1線",'0217 4度C'!$B:$B,"平均")</f>
        <v>0</v>
      </c>
      <c r="J18" s="89">
        <f>SUMIFS('0217 4度C'!$Y:$Y,'0217 4度C'!$A:$A,"新豐10線",'0217 4度C'!$B:$B,"平均")</f>
        <v>0</v>
      </c>
      <c r="K18" s="90">
        <f>SUMIFS('0217 4度C'!$Y:$Y,'0217 4度C'!$A:$A,"新豐8線",'0217 4度C'!$B:$B,"平均")</f>
        <v>0</v>
      </c>
      <c r="L18" s="88">
        <f>SUMIFS('0217 4度C'!$Y:$Y,'0217 4度C'!$A:$A,"新豐9線",'0217 4度C'!$B:$B,"平均")</f>
        <v>0</v>
      </c>
      <c r="M18" s="89">
        <f>SUMIFS('0217 4度C'!$Y:$Y,'0217 4度C'!$A:$A,"新豐4線",'0217 4度C'!$B:$B,"平均")</f>
        <v>0</v>
      </c>
    </row>
    <row r="19" spans="2:13" ht="17.25" customHeight="1">
      <c r="B19" s="104"/>
      <c r="C19" s="86" t="s">
        <v>1502</v>
      </c>
      <c r="D19" s="87">
        <f>SUMIFS('0217 4度C'!$Z:$Z,'0217 4度C'!$A:$A,"新豐6線",'0217 4度C'!$B:$B,"平均")</f>
        <v>0</v>
      </c>
      <c r="E19" s="88">
        <f>SUMIFS('0217 4度C'!$Z:$Z,'0217 4度C'!$A:$A,"新豐2線",'0217 4度C'!$B:$B,"平均")</f>
        <v>0</v>
      </c>
      <c r="F19" s="88">
        <f>SUMIFS('0217 4度C'!$Z:$Z,'0217 4度C'!$A:$A,"新豐5線",'0217 4度C'!$B:$B,"平均")</f>
        <v>0</v>
      </c>
      <c r="G19" s="88">
        <f>SUMIFS('0217 4度C'!$Z:$Z,'0217 4度C'!$A:$A,"新豐7線",'0217 4度C'!$B:$B,"平均")</f>
        <v>0</v>
      </c>
      <c r="H19" s="88">
        <f>SUMIFS('0217 4度C'!$Z:$Z,'0217 4度C'!$A:$A,"新豐3線",'0217 4度C'!$B:$B,"平均")</f>
        <v>0</v>
      </c>
      <c r="I19" s="88">
        <f>SUMIFS('0217 4度C'!$Z:$Z,'0217 4度C'!$A:$A,"新豐1線",'0217 4度C'!$B:$B,"平均")</f>
        <v>0</v>
      </c>
      <c r="J19" s="89">
        <f>SUMIFS('0217 4度C'!$Z:$Z,'0217 4度C'!$A:$A,"新豐10線",'0217 4度C'!$B:$B,"平均")</f>
        <v>0</v>
      </c>
      <c r="K19" s="90">
        <f>SUMIFS('0217 4度C'!$Z:$Z,'0217 4度C'!$A:$A,"新豐8線",'0217 4度C'!$B:$B,"平均")</f>
        <v>0</v>
      </c>
      <c r="L19" s="88">
        <f>SUMIFS('0217 4度C'!$Z:$Z,'0217 4度C'!$A:$A,"新豐9線",'0217 4度C'!$B:$B,"平均")</f>
        <v>0</v>
      </c>
      <c r="M19" s="89">
        <f>SUMIFS('0217 4度C'!$Z:$Z,'0217 4度C'!$A:$A,"新豐4線",'0217 4度C'!$B:$B,"平均")</f>
        <v>0</v>
      </c>
    </row>
    <row r="20" spans="2:13" ht="17.25" customHeight="1">
      <c r="B20" s="103" t="s">
        <v>1503</v>
      </c>
      <c r="C20" s="86" t="s">
        <v>1501</v>
      </c>
      <c r="D20" s="87">
        <f>SUMIFS('0217 4度C'!$AC:$AC,'0217 4度C'!$A:$A,"新豐6線",'0217 4度C'!$B:$B,"平均")</f>
        <v>5</v>
      </c>
      <c r="E20" s="88">
        <f>SUMIFS('0217 4度C'!$AC:$AC,'0217 4度C'!$A:$A,"新豐2線",'0217 4度C'!$B:$B,"平均")</f>
        <v>2</v>
      </c>
      <c r="F20" s="88">
        <f>SUMIFS('0217 4度C'!$AC:$AC,'0217 4度C'!$A:$A,"新豐5線",'0217 4度C'!$B:$B,"平均")</f>
        <v>6</v>
      </c>
      <c r="G20" s="88">
        <f>SUMIFS('0217 4度C'!$AC:$AC,'0217 4度C'!$A:$A,"新豐7線",'0217 4度C'!$B:$B,"平均")</f>
        <v>6</v>
      </c>
      <c r="H20" s="88">
        <f>SUMIFS('0217 4度C'!$AC:$AC,'0217 4度C'!$A:$A,"新豐3線",'0217 4度C'!$B:$B,"平均")</f>
        <v>10</v>
      </c>
      <c r="I20" s="88">
        <f>SUMIFS('0217 4度C'!$AC:$AC,'0217 4度C'!$A:$A,"新豐1線",'0217 4度C'!$B:$B,"平均")</f>
        <v>10</v>
      </c>
      <c r="J20" s="89">
        <f>SUMIFS('0217 4度C'!$AC:$AC,'0217 4度C'!$A:$A,"新豐10線",'0217 4度C'!$B:$B,"平均")</f>
        <v>5</v>
      </c>
      <c r="K20" s="90">
        <f>SUMIFS('0217 4度C'!$AC:$AC,'0217 4度C'!$A:$A,"新豐8線",'0217 4度C'!$B:$B,"平均")</f>
        <v>5</v>
      </c>
      <c r="L20" s="88">
        <f>SUMIFS('0217 4度C'!$AC:$AC,'0217 4度C'!$A:$A,"新豐9線",'0217 4度C'!$B:$B,"平均")</f>
        <v>5</v>
      </c>
      <c r="M20" s="89">
        <f>SUMIFS('0217 4度C'!$AC:$AC,'0217 4度C'!$A:$A,"新豐4線",'0217 4度C'!$B:$B,"平均")</f>
        <v>5</v>
      </c>
    </row>
    <row r="21" spans="2:13" ht="17.25" customHeight="1">
      <c r="B21" s="104"/>
      <c r="C21" s="86" t="s">
        <v>1504</v>
      </c>
      <c r="D21" s="87">
        <f>SUMIFS('0217 4度C'!$AD:$AD,'0217 4度C'!$A:$A,"新豐6線",'0217 4度C'!$B:$B,"平均")</f>
        <v>0</v>
      </c>
      <c r="E21" s="88">
        <f>SUMIFS('0217 4度C'!$AD:$AD,'0217 4度C'!$A:$A,"新豐2線",'0217 4度C'!$B:$B,"平均")</f>
        <v>0</v>
      </c>
      <c r="F21" s="88">
        <f>SUMIFS('0217 4度C'!$AD:$AD,'0217 4度C'!$A:$A,"新豐5線",'0217 4度C'!$B:$B,"平均")</f>
        <v>0</v>
      </c>
      <c r="G21" s="88">
        <f>SUMIFS('0217 4度C'!$AD:$AD,'0217 4度C'!$A:$A,"新豐7線",'0217 4度C'!$B:$B,"平均")</f>
        <v>0</v>
      </c>
      <c r="H21" s="88">
        <f>SUMIFS('0217 4度C'!$AD:$AD,'0217 4度C'!$A:$A,"新豐3線",'0217 4度C'!$B:$B,"平均")</f>
        <v>0</v>
      </c>
      <c r="I21" s="88">
        <f>SUMIFS('0217 4度C'!$AD:$AD,'0217 4度C'!$A:$A,"新豐1線",'0217 4度C'!$B:$B,"平均")</f>
        <v>0</v>
      </c>
      <c r="J21" s="89">
        <f>SUMIFS('0217 4度C'!$AD:$AD,'0217 4度C'!$A:$A,"新豐10線",'0217 4度C'!$B:$B,"平均")</f>
        <v>0</v>
      </c>
      <c r="K21" s="90">
        <f>SUMIFS('0217 4度C'!$AD:$AD,'0217 4度C'!$A:$A,"新豐8線",'0217 4度C'!$B:$B,"平均")</f>
        <v>0</v>
      </c>
      <c r="L21" s="88">
        <f>SUMIFS('0217 4度C'!$AD:$AD,'0217 4度C'!$A:$A,"新豐9線",'0217 4度C'!$B:$B,"平均")</f>
        <v>0</v>
      </c>
      <c r="M21" s="89">
        <f>SUMIFS('0217 4度C'!$AD:$AD,'0217 4度C'!$A:$A,"新豐4線",'0217 4度C'!$B:$B,"平均")</f>
        <v>0</v>
      </c>
    </row>
    <row r="22" spans="2:13" ht="17.25" customHeight="1">
      <c r="B22" s="105" t="s">
        <v>1505</v>
      </c>
      <c r="C22" s="106"/>
      <c r="D22" s="91">
        <f>SUMIFS('0217 4度C'!$I:$I,'0217 4度C'!$A:$A,"新豐6線",'0217 4度C'!$B:$B,"平均")</f>
        <v>17.600000000000001</v>
      </c>
      <c r="E22" s="92">
        <f>SUMIFS('0217 4度C'!$I:$I,'0217 4度C'!$A:$A,"新豐2線",'0217 4度C'!$B:$B,"平均")</f>
        <v>18</v>
      </c>
      <c r="F22" s="92">
        <f>SUMIFS('0217 4度C'!$I:$I,'0217 4度C'!$A:$A,"新豐5線",'0217 4度C'!$B:$B,"平均")</f>
        <v>17.666666666666668</v>
      </c>
      <c r="G22" s="92">
        <f>SUMIFS('0217 4度C'!$I:$I,'0217 4度C'!$A:$A,"新豐7線",'0217 4度C'!$B:$B,"平均")</f>
        <v>14.833333333333334</v>
      </c>
      <c r="H22" s="92">
        <f>SUMIFS('0217 4度C'!$I:$I,'0217 4度C'!$A:$A,"新豐3線",'0217 4度C'!$B:$B,"平均")</f>
        <v>9.9</v>
      </c>
      <c r="I22" s="92">
        <f>SUMIFS('0217 4度C'!$I:$I,'0217 4度C'!$A:$A,"新豐1線",'0217 4度C'!$B:$B,"平均")</f>
        <v>18.5</v>
      </c>
      <c r="J22" s="93">
        <f>SUMIFS('0217 4度C'!$I:$I,'0217 4度C'!$A:$A,"新豐10線",'0217 4度C'!$B:$B,"平均")</f>
        <v>10.6</v>
      </c>
      <c r="K22" s="91">
        <f>SUMIFS('0217 4度C'!$I:$I,'0217 4度C'!$A:$A,"新豐8線",'0217 4度C'!$B:$B,"平均")</f>
        <v>18.399999999999999</v>
      </c>
      <c r="L22" s="92">
        <f>SUMIFS('0217 4度C'!$I:$I,'0217 4度C'!$A:$A,"新豐9線",'0217 4度C'!$B:$B,"平均")</f>
        <v>17.8</v>
      </c>
      <c r="M22" s="93">
        <f>SUMIFS('0217 4度C'!$I:$I,'0217 4度C'!$A:$A,"新豐4線",'0217 4度C'!$B:$B,"平均")</f>
        <v>16.600000000000001</v>
      </c>
    </row>
    <row r="23" spans="2:13" ht="17.25" customHeight="1">
      <c r="B23" s="105" t="s">
        <v>1506</v>
      </c>
      <c r="C23" s="106"/>
      <c r="D23" s="94" t="s">
        <v>191</v>
      </c>
      <c r="E23" s="95" t="s">
        <v>192</v>
      </c>
      <c r="F23" s="95" t="s">
        <v>1507</v>
      </c>
      <c r="G23" s="95" t="s">
        <v>1507</v>
      </c>
      <c r="H23" s="95" t="s">
        <v>194</v>
      </c>
      <c r="I23" s="95" t="s">
        <v>191</v>
      </c>
      <c r="J23" s="96" t="s">
        <v>194</v>
      </c>
      <c r="K23" s="94" t="s">
        <v>1508</v>
      </c>
      <c r="L23" s="95" t="s">
        <v>1508</v>
      </c>
      <c r="M23" s="96" t="s">
        <v>1508</v>
      </c>
    </row>
    <row r="24" spans="2:13" ht="17.25" customHeight="1">
      <c r="B24" s="105" t="s">
        <v>1509</v>
      </c>
      <c r="C24" s="106"/>
      <c r="D24" s="94"/>
      <c r="E24" s="95"/>
      <c r="F24" s="95" t="s">
        <v>1510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1511</v>
      </c>
      <c r="C25" s="108"/>
      <c r="D25" s="97"/>
      <c r="E25" s="98" t="s">
        <v>1512</v>
      </c>
      <c r="F25" s="101" t="s">
        <v>1513</v>
      </c>
      <c r="G25" s="102"/>
      <c r="H25" s="98" t="s">
        <v>1514</v>
      </c>
      <c r="I25" s="98" t="s">
        <v>1515</v>
      </c>
      <c r="J25" s="99" t="s">
        <v>1514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6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G74"/>
  <sheetViews>
    <sheetView zoomScale="80" zoomScaleNormal="80" workbookViewId="0">
      <pane ySplit="4" topLeftCell="A5" activePane="bottomLeft" state="frozen"/>
      <selection activeCell="D15" sqref="D15"/>
      <selection pane="bottomLeft" activeCell="C15" sqref="C15:D1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1516</v>
      </c>
      <c r="B1" s="1"/>
      <c r="C1" s="2" t="s">
        <v>1517</v>
      </c>
      <c r="D1" s="3">
        <f>SUM(F5:F73)</f>
        <v>132717</v>
      </c>
      <c r="E1" s="4" t="s">
        <v>1518</v>
      </c>
      <c r="F1" s="1">
        <f>SUM(G5:G73)</f>
        <v>4603676.99</v>
      </c>
      <c r="G1" s="1" t="s">
        <v>1519</v>
      </c>
      <c r="H1" s="5">
        <f>L10+L13+L50+L61+L20+L67+L33+L39+L27+L73</f>
        <v>159.9</v>
      </c>
      <c r="I1" s="214" t="s">
        <v>1520</v>
      </c>
      <c r="J1" s="214"/>
      <c r="K1" s="214"/>
      <c r="L1" s="214" t="s">
        <v>1521</v>
      </c>
      <c r="M1" s="214"/>
      <c r="N1" s="214"/>
      <c r="O1" s="214" t="s">
        <v>1522</v>
      </c>
      <c r="P1" s="214"/>
      <c r="Q1" s="214"/>
      <c r="R1" s="214"/>
      <c r="S1" s="214" t="s">
        <v>1523</v>
      </c>
      <c r="T1" s="214"/>
      <c r="U1" s="214"/>
      <c r="V1" s="214"/>
      <c r="W1" s="214"/>
      <c r="X1" s="214"/>
      <c r="Y1" s="6" t="s">
        <v>1524</v>
      </c>
      <c r="Z1" s="7" t="s">
        <v>1525</v>
      </c>
      <c r="AA1" s="215" t="s">
        <v>1526</v>
      </c>
      <c r="AB1" s="215"/>
      <c r="AC1" s="8" t="s">
        <v>1524</v>
      </c>
      <c r="AD1" s="7" t="s">
        <v>1527</v>
      </c>
      <c r="AE1" s="214" t="s">
        <v>1528</v>
      </c>
      <c r="AF1" s="216"/>
      <c r="AG1" s="216"/>
    </row>
    <row r="2" spans="1:33" ht="26.25" customHeight="1">
      <c r="A2" s="35">
        <v>46070</v>
      </c>
      <c r="B2" s="36" t="s">
        <v>359</v>
      </c>
      <c r="C2" s="2" t="s">
        <v>1493</v>
      </c>
      <c r="D2" s="10">
        <f>AVERAGE(N10,N13,N50,N61,N20,N67,N27,N33,N39,N73)</f>
        <v>137.78551469452515</v>
      </c>
      <c r="E2" s="11" t="s">
        <v>14</v>
      </c>
      <c r="F2" s="12">
        <f>F1/D1</f>
        <v>34.687922346044594</v>
      </c>
      <c r="G2" s="1" t="s">
        <v>1529</v>
      </c>
      <c r="H2" s="13">
        <f>COUNT(H5:H73)</f>
        <v>5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SUM(Y10+Y13+Y20+Y27+Y33+Y39+Y50+Y61+Y67+Y73)</f>
        <v>0</v>
      </c>
      <c r="Z2" s="14">
        <f>SUM(Z10+Z13+Z20+Z27+Z33+Z39+Z50+Z61+Z67+Z73)</f>
        <v>0</v>
      </c>
      <c r="AA2" s="215"/>
      <c r="AB2" s="215"/>
      <c r="AC2" s="14">
        <f>SUM(AC10+AC13+AC20+AC27+AC33+AC39+AC50+AC61+AC67+AC73)</f>
        <v>59</v>
      </c>
      <c r="AD2" s="14">
        <f>SUM(AD10+AD13+AD20+AD27+AD33+AD39+AD50+AD61+AD67+AD73)</f>
        <v>0</v>
      </c>
      <c r="AE2" s="216"/>
      <c r="AF2" s="216"/>
      <c r="AG2" s="216"/>
    </row>
    <row r="3" spans="1:33" ht="40.5" customHeight="1">
      <c r="A3" s="164" t="s">
        <v>1530</v>
      </c>
      <c r="B3" s="164" t="s">
        <v>1531</v>
      </c>
      <c r="C3" s="164" t="s">
        <v>1532</v>
      </c>
      <c r="D3" s="164"/>
      <c r="E3" s="212" t="s">
        <v>1533</v>
      </c>
      <c r="F3" s="164" t="s">
        <v>1534</v>
      </c>
      <c r="G3" s="212" t="s">
        <v>1535</v>
      </c>
      <c r="H3" s="206" t="s">
        <v>1536</v>
      </c>
      <c r="I3" s="204" t="s">
        <v>1537</v>
      </c>
      <c r="J3" s="201" t="s">
        <v>1538</v>
      </c>
      <c r="K3" s="211" t="s">
        <v>1493</v>
      </c>
      <c r="L3" s="204" t="s">
        <v>1537</v>
      </c>
      <c r="M3" s="201" t="s">
        <v>1538</v>
      </c>
      <c r="N3" s="211" t="s">
        <v>1493</v>
      </c>
      <c r="O3" s="204" t="s">
        <v>1537</v>
      </c>
      <c r="P3" s="211" t="s">
        <v>1493</v>
      </c>
      <c r="Q3" s="202" t="s">
        <v>1539</v>
      </c>
      <c r="R3" s="182" t="s">
        <v>1540</v>
      </c>
      <c r="S3" s="164" t="s">
        <v>30</v>
      </c>
      <c r="T3" s="164"/>
      <c r="U3" s="206" t="s">
        <v>31</v>
      </c>
      <c r="V3" s="206" t="s">
        <v>1541</v>
      </c>
      <c r="W3" s="164" t="s">
        <v>1542</v>
      </c>
      <c r="X3" s="164"/>
      <c r="Y3" s="207" t="s">
        <v>1543</v>
      </c>
      <c r="Z3" s="168"/>
      <c r="AA3" s="208" t="s">
        <v>1544</v>
      </c>
      <c r="AB3" s="209"/>
      <c r="AC3" s="207" t="s">
        <v>1545</v>
      </c>
      <c r="AD3" s="168"/>
      <c r="AE3" s="201" t="s">
        <v>1538</v>
      </c>
      <c r="AF3" s="202" t="s">
        <v>1539</v>
      </c>
      <c r="AG3" s="182" t="s">
        <v>1546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1547</v>
      </c>
      <c r="X4" s="4" t="s">
        <v>1548</v>
      </c>
      <c r="Y4" s="15" t="s">
        <v>1549</v>
      </c>
      <c r="Z4" s="15" t="s">
        <v>1550</v>
      </c>
      <c r="AA4" s="210"/>
      <c r="AB4" s="209"/>
      <c r="AC4" s="15" t="s">
        <v>1551</v>
      </c>
      <c r="AD4" s="15" t="s">
        <v>1552</v>
      </c>
      <c r="AE4" s="201"/>
      <c r="AF4" s="202"/>
      <c r="AG4" s="182"/>
    </row>
    <row r="5" spans="1:33">
      <c r="A5" s="203" t="s">
        <v>1553</v>
      </c>
      <c r="B5" s="37" t="s">
        <v>78</v>
      </c>
      <c r="C5" s="205" t="s">
        <v>79</v>
      </c>
      <c r="D5" s="205"/>
      <c r="E5" s="37">
        <v>50.67</v>
      </c>
      <c r="F5" s="4">
        <v>1509</v>
      </c>
      <c r="G5" s="4">
        <f t="shared" ref="G5:G9" si="0">E5*F5</f>
        <v>76461.03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9" si="2">F5/V5*60</f>
        <v>1926.3829787234047</v>
      </c>
      <c r="N5" s="17">
        <f t="shared" ref="N5:N68" si="3">M5/L5</f>
        <v>113.31664580725909</v>
      </c>
      <c r="O5" s="19">
        <f t="shared" ref="O5:O68" si="4">L5-I5</f>
        <v>0</v>
      </c>
      <c r="P5" s="20">
        <f t="shared" ref="P5:P68" si="5">N5-K5</f>
        <v>-4.3304130162703132</v>
      </c>
      <c r="Q5" s="21">
        <f t="shared" ref="Q5:Q68" si="6">N5/K5</f>
        <v>0.96319148936170229</v>
      </c>
      <c r="R5" s="172">
        <f>Q10</f>
        <v>0.96059373191198627</v>
      </c>
      <c r="S5" s="28">
        <v>0.70833333333333337</v>
      </c>
      <c r="T5" s="28">
        <v>0.74097222222222225</v>
      </c>
      <c r="U5" s="4"/>
      <c r="V5" s="22">
        <f t="shared" ref="V5:V9" si="7">(T5-S5)*24*60</f>
        <v>46.999999999999993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60" si="8">M5-J5</f>
        <v>-73.617021276595324</v>
      </c>
      <c r="AF5" s="21">
        <f t="shared" ref="AF5:AF68" si="9">M5/J5</f>
        <v>0.96319148936170229</v>
      </c>
      <c r="AG5" s="172">
        <f>AF10</f>
        <v>0.96059373191198627</v>
      </c>
    </row>
    <row r="6" spans="1:33">
      <c r="A6" s="204" t="s">
        <v>1554</v>
      </c>
      <c r="B6" s="37" t="s">
        <v>78</v>
      </c>
      <c r="C6" s="205" t="s">
        <v>80</v>
      </c>
      <c r="D6" s="205"/>
      <c r="E6" s="37">
        <v>54.09</v>
      </c>
      <c r="F6" s="4">
        <v>1342</v>
      </c>
      <c r="G6" s="4">
        <f t="shared" si="0"/>
        <v>72588.78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1917.1428571428564</v>
      </c>
      <c r="N6" s="17">
        <f t="shared" si="3"/>
        <v>100.9022556390977</v>
      </c>
      <c r="O6" s="19">
        <f t="shared" si="4"/>
        <v>0</v>
      </c>
      <c r="P6" s="20">
        <f t="shared" si="5"/>
        <v>-4.3609022556391324</v>
      </c>
      <c r="Q6" s="21">
        <f t="shared" si="6"/>
        <v>0.95857142857142819</v>
      </c>
      <c r="R6" s="172"/>
      <c r="S6" s="28">
        <v>0.74444444444444446</v>
      </c>
      <c r="T6" s="28">
        <v>0.77361111111111114</v>
      </c>
      <c r="U6" s="4">
        <f t="shared" ref="U6:U9" si="10">IF(S6=TIME(17,0,0),"",(S6-T5)*24*60)</f>
        <v>4.9999999999999822</v>
      </c>
      <c r="V6" s="22">
        <f t="shared" si="7"/>
        <v>42.000000000000014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-82.857142857143572</v>
      </c>
      <c r="AF6" s="21">
        <f t="shared" si="9"/>
        <v>0.95857142857142819</v>
      </c>
      <c r="AG6" s="172"/>
    </row>
    <row r="7" spans="1:33">
      <c r="A7" s="204" t="s">
        <v>1553</v>
      </c>
      <c r="B7" s="37" t="s">
        <v>78</v>
      </c>
      <c r="C7" s="196" t="s">
        <v>81</v>
      </c>
      <c r="D7" s="197"/>
      <c r="E7" s="37">
        <v>50.29</v>
      </c>
      <c r="F7" s="4">
        <v>606</v>
      </c>
      <c r="G7" s="4">
        <f t="shared" si="0"/>
        <v>30475.739999999998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1913.6842105263227</v>
      </c>
      <c r="N7" s="17">
        <f t="shared" si="3"/>
        <v>119.60526315789517</v>
      </c>
      <c r="O7" s="19">
        <f t="shared" si="4"/>
        <v>0</v>
      </c>
      <c r="P7" s="20">
        <f t="shared" si="5"/>
        <v>-5.3947368421048338</v>
      </c>
      <c r="Q7" s="21">
        <f t="shared" si="6"/>
        <v>0.95684210526316138</v>
      </c>
      <c r="R7" s="172"/>
      <c r="S7" s="28">
        <v>0.77847222222222223</v>
      </c>
      <c r="T7" s="28">
        <v>0.79166666666666663</v>
      </c>
      <c r="U7" s="4">
        <f t="shared" si="10"/>
        <v>6.9999999999999751</v>
      </c>
      <c r="V7" s="22">
        <f t="shared" si="7"/>
        <v>18.999999999999932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-86.315789473677341</v>
      </c>
      <c r="AF7" s="21">
        <f t="shared" si="9"/>
        <v>0.95684210526316138</v>
      </c>
      <c r="AG7" s="172"/>
    </row>
    <row r="8" spans="1:33">
      <c r="A8" s="204" t="s">
        <v>1553</v>
      </c>
      <c r="B8" s="37" t="s">
        <v>78</v>
      </c>
      <c r="C8" s="196" t="s">
        <v>82</v>
      </c>
      <c r="D8" s="197"/>
      <c r="E8" s="37">
        <v>57.3</v>
      </c>
      <c r="F8" s="4">
        <v>1399</v>
      </c>
      <c r="G8" s="4">
        <f t="shared" si="0"/>
        <v>80162.7</v>
      </c>
      <c r="H8" s="22" t="s">
        <v>139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1907.7272727272727</v>
      </c>
      <c r="N8" s="17">
        <f t="shared" si="3"/>
        <v>127.18181818181819</v>
      </c>
      <c r="O8" s="19">
        <f t="shared" si="4"/>
        <v>0</v>
      </c>
      <c r="P8" s="20">
        <f t="shared" si="5"/>
        <v>-6.1515151515151558</v>
      </c>
      <c r="Q8" s="21">
        <f t="shared" si="6"/>
        <v>0.95386363636363636</v>
      </c>
      <c r="R8" s="172"/>
      <c r="S8" s="28">
        <v>0.79513888888888884</v>
      </c>
      <c r="T8" s="28">
        <v>0.8256944444444444</v>
      </c>
      <c r="U8" s="4">
        <f t="shared" si="10"/>
        <v>4.9999999999999822</v>
      </c>
      <c r="V8" s="22">
        <f t="shared" si="7"/>
        <v>44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-92.272727272727252</v>
      </c>
      <c r="AF8" s="21">
        <f t="shared" si="9"/>
        <v>0.95386363636363636</v>
      </c>
      <c r="AG8" s="172"/>
    </row>
    <row r="9" spans="1:33">
      <c r="A9" s="204" t="s">
        <v>1555</v>
      </c>
      <c r="B9" s="37" t="s">
        <v>78</v>
      </c>
      <c r="C9" s="196" t="s">
        <v>83</v>
      </c>
      <c r="D9" s="197"/>
      <c r="E9" s="37">
        <v>50.67</v>
      </c>
      <c r="F9" s="4">
        <v>647</v>
      </c>
      <c r="G9" s="4">
        <f t="shared" si="0"/>
        <v>32783.49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1941.0000000000068</v>
      </c>
      <c r="N9" s="17">
        <f t="shared" si="3"/>
        <v>92.428571428571757</v>
      </c>
      <c r="O9" s="19">
        <f t="shared" si="4"/>
        <v>0</v>
      </c>
      <c r="P9" s="20">
        <f t="shared" si="5"/>
        <v>-2.8095238095234834</v>
      </c>
      <c r="Q9" s="21">
        <f t="shared" si="6"/>
        <v>0.97050000000000347</v>
      </c>
      <c r="R9" s="172"/>
      <c r="S9" s="28">
        <v>0.82986111111111105</v>
      </c>
      <c r="T9" s="28">
        <v>0.84374999999999989</v>
      </c>
      <c r="U9" s="4">
        <f t="shared" si="10"/>
        <v>5.9999999999999787</v>
      </c>
      <c r="V9" s="22">
        <f t="shared" si="7"/>
        <v>19.999999999999929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-58.999999999993179</v>
      </c>
      <c r="AF9" s="21">
        <f t="shared" si="9"/>
        <v>0.97050000000000336</v>
      </c>
      <c r="AG9" s="172"/>
    </row>
    <row r="10" spans="1:33">
      <c r="A10" s="204" t="s">
        <v>1554</v>
      </c>
      <c r="B10" s="37" t="s">
        <v>1556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1"/>
        <v>113.63636363636363</v>
      </c>
      <c r="L10" s="30">
        <v>17.600000000000001</v>
      </c>
      <c r="M10" s="18">
        <f>AVERAGE(M5:M9)</f>
        <v>1921.1874638239726</v>
      </c>
      <c r="N10" s="17">
        <f t="shared" si="3"/>
        <v>109.15837862636207</v>
      </c>
      <c r="O10" s="19">
        <f t="shared" si="4"/>
        <v>0</v>
      </c>
      <c r="P10" s="20">
        <f t="shared" si="5"/>
        <v>-4.4779850100015608</v>
      </c>
      <c r="Q10" s="21">
        <f t="shared" si="6"/>
        <v>0.96059373191198627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f>SUM(AC5:AC9)</f>
        <v>5</v>
      </c>
      <c r="AD10" s="31">
        <f>SUM(AD5:AD9)</f>
        <v>0</v>
      </c>
      <c r="AE10" s="19">
        <f t="shared" si="8"/>
        <v>-78.812536176027379</v>
      </c>
      <c r="AF10" s="21">
        <f t="shared" si="9"/>
        <v>0.96059373191198627</v>
      </c>
      <c r="AG10" s="172"/>
    </row>
    <row r="11" spans="1:33" ht="15.75" customHeight="1">
      <c r="A11" s="200" t="s">
        <v>1557</v>
      </c>
      <c r="B11" s="37" t="s">
        <v>84</v>
      </c>
      <c r="C11" s="196" t="s">
        <v>85</v>
      </c>
      <c r="D11" s="197"/>
      <c r="E11" s="37">
        <v>39.619999999999997</v>
      </c>
      <c r="F11" s="4">
        <v>2288</v>
      </c>
      <c r="G11" s="4">
        <f t="shared" ref="G11:G12" si="11">E11*F11</f>
        <v>90650.559999999998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1429.9999999999998</v>
      </c>
      <c r="N11" s="17">
        <f t="shared" si="3"/>
        <v>75.263157894736835</v>
      </c>
      <c r="O11" s="19">
        <f t="shared" si="4"/>
        <v>0</v>
      </c>
      <c r="P11" s="20">
        <f t="shared" si="5"/>
        <v>-3.6842105263157947</v>
      </c>
      <c r="Q11" s="21">
        <f t="shared" si="6"/>
        <v>0.95333333333333325</v>
      </c>
      <c r="R11" s="172">
        <f>Q13</f>
        <v>0.95296724470134864</v>
      </c>
      <c r="S11" s="28">
        <v>0.20833333333333334</v>
      </c>
      <c r="T11" s="28">
        <v>0.27500000000000002</v>
      </c>
      <c r="U11" s="4"/>
      <c r="V11" s="22">
        <f t="shared" ref="V11:V12" si="13">(T11-S11)*24*60</f>
        <v>96.000000000000014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-70.000000000000227</v>
      </c>
      <c r="AF11" s="21">
        <f t="shared" si="9"/>
        <v>0.95333333333333314</v>
      </c>
      <c r="AG11" s="172">
        <f>AF13</f>
        <v>0.95296724470134864</v>
      </c>
    </row>
    <row r="12" spans="1:33" ht="15.75" customHeight="1">
      <c r="A12" s="200" t="s">
        <v>1557</v>
      </c>
      <c r="B12" s="37" t="s">
        <v>84</v>
      </c>
      <c r="C12" s="196" t="s">
        <v>86</v>
      </c>
      <c r="D12" s="197"/>
      <c r="E12" s="37">
        <v>39.799999999999997</v>
      </c>
      <c r="F12" s="4">
        <v>4120</v>
      </c>
      <c r="G12" s="4">
        <f t="shared" si="11"/>
        <v>163976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1428.901734104046</v>
      </c>
      <c r="N12" s="17">
        <f t="shared" si="3"/>
        <v>84.05304318259094</v>
      </c>
      <c r="O12" s="19">
        <f t="shared" si="4"/>
        <v>0</v>
      </c>
      <c r="P12" s="20">
        <f t="shared" si="5"/>
        <v>-4.1822509350561177</v>
      </c>
      <c r="Q12" s="21">
        <f t="shared" si="6"/>
        <v>0.95260115606936402</v>
      </c>
      <c r="R12" s="172"/>
      <c r="S12" s="28">
        <v>0.27986111111111112</v>
      </c>
      <c r="T12" s="28">
        <v>0.4</v>
      </c>
      <c r="U12" s="4">
        <f t="shared" ref="U12" si="14">IF(S12=TIME(17,0,0),"",(S12-T11)*24*60)</f>
        <v>6.9999999999999751</v>
      </c>
      <c r="V12" s="22">
        <f t="shared" si="13"/>
        <v>173.00000000000003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-71.098265895954</v>
      </c>
      <c r="AF12" s="21">
        <f t="shared" si="9"/>
        <v>0.95260115606936402</v>
      </c>
      <c r="AG12" s="172"/>
    </row>
    <row r="13" spans="1:33" ht="16.5" customHeight="1">
      <c r="A13" s="200" t="s">
        <v>1557</v>
      </c>
      <c r="B13" s="37" t="s">
        <v>1556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1429.4508670520229</v>
      </c>
      <c r="N13" s="17">
        <f t="shared" si="3"/>
        <v>79.413937058445711</v>
      </c>
      <c r="O13" s="19">
        <f t="shared" si="4"/>
        <v>0</v>
      </c>
      <c r="P13" s="20">
        <f t="shared" si="5"/>
        <v>-3.9193962748876174</v>
      </c>
      <c r="Q13" s="21">
        <f t="shared" si="6"/>
        <v>0.95296724470134864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f>SUM(AC11:AC12)</f>
        <v>2</v>
      </c>
      <c r="AD13" s="31">
        <f>SUM(AD11:AD12)</f>
        <v>0</v>
      </c>
      <c r="AE13" s="19">
        <f t="shared" si="8"/>
        <v>-70.549132947977114</v>
      </c>
      <c r="AF13" s="21">
        <f t="shared" si="9"/>
        <v>0.95296724470134864</v>
      </c>
      <c r="AG13" s="172"/>
    </row>
    <row r="14" spans="1:33" ht="16.5" customHeight="1">
      <c r="A14" s="198" t="s">
        <v>1558</v>
      </c>
      <c r="B14" s="4" t="s">
        <v>87</v>
      </c>
      <c r="C14" s="190" t="s">
        <v>88</v>
      </c>
      <c r="D14" s="190"/>
      <c r="E14" s="37">
        <v>41</v>
      </c>
      <c r="F14" s="4">
        <v>2281</v>
      </c>
      <c r="G14" s="4">
        <f t="shared" ref="G14:G19" si="15">E14*F14</f>
        <v>93521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19" si="16">F14/V14*60</f>
        <v>1440.6315789473679</v>
      </c>
      <c r="N14" s="17">
        <f t="shared" si="3"/>
        <v>55.408906882591069</v>
      </c>
      <c r="O14" s="19">
        <f t="shared" si="4"/>
        <v>0</v>
      </c>
      <c r="P14" s="20">
        <f t="shared" si="5"/>
        <v>-2.2834008097166247</v>
      </c>
      <c r="Q14" s="21">
        <f t="shared" si="6"/>
        <v>0.96042105263157851</v>
      </c>
      <c r="R14" s="172">
        <f>Q20</f>
        <v>0.96254298086008927</v>
      </c>
      <c r="S14" s="28">
        <v>0.20833333333333334</v>
      </c>
      <c r="T14" s="28">
        <v>0.27430555555555558</v>
      </c>
      <c r="U14" s="4"/>
      <c r="V14" s="22">
        <f t="shared" ref="V14:V19" si="17">(T14-S14)*24*60</f>
        <v>95.000000000000028</v>
      </c>
      <c r="W14" s="28"/>
      <c r="X14" s="28"/>
      <c r="Y14" s="28"/>
      <c r="Z14" s="28"/>
      <c r="AA14" s="164"/>
      <c r="AB14" s="164"/>
      <c r="AC14" s="25">
        <v>6</v>
      </c>
      <c r="AD14" s="25"/>
      <c r="AE14" s="19">
        <f t="shared" si="8"/>
        <v>-59.368421052632129</v>
      </c>
      <c r="AF14" s="21">
        <f t="shared" si="9"/>
        <v>0.96042105263157862</v>
      </c>
      <c r="AG14" s="172">
        <f>AF20</f>
        <v>0.96254298086008938</v>
      </c>
    </row>
    <row r="15" spans="1:33" ht="16.5" customHeight="1">
      <c r="A15" s="199" t="s">
        <v>1558</v>
      </c>
      <c r="B15" s="4" t="s">
        <v>89</v>
      </c>
      <c r="C15" s="190" t="s">
        <v>90</v>
      </c>
      <c r="D15" s="190"/>
      <c r="E15" s="37">
        <v>72.400000000000006</v>
      </c>
      <c r="F15" s="4">
        <v>605</v>
      </c>
      <c r="G15" s="4">
        <f t="shared" si="15"/>
        <v>43802</v>
      </c>
      <c r="H15" s="22" t="s">
        <v>139</v>
      </c>
      <c r="I15" s="16">
        <v>18</v>
      </c>
      <c r="J15" s="18">
        <v>1500</v>
      </c>
      <c r="K15" s="17">
        <f t="shared" si="1"/>
        <v>83.333333333333329</v>
      </c>
      <c r="L15" s="16">
        <v>18</v>
      </c>
      <c r="M15" s="18">
        <f t="shared" si="16"/>
        <v>1452.0000000000005</v>
      </c>
      <c r="N15" s="17">
        <f t="shared" si="3"/>
        <v>80.666666666666686</v>
      </c>
      <c r="O15" s="19">
        <f t="shared" si="4"/>
        <v>0</v>
      </c>
      <c r="P15" s="20">
        <f t="shared" si="5"/>
        <v>-2.666666666666643</v>
      </c>
      <c r="Q15" s="21">
        <f t="shared" si="6"/>
        <v>0.9680000000000003</v>
      </c>
      <c r="R15" s="172"/>
      <c r="S15" s="28">
        <v>0.27847222222222223</v>
      </c>
      <c r="T15" s="28">
        <v>0.29583333333333334</v>
      </c>
      <c r="U15" s="4">
        <f t="shared" ref="U15:U19" si="18">IF(S15=TIME(17,0,0),"",(S15-T14)*24*60)</f>
        <v>5.9999999999999787</v>
      </c>
      <c r="V15" s="22">
        <f t="shared" si="17"/>
        <v>24.999999999999993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-47.999999999999545</v>
      </c>
      <c r="AF15" s="21">
        <f t="shared" si="9"/>
        <v>0.9680000000000003</v>
      </c>
      <c r="AG15" s="172"/>
    </row>
    <row r="16" spans="1:33" ht="16.5" customHeight="1">
      <c r="A16" s="199" t="s">
        <v>1558</v>
      </c>
      <c r="B16" s="4" t="s">
        <v>78</v>
      </c>
      <c r="C16" s="190" t="s">
        <v>91</v>
      </c>
      <c r="D16" s="190"/>
      <c r="E16" s="37">
        <v>50.98</v>
      </c>
      <c r="F16" s="4">
        <v>2480</v>
      </c>
      <c r="G16" s="4">
        <f t="shared" si="15"/>
        <v>126430.39999999999</v>
      </c>
      <c r="H16" s="22" t="s">
        <v>139</v>
      </c>
      <c r="I16" s="16">
        <v>16</v>
      </c>
      <c r="J16" s="18">
        <v>2000</v>
      </c>
      <c r="K16" s="17">
        <f t="shared" si="1"/>
        <v>125</v>
      </c>
      <c r="L16" s="16">
        <v>16</v>
      </c>
      <c r="M16" s="18">
        <f t="shared" si="16"/>
        <v>1907.6923076923067</v>
      </c>
      <c r="N16" s="17">
        <f t="shared" si="3"/>
        <v>119.23076923076917</v>
      </c>
      <c r="O16" s="19">
        <f t="shared" si="4"/>
        <v>0</v>
      </c>
      <c r="P16" s="20">
        <f t="shared" si="5"/>
        <v>-5.7692307692308304</v>
      </c>
      <c r="Q16" s="21">
        <f t="shared" si="6"/>
        <v>0.95384615384615334</v>
      </c>
      <c r="R16" s="172"/>
      <c r="S16" s="28">
        <v>0.70833333333333337</v>
      </c>
      <c r="T16" s="28">
        <v>0.76250000000000007</v>
      </c>
      <c r="U16" s="4" t="str">
        <f t="shared" si="18"/>
        <v/>
      </c>
      <c r="V16" s="22">
        <f t="shared" si="17"/>
        <v>78.000000000000043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-92.307692307693287</v>
      </c>
      <c r="AF16" s="21">
        <f t="shared" si="9"/>
        <v>0.95384615384615334</v>
      </c>
      <c r="AG16" s="172"/>
    </row>
    <row r="17" spans="1:33" ht="16.5" customHeight="1">
      <c r="A17" s="199" t="s">
        <v>1558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f t="shared" si="15"/>
        <v>40736</v>
      </c>
      <c r="H17" s="22">
        <v>2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1919.9999999999945</v>
      </c>
      <c r="N17" s="17">
        <f t="shared" si="3"/>
        <v>127.99999999999963</v>
      </c>
      <c r="O17" s="19">
        <f t="shared" si="4"/>
        <v>0</v>
      </c>
      <c r="P17" s="20">
        <f t="shared" si="5"/>
        <v>-5.3333333333337123</v>
      </c>
      <c r="Q17" s="21">
        <f t="shared" si="6"/>
        <v>0.95999999999999719</v>
      </c>
      <c r="R17" s="172"/>
      <c r="S17" s="28">
        <v>0.7680555555555556</v>
      </c>
      <c r="T17" s="28">
        <v>0.78541666666666676</v>
      </c>
      <c r="U17" s="4">
        <f t="shared" si="18"/>
        <v>7.9999999999999716</v>
      </c>
      <c r="V17" s="22">
        <f t="shared" si="17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-80.000000000005457</v>
      </c>
      <c r="AF17" s="21">
        <f t="shared" si="9"/>
        <v>0.9599999999999973</v>
      </c>
      <c r="AG17" s="172"/>
    </row>
    <row r="18" spans="1:33" ht="16.5" customHeight="1">
      <c r="A18" s="199" t="s">
        <v>1558</v>
      </c>
      <c r="B18" s="4" t="s">
        <v>78</v>
      </c>
      <c r="C18" s="190" t="s">
        <v>98</v>
      </c>
      <c r="D18" s="190"/>
      <c r="E18" s="37">
        <v>50.67</v>
      </c>
      <c r="F18" s="4">
        <v>944</v>
      </c>
      <c r="G18" s="4">
        <f t="shared" si="15"/>
        <v>47832.480000000003</v>
      </c>
      <c r="H18" s="22" t="s">
        <v>139</v>
      </c>
      <c r="I18" s="16">
        <v>16</v>
      </c>
      <c r="J18" s="18">
        <v>2000</v>
      </c>
      <c r="K18" s="17">
        <f t="shared" si="1"/>
        <v>125</v>
      </c>
      <c r="L18" s="16">
        <v>16</v>
      </c>
      <c r="M18" s="18">
        <f t="shared" si="16"/>
        <v>1953.103448275858</v>
      </c>
      <c r="N18" s="17">
        <f t="shared" si="3"/>
        <v>122.06896551724112</v>
      </c>
      <c r="O18" s="19">
        <f t="shared" si="4"/>
        <v>0</v>
      </c>
      <c r="P18" s="20">
        <f t="shared" si="5"/>
        <v>-2.931034482758875</v>
      </c>
      <c r="Q18" s="21">
        <f t="shared" si="6"/>
        <v>0.97655172413792901</v>
      </c>
      <c r="R18" s="172"/>
      <c r="S18" s="28">
        <v>0.78958333333333341</v>
      </c>
      <c r="T18" s="28">
        <v>0.80972222222222234</v>
      </c>
      <c r="U18" s="4">
        <f t="shared" si="18"/>
        <v>5.9999999999999787</v>
      </c>
      <c r="V18" s="22">
        <f t="shared" si="17"/>
        <v>29.000000000000057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-46.896551724142</v>
      </c>
      <c r="AF18" s="21">
        <f t="shared" si="9"/>
        <v>0.97655172413792901</v>
      </c>
      <c r="AG18" s="172"/>
    </row>
    <row r="19" spans="1:33" ht="16.5" customHeight="1">
      <c r="A19" s="199" t="s">
        <v>1559</v>
      </c>
      <c r="B19" s="4" t="s">
        <v>78</v>
      </c>
      <c r="C19" s="217" t="s">
        <v>93</v>
      </c>
      <c r="D19" s="218"/>
      <c r="E19" s="37">
        <v>50.67</v>
      </c>
      <c r="F19" s="4">
        <v>1404</v>
      </c>
      <c r="G19" s="4">
        <f t="shared" si="15"/>
        <v>71140.680000000008</v>
      </c>
      <c r="H19" s="22" t="s">
        <v>139</v>
      </c>
      <c r="I19" s="16">
        <v>15</v>
      </c>
      <c r="J19" s="18">
        <v>2000</v>
      </c>
      <c r="K19" s="17">
        <f t="shared" si="1"/>
        <v>133.33333333333334</v>
      </c>
      <c r="L19" s="16">
        <v>15</v>
      </c>
      <c r="M19" s="18">
        <f t="shared" si="16"/>
        <v>1914.5454545454545</v>
      </c>
      <c r="N19" s="17">
        <f t="shared" si="3"/>
        <v>127.63636363636364</v>
      </c>
      <c r="O19" s="19">
        <f t="shared" si="4"/>
        <v>0</v>
      </c>
      <c r="P19" s="20">
        <f t="shared" si="5"/>
        <v>-5.6969696969697026</v>
      </c>
      <c r="Q19" s="21">
        <f t="shared" si="6"/>
        <v>0.95727272727272728</v>
      </c>
      <c r="R19" s="172"/>
      <c r="S19" s="28">
        <v>0.81527777777777788</v>
      </c>
      <c r="T19" s="28">
        <v>0.84583333333333344</v>
      </c>
      <c r="U19" s="4">
        <f t="shared" si="18"/>
        <v>7.9999999999999716</v>
      </c>
      <c r="V19" s="22">
        <f t="shared" si="17"/>
        <v>44</v>
      </c>
      <c r="W19" s="23"/>
      <c r="X19" s="23"/>
      <c r="Y19" s="26"/>
      <c r="Z19" s="26"/>
      <c r="AA19" s="175"/>
      <c r="AB19" s="176"/>
      <c r="AC19" s="25"/>
      <c r="AD19" s="25"/>
      <c r="AE19" s="19">
        <f t="shared" si="8"/>
        <v>-85.454545454545496</v>
      </c>
      <c r="AF19" s="21">
        <f t="shared" si="9"/>
        <v>0.95727272727272728</v>
      </c>
      <c r="AG19" s="172"/>
    </row>
    <row r="20" spans="1:33" ht="16.5" customHeight="1">
      <c r="A20" s="199" t="s">
        <v>1559</v>
      </c>
      <c r="B20" s="37" t="s">
        <v>1556</v>
      </c>
      <c r="C20" s="177"/>
      <c r="D20" s="177"/>
      <c r="E20" s="38"/>
      <c r="F20" s="17"/>
      <c r="G20" s="17"/>
      <c r="H20" s="4"/>
      <c r="I20" s="30">
        <v>17.666666666666668</v>
      </c>
      <c r="J20" s="18">
        <v>1833.3333333333333</v>
      </c>
      <c r="K20" s="17">
        <f t="shared" si="1"/>
        <v>103.77358490566037</v>
      </c>
      <c r="L20" s="30">
        <v>17.666666666666668</v>
      </c>
      <c r="M20" s="18">
        <f>AVERAGE(M14:M19)</f>
        <v>1764.6621315768305</v>
      </c>
      <c r="N20" s="17">
        <f t="shared" si="3"/>
        <v>99.886535749631904</v>
      </c>
      <c r="O20" s="19">
        <f t="shared" si="4"/>
        <v>0</v>
      </c>
      <c r="P20" s="20">
        <f t="shared" si="5"/>
        <v>-3.8870491560284677</v>
      </c>
      <c r="Q20" s="21">
        <f t="shared" si="6"/>
        <v>0.96254298086008927</v>
      </c>
      <c r="R20" s="172"/>
      <c r="S20" s="28"/>
      <c r="T20" s="28"/>
      <c r="U20" s="4"/>
      <c r="V20" s="22"/>
      <c r="W20" s="17"/>
      <c r="X20" s="17"/>
      <c r="Y20" s="31">
        <f>SUM(Y14:Y19)</f>
        <v>0</v>
      </c>
      <c r="Z20" s="31">
        <f>SUM(Z14:Z19)</f>
        <v>0</v>
      </c>
      <c r="AA20" s="168"/>
      <c r="AB20" s="168"/>
      <c r="AC20" s="31">
        <f>SUM(AC14:AC19)</f>
        <v>6</v>
      </c>
      <c r="AD20" s="31">
        <f>SUM(AD14:AD19)</f>
        <v>0</v>
      </c>
      <c r="AE20" s="19">
        <f t="shared" si="8"/>
        <v>-68.671201756502796</v>
      </c>
      <c r="AF20" s="21">
        <f t="shared" si="9"/>
        <v>0.96254298086008938</v>
      </c>
      <c r="AG20" s="172"/>
    </row>
    <row r="21" spans="1:33" ht="15.75" customHeight="1">
      <c r="A21" s="194" t="s">
        <v>1560</v>
      </c>
      <c r="B21" s="37" t="s">
        <v>78</v>
      </c>
      <c r="C21" s="190" t="s">
        <v>95</v>
      </c>
      <c r="D21" s="190"/>
      <c r="E21" s="37">
        <v>57.73</v>
      </c>
      <c r="F21" s="4">
        <v>2181</v>
      </c>
      <c r="G21" s="4">
        <f t="shared" ref="G21:G26" si="19">E21*F21</f>
        <v>125909.12999999999</v>
      </c>
      <c r="H21" s="22" t="s">
        <v>139</v>
      </c>
      <c r="I21" s="16">
        <v>14</v>
      </c>
      <c r="J21" s="18">
        <v>2000</v>
      </c>
      <c r="K21" s="17">
        <f t="shared" si="1"/>
        <v>142.85714285714286</v>
      </c>
      <c r="L21" s="16">
        <v>14</v>
      </c>
      <c r="M21" s="18">
        <f t="shared" ref="M21:M26" si="20">F21/V21*60</f>
        <v>1924.4117647058833</v>
      </c>
      <c r="N21" s="17">
        <f t="shared" si="3"/>
        <v>137.45798319327739</v>
      </c>
      <c r="O21" s="19">
        <f t="shared" si="4"/>
        <v>0</v>
      </c>
      <c r="P21" s="20">
        <f t="shared" si="5"/>
        <v>-5.3991596638654755</v>
      </c>
      <c r="Q21" s="21">
        <f t="shared" si="6"/>
        <v>0.96220588235294169</v>
      </c>
      <c r="R21" s="172">
        <f>Q27</f>
        <v>0.96222078678419809</v>
      </c>
      <c r="S21" s="28">
        <v>0.20833333333333334</v>
      </c>
      <c r="T21" s="28">
        <v>0.25555555555555554</v>
      </c>
      <c r="U21" s="4"/>
      <c r="V21" s="22">
        <f t="shared" ref="V21:V26" si="21">(T21-S21)*24*60</f>
        <v>67.999999999999957</v>
      </c>
      <c r="W21" s="28"/>
      <c r="X21" s="28"/>
      <c r="Y21" s="28"/>
      <c r="Z21" s="28"/>
      <c r="AA21" s="164"/>
      <c r="AB21" s="164"/>
      <c r="AC21" s="25">
        <v>6</v>
      </c>
      <c r="AD21" s="25"/>
      <c r="AE21" s="19">
        <f t="shared" si="8"/>
        <v>-75.588235294116657</v>
      </c>
      <c r="AF21" s="21">
        <f t="shared" si="9"/>
        <v>0.96220588235294169</v>
      </c>
      <c r="AG21" s="172">
        <f>AF27</f>
        <v>0.96222078678419798</v>
      </c>
    </row>
    <row r="22" spans="1:33" ht="15.75" customHeight="1">
      <c r="A22" s="195" t="s">
        <v>1560</v>
      </c>
      <c r="B22" s="37" t="s">
        <v>78</v>
      </c>
      <c r="C22" s="190" t="s">
        <v>96</v>
      </c>
      <c r="D22" s="190"/>
      <c r="E22" s="37">
        <v>53.68</v>
      </c>
      <c r="F22" s="4">
        <v>1331</v>
      </c>
      <c r="G22" s="4">
        <f t="shared" si="19"/>
        <v>71448.08</v>
      </c>
      <c r="H22" s="22" t="s">
        <v>139</v>
      </c>
      <c r="I22" s="16">
        <v>16</v>
      </c>
      <c r="J22" s="18">
        <v>2000</v>
      </c>
      <c r="K22" s="17">
        <f t="shared" si="1"/>
        <v>125</v>
      </c>
      <c r="L22" s="16">
        <v>16</v>
      </c>
      <c r="M22" s="18">
        <f t="shared" si="20"/>
        <v>1947.80487804878</v>
      </c>
      <c r="N22" s="17">
        <f t="shared" si="3"/>
        <v>121.73780487804875</v>
      </c>
      <c r="O22" s="19">
        <f t="shared" si="4"/>
        <v>0</v>
      </c>
      <c r="P22" s="20">
        <f t="shared" si="5"/>
        <v>-3.2621951219512511</v>
      </c>
      <c r="Q22" s="21">
        <f t="shared" si="6"/>
        <v>0.97390243902439</v>
      </c>
      <c r="R22" s="172"/>
      <c r="S22" s="28">
        <v>0.25902777777777775</v>
      </c>
      <c r="T22" s="28">
        <v>0.28749999999999998</v>
      </c>
      <c r="U22" s="4">
        <f t="shared" ref="U22:U26" si="22">IF(S22=TIME(17,0,0),"",(S22-T21)*24*60)</f>
        <v>4.9999999999999822</v>
      </c>
      <c r="V22" s="22">
        <f t="shared" si="21"/>
        <v>41.000000000000014</v>
      </c>
      <c r="W22" s="23"/>
      <c r="X22" s="4"/>
      <c r="Y22" s="4"/>
      <c r="Z22" s="4"/>
      <c r="AA22" s="164"/>
      <c r="AB22" s="164"/>
      <c r="AC22" s="25"/>
      <c r="AD22" s="25"/>
      <c r="AE22" s="19">
        <f t="shared" si="8"/>
        <v>-52.195121951220017</v>
      </c>
      <c r="AF22" s="21">
        <f t="shared" si="9"/>
        <v>0.97390243902439</v>
      </c>
      <c r="AG22" s="172"/>
    </row>
    <row r="23" spans="1:33" ht="15.75" customHeight="1">
      <c r="A23" s="195" t="s">
        <v>1560</v>
      </c>
      <c r="B23" s="37" t="s">
        <v>78</v>
      </c>
      <c r="C23" s="190" t="s">
        <v>97</v>
      </c>
      <c r="D23" s="190"/>
      <c r="E23" s="37">
        <v>50.49</v>
      </c>
      <c r="F23" s="4">
        <v>1813</v>
      </c>
      <c r="G23" s="4">
        <f t="shared" si="19"/>
        <v>91538.37000000001</v>
      </c>
      <c r="H23" s="22" t="s">
        <v>139</v>
      </c>
      <c r="I23" s="16">
        <v>15</v>
      </c>
      <c r="J23" s="18">
        <v>2000</v>
      </c>
      <c r="K23" s="17">
        <f t="shared" si="1"/>
        <v>133.33333333333334</v>
      </c>
      <c r="L23" s="16">
        <v>15</v>
      </c>
      <c r="M23" s="18">
        <f t="shared" si="20"/>
        <v>1908.4210526315803</v>
      </c>
      <c r="N23" s="17">
        <f t="shared" si="3"/>
        <v>127.22807017543869</v>
      </c>
      <c r="O23" s="19">
        <f t="shared" si="4"/>
        <v>0</v>
      </c>
      <c r="P23" s="20">
        <f t="shared" si="5"/>
        <v>-6.1052631578946546</v>
      </c>
      <c r="Q23" s="21">
        <f t="shared" si="6"/>
        <v>0.95421052631579006</v>
      </c>
      <c r="R23" s="172"/>
      <c r="S23" s="28">
        <v>0.70833333333333337</v>
      </c>
      <c r="T23" s="28">
        <v>0.74791666666666667</v>
      </c>
      <c r="U23" s="4" t="str">
        <f t="shared" si="22"/>
        <v/>
      </c>
      <c r="V23" s="22">
        <f t="shared" si="21"/>
        <v>56.999999999999957</v>
      </c>
      <c r="W23" s="23"/>
      <c r="X23" s="4"/>
      <c r="Y23" s="4"/>
      <c r="Z23" s="4"/>
      <c r="AA23" s="164"/>
      <c r="AB23" s="164"/>
      <c r="AC23" s="25"/>
      <c r="AD23" s="25"/>
      <c r="AE23" s="19">
        <f t="shared" si="8"/>
        <v>-91.578947368419676</v>
      </c>
      <c r="AF23" s="21">
        <f t="shared" si="9"/>
        <v>0.95421052631579018</v>
      </c>
      <c r="AG23" s="172"/>
    </row>
    <row r="24" spans="1:33" ht="15.75" customHeight="1">
      <c r="A24" s="195" t="s">
        <v>1560</v>
      </c>
      <c r="B24" s="37" t="s">
        <v>78</v>
      </c>
      <c r="C24" s="190" t="s">
        <v>94</v>
      </c>
      <c r="D24" s="190"/>
      <c r="E24" s="37">
        <v>57.3</v>
      </c>
      <c r="F24" s="4">
        <v>1725</v>
      </c>
      <c r="G24" s="4">
        <f t="shared" si="19"/>
        <v>98842.5</v>
      </c>
      <c r="H24" s="22" t="s">
        <v>139</v>
      </c>
      <c r="I24" s="16">
        <v>13</v>
      </c>
      <c r="J24" s="18">
        <v>2000</v>
      </c>
      <c r="K24" s="17">
        <f t="shared" si="1"/>
        <v>153.84615384615384</v>
      </c>
      <c r="L24" s="16">
        <v>13</v>
      </c>
      <c r="M24" s="18">
        <f t="shared" si="20"/>
        <v>1916.6666666666677</v>
      </c>
      <c r="N24" s="17">
        <f t="shared" si="3"/>
        <v>147.43589743589752</v>
      </c>
      <c r="O24" s="19">
        <f t="shared" si="4"/>
        <v>0</v>
      </c>
      <c r="P24" s="20">
        <f t="shared" si="5"/>
        <v>-6.4102564102563235</v>
      </c>
      <c r="Q24" s="21">
        <f t="shared" si="6"/>
        <v>0.95833333333333393</v>
      </c>
      <c r="R24" s="172"/>
      <c r="S24" s="28">
        <v>0.75277777777777777</v>
      </c>
      <c r="T24" s="28">
        <v>0.79027777777777775</v>
      </c>
      <c r="U24" s="4">
        <f t="shared" si="22"/>
        <v>6.9999999999999751</v>
      </c>
      <c r="V24" s="22">
        <f t="shared" si="21"/>
        <v>53.999999999999972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-83.333333333332348</v>
      </c>
      <c r="AF24" s="21">
        <f t="shared" si="9"/>
        <v>0.95833333333333381</v>
      </c>
      <c r="AG24" s="172"/>
    </row>
    <row r="25" spans="1:33" ht="15.75" customHeight="1">
      <c r="A25" s="195" t="s">
        <v>1560</v>
      </c>
      <c r="B25" s="37" t="s">
        <v>78</v>
      </c>
      <c r="C25" s="190" t="s">
        <v>99</v>
      </c>
      <c r="D25" s="190"/>
      <c r="E25" s="37">
        <v>53.68</v>
      </c>
      <c r="F25" s="4">
        <v>1751</v>
      </c>
      <c r="G25" s="4">
        <f t="shared" si="19"/>
        <v>93993.68</v>
      </c>
      <c r="H25" s="22" t="s">
        <v>139</v>
      </c>
      <c r="I25" s="16">
        <v>16</v>
      </c>
      <c r="J25" s="18">
        <v>1500</v>
      </c>
      <c r="K25" s="17">
        <f t="shared" si="1"/>
        <v>93.75</v>
      </c>
      <c r="L25" s="16">
        <v>16</v>
      </c>
      <c r="M25" s="18">
        <f t="shared" si="20"/>
        <v>1439.1780821917798</v>
      </c>
      <c r="N25" s="17">
        <f t="shared" si="3"/>
        <v>89.948630136986239</v>
      </c>
      <c r="O25" s="19">
        <f t="shared" si="4"/>
        <v>0</v>
      </c>
      <c r="P25" s="20">
        <f t="shared" si="5"/>
        <v>-3.8013698630137611</v>
      </c>
      <c r="Q25" s="21">
        <f t="shared" si="6"/>
        <v>0.95945205479451989</v>
      </c>
      <c r="R25" s="172"/>
      <c r="S25" s="28">
        <v>0.79374999999999996</v>
      </c>
      <c r="T25" s="28">
        <v>0.84444444444444444</v>
      </c>
      <c r="U25" s="4">
        <f t="shared" si="22"/>
        <v>4.9999999999999822</v>
      </c>
      <c r="V25" s="22">
        <f t="shared" si="21"/>
        <v>73.000000000000057</v>
      </c>
      <c r="W25" s="23">
        <f>T25</f>
        <v>0.84444444444444444</v>
      </c>
      <c r="X25" s="23">
        <f>S26</f>
        <v>0.88611111111111107</v>
      </c>
      <c r="Y25" s="4"/>
      <c r="Z25" s="4"/>
      <c r="AA25" s="164"/>
      <c r="AB25" s="164"/>
      <c r="AC25" s="25"/>
      <c r="AD25" s="25"/>
      <c r="AE25" s="19">
        <f t="shared" si="8"/>
        <v>-60.821917808220178</v>
      </c>
      <c r="AF25" s="21">
        <f t="shared" si="9"/>
        <v>0.95945205479451989</v>
      </c>
      <c r="AG25" s="172"/>
    </row>
    <row r="26" spans="1:33" ht="15.75" customHeight="1">
      <c r="A26" s="195" t="s">
        <v>1560</v>
      </c>
      <c r="B26" s="37" t="s">
        <v>78</v>
      </c>
      <c r="C26" s="190" t="s">
        <v>92</v>
      </c>
      <c r="D26" s="190"/>
      <c r="E26" s="37">
        <v>50.92</v>
      </c>
      <c r="F26" s="4">
        <v>1704</v>
      </c>
      <c r="G26" s="4">
        <f t="shared" si="19"/>
        <v>86767.680000000008</v>
      </c>
      <c r="H26" s="22" t="s">
        <v>139</v>
      </c>
      <c r="I26" s="16">
        <v>15</v>
      </c>
      <c r="J26" s="18">
        <v>2000</v>
      </c>
      <c r="K26" s="17">
        <f t="shared" si="1"/>
        <v>133.33333333333334</v>
      </c>
      <c r="L26" s="16">
        <v>15</v>
      </c>
      <c r="M26" s="18">
        <f t="shared" si="20"/>
        <v>1929.0566037735859</v>
      </c>
      <c r="N26" s="17">
        <f t="shared" si="3"/>
        <v>128.60377358490572</v>
      </c>
      <c r="O26" s="19">
        <f t="shared" si="4"/>
        <v>0</v>
      </c>
      <c r="P26" s="20">
        <f t="shared" si="5"/>
        <v>-4.7295597484276186</v>
      </c>
      <c r="Q26" s="21">
        <f t="shared" si="6"/>
        <v>0.96452830188679284</v>
      </c>
      <c r="R26" s="172"/>
      <c r="S26" s="28">
        <v>0.88611111111111107</v>
      </c>
      <c r="T26" s="28">
        <v>0.92291666666666661</v>
      </c>
      <c r="U26" s="4">
        <f t="shared" si="22"/>
        <v>59.999999999999943</v>
      </c>
      <c r="V26" s="22">
        <f t="shared" si="21"/>
        <v>52.999999999999972</v>
      </c>
      <c r="W26" s="23"/>
      <c r="X26" s="28"/>
      <c r="Y26" s="28"/>
      <c r="Z26" s="28"/>
      <c r="AA26" s="164"/>
      <c r="AB26" s="164"/>
      <c r="AC26" s="25"/>
      <c r="AD26" s="25"/>
      <c r="AE26" s="19">
        <f t="shared" si="8"/>
        <v>-70.943396226414052</v>
      </c>
      <c r="AF26" s="21">
        <f t="shared" si="9"/>
        <v>0.96452830188679295</v>
      </c>
      <c r="AG26" s="172"/>
    </row>
    <row r="27" spans="1:33" ht="15.75" customHeight="1">
      <c r="A27" s="195" t="s">
        <v>1560</v>
      </c>
      <c r="B27" s="37" t="s">
        <v>1556</v>
      </c>
      <c r="C27" s="177"/>
      <c r="D27" s="177"/>
      <c r="E27" s="38"/>
      <c r="F27" s="4"/>
      <c r="G27" s="4"/>
      <c r="H27" s="4"/>
      <c r="I27" s="30">
        <v>14.833333333333334</v>
      </c>
      <c r="J27" s="18">
        <v>1916.6666666666667</v>
      </c>
      <c r="K27" s="17">
        <f t="shared" si="1"/>
        <v>129.2134831460674</v>
      </c>
      <c r="L27" s="30">
        <v>14.833333333333334</v>
      </c>
      <c r="M27" s="18">
        <f>AVERAGE(M21:M26)</f>
        <v>1844.2565080030463</v>
      </c>
      <c r="N27" s="17">
        <f t="shared" si="3"/>
        <v>124.33189941593569</v>
      </c>
      <c r="O27" s="19">
        <f t="shared" si="4"/>
        <v>0</v>
      </c>
      <c r="P27" s="20">
        <f t="shared" si="5"/>
        <v>-4.8815837301317089</v>
      </c>
      <c r="Q27" s="21">
        <f t="shared" si="6"/>
        <v>0.96222078678419809</v>
      </c>
      <c r="R27" s="172"/>
      <c r="S27" s="28"/>
      <c r="T27" s="28"/>
      <c r="U27" s="17"/>
      <c r="V27" s="22"/>
      <c r="W27" s="17"/>
      <c r="X27" s="17"/>
      <c r="Y27" s="31">
        <f>SUM(Y21:Y26)</f>
        <v>0</v>
      </c>
      <c r="Z27" s="31">
        <f>SUM(Z21:Z26)</f>
        <v>0</v>
      </c>
      <c r="AA27" s="168"/>
      <c r="AB27" s="168"/>
      <c r="AC27" s="31">
        <f>SUM(AC21:AC26)</f>
        <v>6</v>
      </c>
      <c r="AD27" s="31">
        <f>SUM(AD21:AD26)</f>
        <v>0</v>
      </c>
      <c r="AE27" s="19">
        <f t="shared" si="8"/>
        <v>-72.41015866362045</v>
      </c>
      <c r="AF27" s="21">
        <f t="shared" si="9"/>
        <v>0.96222078678419798</v>
      </c>
      <c r="AG27" s="172"/>
    </row>
    <row r="28" spans="1:33" ht="15.75" customHeight="1">
      <c r="A28" s="193" t="s">
        <v>1561</v>
      </c>
      <c r="B28" s="37" t="s">
        <v>100</v>
      </c>
      <c r="C28" s="190" t="s">
        <v>101</v>
      </c>
      <c r="D28" s="190"/>
      <c r="E28" s="37">
        <v>31.29</v>
      </c>
      <c r="F28" s="4">
        <v>7871</v>
      </c>
      <c r="G28" s="4">
        <f t="shared" ref="G28:G32" si="23">E28*F28</f>
        <v>246283.59</v>
      </c>
      <c r="H28" s="22" t="s">
        <v>139</v>
      </c>
      <c r="I28" s="16">
        <v>18</v>
      </c>
      <c r="J28" s="18">
        <v>2400</v>
      </c>
      <c r="K28" s="17">
        <f t="shared" si="1"/>
        <v>133.33333333333334</v>
      </c>
      <c r="L28" s="16">
        <v>18</v>
      </c>
      <c r="M28" s="18">
        <f t="shared" ref="M28:M32" si="24">F28/V28*60</f>
        <v>2292.5242718446602</v>
      </c>
      <c r="N28" s="17">
        <f t="shared" si="3"/>
        <v>127.36245954692556</v>
      </c>
      <c r="O28" s="19">
        <f t="shared" si="4"/>
        <v>0</v>
      </c>
      <c r="P28" s="20">
        <f t="shared" si="5"/>
        <v>-5.970873786407779</v>
      </c>
      <c r="Q28" s="21">
        <f t="shared" si="6"/>
        <v>0.95521844660194166</v>
      </c>
      <c r="R28" s="172">
        <f>Q33</f>
        <v>0.95638137927403422</v>
      </c>
      <c r="S28" s="28">
        <v>0.125</v>
      </c>
      <c r="T28" s="28">
        <v>0.26805555555555555</v>
      </c>
      <c r="U28" s="4"/>
      <c r="V28" s="22">
        <f t="shared" ref="V28:V32" si="25">(T28-S28)*24*60</f>
        <v>206</v>
      </c>
      <c r="W28" s="23">
        <f>T28</f>
        <v>0.26805555555555555</v>
      </c>
      <c r="X28" s="23">
        <f>S29</f>
        <v>0.28749999999999998</v>
      </c>
      <c r="Y28" s="23"/>
      <c r="Z28" s="23"/>
      <c r="AA28" s="164"/>
      <c r="AB28" s="164"/>
      <c r="AC28" s="25">
        <v>5</v>
      </c>
      <c r="AD28" s="25"/>
      <c r="AE28" s="19">
        <f t="shared" si="8"/>
        <v>-107.47572815533977</v>
      </c>
      <c r="AF28" s="21">
        <f t="shared" si="9"/>
        <v>0.95521844660194177</v>
      </c>
      <c r="AG28" s="172">
        <f>AF33</f>
        <v>0.95638137927403422</v>
      </c>
    </row>
    <row r="29" spans="1:33" ht="15.75" customHeight="1">
      <c r="A29" s="193" t="s">
        <v>1561</v>
      </c>
      <c r="B29" s="37" t="s">
        <v>100</v>
      </c>
      <c r="C29" s="190" t="s">
        <v>105</v>
      </c>
      <c r="D29" s="190"/>
      <c r="E29" s="37">
        <v>25.98</v>
      </c>
      <c r="F29" s="4">
        <v>2299</v>
      </c>
      <c r="G29" s="4">
        <f t="shared" si="23"/>
        <v>59728.020000000004</v>
      </c>
      <c r="H29" s="22" t="s">
        <v>139</v>
      </c>
      <c r="I29" s="16">
        <v>21</v>
      </c>
      <c r="J29" s="18">
        <v>2400</v>
      </c>
      <c r="K29" s="17">
        <f t="shared" si="1"/>
        <v>114.28571428571429</v>
      </c>
      <c r="L29" s="16">
        <v>21</v>
      </c>
      <c r="M29" s="18">
        <f t="shared" si="24"/>
        <v>2298.9999999999991</v>
      </c>
      <c r="N29" s="17">
        <f t="shared" si="3"/>
        <v>109.47619047619044</v>
      </c>
      <c r="O29" s="19">
        <f t="shared" si="4"/>
        <v>0</v>
      </c>
      <c r="P29" s="20">
        <f t="shared" si="5"/>
        <v>-4.8095238095238528</v>
      </c>
      <c r="Q29" s="21">
        <f t="shared" si="6"/>
        <v>0.95791666666666631</v>
      </c>
      <c r="R29" s="172"/>
      <c r="S29" s="28">
        <v>0.28749999999999998</v>
      </c>
      <c r="T29" s="28">
        <v>0.32916666666666666</v>
      </c>
      <c r="U29" s="4">
        <f t="shared" ref="U29:U32" si="26">(S29-T28)*24*60</f>
        <v>27.999999999999979</v>
      </c>
      <c r="V29" s="22">
        <f t="shared" si="25"/>
        <v>60.000000000000028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8"/>
        <v>-101.00000000000091</v>
      </c>
      <c r="AF29" s="21">
        <f t="shared" si="9"/>
        <v>0.95791666666666631</v>
      </c>
      <c r="AG29" s="172"/>
    </row>
    <row r="30" spans="1:33" ht="15.75" customHeight="1">
      <c r="A30" s="193" t="s">
        <v>1561</v>
      </c>
      <c r="B30" s="37" t="s">
        <v>100</v>
      </c>
      <c r="C30" s="190" t="s">
        <v>102</v>
      </c>
      <c r="D30" s="190"/>
      <c r="E30" s="37">
        <v>26.2</v>
      </c>
      <c r="F30" s="4">
        <v>4085</v>
      </c>
      <c r="G30" s="4">
        <f t="shared" si="23"/>
        <v>107027</v>
      </c>
      <c r="H30" s="22" t="s">
        <v>139</v>
      </c>
      <c r="I30" s="16">
        <v>20</v>
      </c>
      <c r="J30" s="18">
        <v>2400</v>
      </c>
      <c r="K30" s="17">
        <f t="shared" si="1"/>
        <v>120</v>
      </c>
      <c r="L30" s="16">
        <v>20</v>
      </c>
      <c r="M30" s="18">
        <f t="shared" si="24"/>
        <v>2290.6542056074763</v>
      </c>
      <c r="N30" s="17">
        <f t="shared" si="3"/>
        <v>114.53271028037382</v>
      </c>
      <c r="O30" s="19">
        <f t="shared" si="4"/>
        <v>0</v>
      </c>
      <c r="P30" s="20">
        <f t="shared" si="5"/>
        <v>-5.46728971962618</v>
      </c>
      <c r="Q30" s="21">
        <f t="shared" si="6"/>
        <v>0.95443925233644855</v>
      </c>
      <c r="R30" s="172"/>
      <c r="S30" s="28">
        <v>0.3347222222222222</v>
      </c>
      <c r="T30" s="28">
        <v>0.40902777777777777</v>
      </c>
      <c r="U30" s="4">
        <f t="shared" si="26"/>
        <v>7.9999999999999716</v>
      </c>
      <c r="V30" s="22">
        <f t="shared" si="25"/>
        <v>107.00000000000001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8"/>
        <v>-109.34579439252366</v>
      </c>
      <c r="AF30" s="21">
        <f t="shared" si="9"/>
        <v>0.95443925233644844</v>
      </c>
      <c r="AG30" s="172"/>
    </row>
    <row r="31" spans="1:33" ht="15.75" customHeight="1">
      <c r="A31" s="193" t="s">
        <v>1561</v>
      </c>
      <c r="B31" s="37" t="s">
        <v>100</v>
      </c>
      <c r="C31" s="190" t="s">
        <v>103</v>
      </c>
      <c r="D31" s="190"/>
      <c r="E31" s="37">
        <v>25.99</v>
      </c>
      <c r="F31" s="4">
        <v>3397</v>
      </c>
      <c r="G31" s="4">
        <f t="shared" si="23"/>
        <v>88288.03</v>
      </c>
      <c r="H31" s="22" t="s">
        <v>139</v>
      </c>
      <c r="I31" s="16">
        <v>14</v>
      </c>
      <c r="J31" s="18">
        <v>2400</v>
      </c>
      <c r="K31" s="17">
        <f t="shared" si="1"/>
        <v>171.42857142857142</v>
      </c>
      <c r="L31" s="16">
        <v>14</v>
      </c>
      <c r="M31" s="18">
        <f t="shared" si="24"/>
        <v>2290.1123595505615</v>
      </c>
      <c r="N31" s="17">
        <f t="shared" si="3"/>
        <v>163.57945425361154</v>
      </c>
      <c r="O31" s="19">
        <f t="shared" si="4"/>
        <v>0</v>
      </c>
      <c r="P31" s="20">
        <f t="shared" si="5"/>
        <v>-7.849117174959872</v>
      </c>
      <c r="Q31" s="21">
        <f t="shared" si="6"/>
        <v>0.95421348314606746</v>
      </c>
      <c r="R31" s="172"/>
      <c r="S31" s="28">
        <v>0.41388888888888886</v>
      </c>
      <c r="T31" s="28">
        <v>0.47569444444444442</v>
      </c>
      <c r="U31" s="4">
        <f t="shared" si="26"/>
        <v>6.9999999999999751</v>
      </c>
      <c r="V31" s="22">
        <f t="shared" si="25"/>
        <v>89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8"/>
        <v>-109.88764044943855</v>
      </c>
      <c r="AF31" s="21">
        <f t="shared" si="9"/>
        <v>0.95421348314606724</v>
      </c>
      <c r="AG31" s="172"/>
    </row>
    <row r="32" spans="1:33" ht="15.75" customHeight="1">
      <c r="A32" s="193" t="s">
        <v>1561</v>
      </c>
      <c r="B32" s="37" t="s">
        <v>100</v>
      </c>
      <c r="C32" s="190" t="s">
        <v>107</v>
      </c>
      <c r="D32" s="190"/>
      <c r="E32" s="37">
        <v>26.18</v>
      </c>
      <c r="F32" s="4">
        <v>1613</v>
      </c>
      <c r="G32" s="4">
        <f t="shared" si="23"/>
        <v>42228.34</v>
      </c>
      <c r="H32" s="22" t="s">
        <v>139</v>
      </c>
      <c r="I32" s="16">
        <v>19</v>
      </c>
      <c r="J32" s="18">
        <v>2400</v>
      </c>
      <c r="K32" s="17">
        <f t="shared" si="1"/>
        <v>126.31578947368421</v>
      </c>
      <c r="L32" s="16">
        <v>19</v>
      </c>
      <c r="M32" s="18">
        <f t="shared" si="24"/>
        <v>2304.2857142857133</v>
      </c>
      <c r="N32" s="17">
        <f t="shared" si="3"/>
        <v>121.27819548872175</v>
      </c>
      <c r="O32" s="19">
        <f t="shared" si="4"/>
        <v>0</v>
      </c>
      <c r="P32" s="20">
        <f t="shared" si="5"/>
        <v>-5.0375939849624558</v>
      </c>
      <c r="Q32" s="21">
        <f t="shared" si="6"/>
        <v>0.96011904761904721</v>
      </c>
      <c r="R32" s="172"/>
      <c r="S32" s="28">
        <v>0.47986111111111107</v>
      </c>
      <c r="T32" s="28">
        <v>0.50902777777777775</v>
      </c>
      <c r="U32" s="4">
        <f t="shared" si="26"/>
        <v>5.9999999999999787</v>
      </c>
      <c r="V32" s="22">
        <f t="shared" si="25"/>
        <v>42.000000000000014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8"/>
        <v>-95.714285714286689</v>
      </c>
      <c r="AF32" s="21">
        <f t="shared" si="9"/>
        <v>0.96011904761904721</v>
      </c>
      <c r="AG32" s="172"/>
    </row>
    <row r="33" spans="1:33" ht="15.75" customHeight="1">
      <c r="A33" s="193" t="s">
        <v>1561</v>
      </c>
      <c r="B33" s="37" t="s">
        <v>1556</v>
      </c>
      <c r="C33" s="177"/>
      <c r="D33" s="177"/>
      <c r="E33" s="38"/>
      <c r="F33" s="4"/>
      <c r="G33" s="4"/>
      <c r="H33" s="4"/>
      <c r="I33" s="30">
        <v>18.399999999999999</v>
      </c>
      <c r="J33" s="18">
        <v>2400</v>
      </c>
      <c r="K33" s="17">
        <f t="shared" si="1"/>
        <v>130.43478260869566</v>
      </c>
      <c r="L33" s="30">
        <v>18.399999999999999</v>
      </c>
      <c r="M33" s="18">
        <f>AVERAGE(M28:M32)</f>
        <v>2295.3153102576821</v>
      </c>
      <c r="N33" s="17">
        <f t="shared" si="3"/>
        <v>124.74539729661316</v>
      </c>
      <c r="O33" s="19">
        <f t="shared" si="4"/>
        <v>0</v>
      </c>
      <c r="P33" s="20">
        <f t="shared" si="5"/>
        <v>-5.6893853120824929</v>
      </c>
      <c r="Q33" s="21">
        <f t="shared" si="6"/>
        <v>0.95638137927403422</v>
      </c>
      <c r="R33" s="172"/>
      <c r="S33" s="28"/>
      <c r="T33" s="28"/>
      <c r="U33" s="4"/>
      <c r="V33" s="22"/>
      <c r="W33" s="4"/>
      <c r="X33" s="4"/>
      <c r="Y33" s="31">
        <f>SUM(Y28:Y32)</f>
        <v>0</v>
      </c>
      <c r="Z33" s="31">
        <f>SUM(Z28:Z32)</f>
        <v>0</v>
      </c>
      <c r="AA33" s="168"/>
      <c r="AB33" s="168"/>
      <c r="AC33" s="31">
        <f>SUM(AC28:AC32)</f>
        <v>5</v>
      </c>
      <c r="AD33" s="31">
        <f>SUM(AD28:AD32)</f>
        <v>0</v>
      </c>
      <c r="AE33" s="19">
        <f t="shared" si="8"/>
        <v>-104.68468974231791</v>
      </c>
      <c r="AF33" s="21">
        <f t="shared" si="9"/>
        <v>0.95638137927403422</v>
      </c>
      <c r="AG33" s="172"/>
    </row>
    <row r="34" spans="1:33" ht="15.75" customHeight="1">
      <c r="A34" s="191" t="s">
        <v>1562</v>
      </c>
      <c r="B34" s="37" t="s">
        <v>100</v>
      </c>
      <c r="C34" s="165" t="s">
        <v>106</v>
      </c>
      <c r="D34" s="165"/>
      <c r="E34" s="37">
        <v>26.2</v>
      </c>
      <c r="F34" s="4">
        <v>5450</v>
      </c>
      <c r="G34" s="4">
        <f t="shared" ref="G34:G38" si="27">E34*F34</f>
        <v>142790</v>
      </c>
      <c r="H34" s="22" t="s">
        <v>139</v>
      </c>
      <c r="I34" s="16">
        <v>18</v>
      </c>
      <c r="J34" s="18">
        <v>2400</v>
      </c>
      <c r="K34" s="17">
        <f t="shared" si="1"/>
        <v>133.33333333333334</v>
      </c>
      <c r="L34" s="16">
        <v>18</v>
      </c>
      <c r="M34" s="18">
        <f t="shared" ref="M34:M38" si="28">F34/V34*60</f>
        <v>2286.7132867132873</v>
      </c>
      <c r="N34" s="17">
        <f t="shared" si="3"/>
        <v>127.03962703962708</v>
      </c>
      <c r="O34" s="19">
        <f t="shared" si="4"/>
        <v>0</v>
      </c>
      <c r="P34" s="20">
        <f t="shared" si="5"/>
        <v>-6.2937062937062649</v>
      </c>
      <c r="Q34" s="21">
        <f t="shared" si="6"/>
        <v>0.95279720279720304</v>
      </c>
      <c r="R34" s="172">
        <f>Q39</f>
        <v>0.95286463816064404</v>
      </c>
      <c r="S34" s="28">
        <v>0.125</v>
      </c>
      <c r="T34" s="28">
        <v>0.22430555555555554</v>
      </c>
      <c r="U34" s="4"/>
      <c r="V34" s="22">
        <f t="shared" ref="V34:V38" si="29">(T34-S34)*24*60</f>
        <v>142.99999999999997</v>
      </c>
      <c r="W34" s="28">
        <f>T34</f>
        <v>0.22430555555555554</v>
      </c>
      <c r="X34" s="28">
        <f>S35</f>
        <v>0.24305555555555552</v>
      </c>
      <c r="Y34" s="28"/>
      <c r="Z34" s="28"/>
      <c r="AA34" s="164"/>
      <c r="AB34" s="164"/>
      <c r="AC34" s="25">
        <v>5</v>
      </c>
      <c r="AD34" s="25"/>
      <c r="AE34" s="19">
        <f t="shared" si="8"/>
        <v>-113.28671328671271</v>
      </c>
      <c r="AF34" s="21">
        <f t="shared" si="9"/>
        <v>0.95279720279720304</v>
      </c>
      <c r="AG34" s="172">
        <f>AF39</f>
        <v>0.95286463816064404</v>
      </c>
    </row>
    <row r="35" spans="1:33" ht="15.75" customHeight="1">
      <c r="A35" s="191" t="s">
        <v>1562</v>
      </c>
      <c r="B35" s="37" t="s">
        <v>100</v>
      </c>
      <c r="C35" s="165" t="s">
        <v>104</v>
      </c>
      <c r="D35" s="165"/>
      <c r="E35" s="37">
        <v>20.52</v>
      </c>
      <c r="F35" s="4">
        <v>3048</v>
      </c>
      <c r="G35" s="4">
        <f t="shared" si="27"/>
        <v>62544.959999999999</v>
      </c>
      <c r="H35" s="22" t="s">
        <v>139</v>
      </c>
      <c r="I35" s="16">
        <v>18</v>
      </c>
      <c r="J35" s="18">
        <v>2400</v>
      </c>
      <c r="K35" s="17">
        <f t="shared" si="1"/>
        <v>133.33333333333334</v>
      </c>
      <c r="L35" s="16">
        <v>18</v>
      </c>
      <c r="M35" s="18">
        <f t="shared" si="28"/>
        <v>2286.0000000000014</v>
      </c>
      <c r="N35" s="17">
        <f t="shared" si="3"/>
        <v>127.00000000000007</v>
      </c>
      <c r="O35" s="19">
        <f t="shared" si="4"/>
        <v>0</v>
      </c>
      <c r="P35" s="20">
        <f t="shared" si="5"/>
        <v>-6.3333333333332718</v>
      </c>
      <c r="Q35" s="21">
        <f t="shared" si="6"/>
        <v>0.95250000000000046</v>
      </c>
      <c r="R35" s="172"/>
      <c r="S35" s="28">
        <v>0.24305555555555552</v>
      </c>
      <c r="T35" s="28">
        <v>0.29861111111111105</v>
      </c>
      <c r="U35" s="4">
        <f t="shared" ref="U35:U38" si="30">(S35-T34)*24*60</f>
        <v>26.999999999999986</v>
      </c>
      <c r="V35" s="22">
        <f t="shared" si="29"/>
        <v>79.999999999999957</v>
      </c>
      <c r="W35" s="4"/>
      <c r="X35" s="4"/>
      <c r="Y35" s="4"/>
      <c r="Z35" s="4"/>
      <c r="AA35" s="164"/>
      <c r="AB35" s="164"/>
      <c r="AC35" s="25"/>
      <c r="AD35" s="25"/>
      <c r="AE35" s="19">
        <f t="shared" si="8"/>
        <v>-113.99999999999864</v>
      </c>
      <c r="AF35" s="21">
        <f t="shared" si="9"/>
        <v>0.95250000000000057</v>
      </c>
      <c r="AG35" s="172"/>
    </row>
    <row r="36" spans="1:33">
      <c r="A36" s="192" t="s">
        <v>1562</v>
      </c>
      <c r="B36" s="37" t="s">
        <v>100</v>
      </c>
      <c r="C36" s="165" t="s">
        <v>108</v>
      </c>
      <c r="D36" s="165"/>
      <c r="E36" s="37">
        <v>26.39</v>
      </c>
      <c r="F36" s="4">
        <v>4665</v>
      </c>
      <c r="G36" s="4">
        <f t="shared" si="27"/>
        <v>123109.35</v>
      </c>
      <c r="H36" s="22" t="s">
        <v>139</v>
      </c>
      <c r="I36" s="16">
        <v>19</v>
      </c>
      <c r="J36" s="18">
        <v>2400</v>
      </c>
      <c r="K36" s="17">
        <f t="shared" si="1"/>
        <v>126.31578947368421</v>
      </c>
      <c r="L36" s="16">
        <v>19</v>
      </c>
      <c r="M36" s="18">
        <f t="shared" si="28"/>
        <v>2294.2622950819677</v>
      </c>
      <c r="N36" s="17">
        <f t="shared" si="3"/>
        <v>120.75064710957724</v>
      </c>
      <c r="O36" s="19">
        <f t="shared" si="4"/>
        <v>0</v>
      </c>
      <c r="P36" s="20">
        <f t="shared" si="5"/>
        <v>-5.5651423641069613</v>
      </c>
      <c r="Q36" s="21">
        <f t="shared" si="6"/>
        <v>0.95594262295081989</v>
      </c>
      <c r="R36" s="172"/>
      <c r="S36" s="28">
        <v>0.3027777777777777</v>
      </c>
      <c r="T36" s="28">
        <v>0.3874999999999999</v>
      </c>
      <c r="U36" s="4">
        <f t="shared" si="30"/>
        <v>5.9999999999999787</v>
      </c>
      <c r="V36" s="22">
        <f t="shared" si="29"/>
        <v>121.99999999999997</v>
      </c>
      <c r="W36" s="4"/>
      <c r="X36" s="4"/>
      <c r="Y36" s="4"/>
      <c r="Z36" s="4"/>
      <c r="AA36" s="164"/>
      <c r="AB36" s="164"/>
      <c r="AC36" s="25"/>
      <c r="AD36" s="25"/>
      <c r="AE36" s="19">
        <f t="shared" si="8"/>
        <v>-105.73770491803225</v>
      </c>
      <c r="AF36" s="21">
        <f t="shared" si="9"/>
        <v>0.95594262295081989</v>
      </c>
      <c r="AG36" s="172"/>
    </row>
    <row r="37" spans="1:33">
      <c r="A37" s="192" t="s">
        <v>1562</v>
      </c>
      <c r="B37" s="37" t="s">
        <v>100</v>
      </c>
      <c r="C37" s="165" t="s">
        <v>137</v>
      </c>
      <c r="D37" s="165"/>
      <c r="E37" s="37">
        <v>20.21</v>
      </c>
      <c r="F37" s="4">
        <v>2701</v>
      </c>
      <c r="G37" s="4">
        <f t="shared" si="27"/>
        <v>54587.21</v>
      </c>
      <c r="H37" s="22" t="s">
        <v>139</v>
      </c>
      <c r="I37" s="16">
        <v>16</v>
      </c>
      <c r="J37" s="18">
        <v>2400</v>
      </c>
      <c r="K37" s="17">
        <f t="shared" si="1"/>
        <v>150</v>
      </c>
      <c r="L37" s="16">
        <v>16</v>
      </c>
      <c r="M37" s="18">
        <f t="shared" si="28"/>
        <v>2282.535211267606</v>
      </c>
      <c r="N37" s="17">
        <f t="shared" si="3"/>
        <v>142.65845070422537</v>
      </c>
      <c r="O37" s="19">
        <f t="shared" si="4"/>
        <v>0</v>
      </c>
      <c r="P37" s="20">
        <f t="shared" si="5"/>
        <v>-7.3415492957746267</v>
      </c>
      <c r="Q37" s="21">
        <f t="shared" si="6"/>
        <v>0.95105633802816913</v>
      </c>
      <c r="R37" s="172"/>
      <c r="S37" s="28">
        <v>0.39166666666666655</v>
      </c>
      <c r="T37" s="28">
        <v>0.4409722222222221</v>
      </c>
      <c r="U37" s="4">
        <f t="shared" si="30"/>
        <v>5.9999999999999787</v>
      </c>
      <c r="V37" s="22">
        <f t="shared" si="29"/>
        <v>70.999999999999986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8"/>
        <v>-117.46478873239403</v>
      </c>
      <c r="AF37" s="21">
        <f t="shared" si="9"/>
        <v>0.95105633802816913</v>
      </c>
      <c r="AG37" s="172"/>
    </row>
    <row r="38" spans="1:33">
      <c r="A38" s="192" t="s">
        <v>1562</v>
      </c>
      <c r="B38" s="37" t="s">
        <v>100</v>
      </c>
      <c r="C38" s="165" t="s">
        <v>134</v>
      </c>
      <c r="D38" s="165"/>
      <c r="E38" s="37">
        <v>20.52</v>
      </c>
      <c r="F38" s="4">
        <v>2818</v>
      </c>
      <c r="G38" s="4">
        <f t="shared" si="27"/>
        <v>57825.36</v>
      </c>
      <c r="H38" s="22" t="s">
        <v>139</v>
      </c>
      <c r="I38" s="16">
        <v>18</v>
      </c>
      <c r="J38" s="18">
        <v>2400</v>
      </c>
      <c r="K38" s="17">
        <f t="shared" si="1"/>
        <v>133.33333333333334</v>
      </c>
      <c r="L38" s="16">
        <v>18</v>
      </c>
      <c r="M38" s="18">
        <f t="shared" si="28"/>
        <v>2284.8648648648659</v>
      </c>
      <c r="N38" s="17">
        <f t="shared" si="3"/>
        <v>126.936936936937</v>
      </c>
      <c r="O38" s="19">
        <f t="shared" si="4"/>
        <v>0</v>
      </c>
      <c r="P38" s="20">
        <f t="shared" si="5"/>
        <v>-6.3963963963963408</v>
      </c>
      <c r="Q38" s="21">
        <f t="shared" si="6"/>
        <v>0.95202702702702746</v>
      </c>
      <c r="R38" s="172"/>
      <c r="S38" s="28">
        <v>0.44652777777777763</v>
      </c>
      <c r="T38" s="28">
        <v>0.49791666666666651</v>
      </c>
      <c r="U38" s="4">
        <f t="shared" si="30"/>
        <v>7.9999999999999716</v>
      </c>
      <c r="V38" s="22">
        <f t="shared" si="29"/>
        <v>73.999999999999972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8"/>
        <v>-115.13513513513408</v>
      </c>
      <c r="AF38" s="21">
        <f t="shared" si="9"/>
        <v>0.95202702702702746</v>
      </c>
      <c r="AG38" s="172"/>
    </row>
    <row r="39" spans="1:33">
      <c r="A39" s="192" t="s">
        <v>1562</v>
      </c>
      <c r="B39" s="17" t="s">
        <v>1556</v>
      </c>
      <c r="C39" s="177"/>
      <c r="D39" s="177"/>
      <c r="E39" s="38"/>
      <c r="F39" s="17"/>
      <c r="G39" s="17"/>
      <c r="H39" s="4"/>
      <c r="I39" s="30">
        <v>17.8</v>
      </c>
      <c r="J39" s="18">
        <v>2400</v>
      </c>
      <c r="K39" s="17">
        <f t="shared" si="1"/>
        <v>134.83146067415728</v>
      </c>
      <c r="L39" s="30">
        <v>17.8</v>
      </c>
      <c r="M39" s="18">
        <f>AVERAGE(M34:M38)</f>
        <v>2286.8751315855457</v>
      </c>
      <c r="N39" s="17">
        <f t="shared" si="3"/>
        <v>128.47613098795199</v>
      </c>
      <c r="O39" s="19">
        <f t="shared" si="4"/>
        <v>0</v>
      </c>
      <c r="P39" s="20">
        <f t="shared" si="5"/>
        <v>-6.3553296862052946</v>
      </c>
      <c r="Q39" s="21">
        <f t="shared" si="6"/>
        <v>0.95286463816064404</v>
      </c>
      <c r="R39" s="172"/>
      <c r="S39" s="28"/>
      <c r="T39" s="28"/>
      <c r="U39" s="17"/>
      <c r="V39" s="22"/>
      <c r="W39" s="17"/>
      <c r="X39" s="17"/>
      <c r="Y39" s="31">
        <f>SUM(Y34:Y38)</f>
        <v>0</v>
      </c>
      <c r="Z39" s="31">
        <f>SUM(Z34:Z38)</f>
        <v>0</v>
      </c>
      <c r="AA39" s="168"/>
      <c r="AB39" s="168"/>
      <c r="AC39" s="31">
        <f>SUM(AC34:AC38)</f>
        <v>5</v>
      </c>
      <c r="AD39" s="31">
        <f>SUM(AD34:AD38)</f>
        <v>0</v>
      </c>
      <c r="AE39" s="19">
        <f t="shared" si="8"/>
        <v>-113.12486841445434</v>
      </c>
      <c r="AF39" s="21">
        <f t="shared" si="9"/>
        <v>0.95286463816064404</v>
      </c>
      <c r="AG39" s="172"/>
    </row>
    <row r="40" spans="1:33" ht="15.75" customHeight="1">
      <c r="A40" s="184" t="s">
        <v>1563</v>
      </c>
      <c r="B40" s="37" t="s">
        <v>111</v>
      </c>
      <c r="C40" s="173" t="s">
        <v>403</v>
      </c>
      <c r="D40" s="174"/>
      <c r="E40" s="37">
        <v>34.36</v>
      </c>
      <c r="F40" s="4">
        <v>2162</v>
      </c>
      <c r="G40" s="4">
        <f t="shared" ref="G40:G49" si="31">E40*F40</f>
        <v>74286.319999999992</v>
      </c>
      <c r="H40" s="22" t="s">
        <v>139</v>
      </c>
      <c r="I40" s="16">
        <v>10</v>
      </c>
      <c r="J40" s="18">
        <v>3000</v>
      </c>
      <c r="K40" s="17">
        <f t="shared" si="1"/>
        <v>300</v>
      </c>
      <c r="L40" s="16">
        <v>10</v>
      </c>
      <c r="M40" s="18">
        <f t="shared" ref="M40:M49" si="32">F40/V40*60</f>
        <v>2882.6666666666665</v>
      </c>
      <c r="N40" s="18">
        <f t="shared" si="3"/>
        <v>288.26666666666665</v>
      </c>
      <c r="O40" s="19">
        <f t="shared" si="4"/>
        <v>0</v>
      </c>
      <c r="P40" s="20">
        <f t="shared" si="5"/>
        <v>-11.733333333333348</v>
      </c>
      <c r="Q40" s="21">
        <f t="shared" si="6"/>
        <v>0.96088888888888879</v>
      </c>
      <c r="R40" s="187">
        <f>Q50</f>
        <v>0.9606818795462394</v>
      </c>
      <c r="S40" s="28">
        <v>0.20833333333333334</v>
      </c>
      <c r="T40" s="28">
        <v>0.23958333333333334</v>
      </c>
      <c r="U40" s="28"/>
      <c r="V40" s="22">
        <f t="shared" ref="V40:V49" si="33">(T40-S40)*24*60</f>
        <v>45</v>
      </c>
      <c r="W40" s="23"/>
      <c r="X40" s="23"/>
      <c r="Y40" s="26"/>
      <c r="Z40" s="26"/>
      <c r="AA40" s="175"/>
      <c r="AB40" s="176"/>
      <c r="AC40" s="25">
        <v>10</v>
      </c>
      <c r="AD40" s="25"/>
      <c r="AE40" s="19">
        <f t="shared" si="8"/>
        <v>-117.33333333333348</v>
      </c>
      <c r="AF40" s="21">
        <f t="shared" si="9"/>
        <v>0.96088888888888879</v>
      </c>
      <c r="AG40" s="187">
        <f>AF50</f>
        <v>0.96068187954623929</v>
      </c>
    </row>
    <row r="41" spans="1:33" ht="15.75" customHeight="1">
      <c r="A41" s="185" t="s">
        <v>1563</v>
      </c>
      <c r="B41" s="37" t="s">
        <v>111</v>
      </c>
      <c r="C41" s="173" t="s">
        <v>114</v>
      </c>
      <c r="D41" s="174"/>
      <c r="E41" s="37">
        <v>35.119999999999997</v>
      </c>
      <c r="F41" s="4">
        <v>3200</v>
      </c>
      <c r="G41" s="4">
        <f t="shared" si="31"/>
        <v>112383.99999999999</v>
      </c>
      <c r="H41" s="22">
        <v>2</v>
      </c>
      <c r="I41" s="16">
        <v>10</v>
      </c>
      <c r="J41" s="18">
        <v>3000</v>
      </c>
      <c r="K41" s="17">
        <f t="shared" si="1"/>
        <v>300</v>
      </c>
      <c r="L41" s="16">
        <v>10</v>
      </c>
      <c r="M41" s="18">
        <f t="shared" si="32"/>
        <v>2865.6716417910466</v>
      </c>
      <c r="N41" s="18">
        <f t="shared" si="3"/>
        <v>286.56716417910468</v>
      </c>
      <c r="O41" s="19">
        <f t="shared" si="4"/>
        <v>0</v>
      </c>
      <c r="P41" s="20">
        <f t="shared" si="5"/>
        <v>-13.43283582089532</v>
      </c>
      <c r="Q41" s="21">
        <f t="shared" si="6"/>
        <v>0.95522388059701557</v>
      </c>
      <c r="R41" s="188"/>
      <c r="S41" s="28">
        <v>0.24305555555555555</v>
      </c>
      <c r="T41" s="28">
        <v>0.2895833333333333</v>
      </c>
      <c r="U41" s="4">
        <f t="shared" ref="U41:U49" si="34">(S41-T40)*24*60</f>
        <v>4.9999999999999822</v>
      </c>
      <c r="V41" s="22">
        <f t="shared" si="33"/>
        <v>66.999999999999957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8"/>
        <v>-134.32835820895343</v>
      </c>
      <c r="AF41" s="21">
        <f t="shared" si="9"/>
        <v>0.95522388059701557</v>
      </c>
      <c r="AG41" s="188"/>
    </row>
    <row r="42" spans="1:33" ht="15.75" customHeight="1">
      <c r="A42" s="185" t="s">
        <v>1563</v>
      </c>
      <c r="B42" s="37" t="s">
        <v>111</v>
      </c>
      <c r="C42" s="173" t="s">
        <v>115</v>
      </c>
      <c r="D42" s="174"/>
      <c r="E42" s="37">
        <v>26.78</v>
      </c>
      <c r="F42" s="4">
        <v>2602</v>
      </c>
      <c r="G42" s="4">
        <f t="shared" si="31"/>
        <v>69681.56</v>
      </c>
      <c r="H42" s="22" t="s">
        <v>139</v>
      </c>
      <c r="I42" s="16">
        <v>10</v>
      </c>
      <c r="J42" s="18">
        <v>3000</v>
      </c>
      <c r="K42" s="17">
        <f t="shared" si="1"/>
        <v>300</v>
      </c>
      <c r="L42" s="16">
        <v>10</v>
      </c>
      <c r="M42" s="18">
        <f t="shared" si="32"/>
        <v>2891.1111111111127</v>
      </c>
      <c r="N42" s="18">
        <f t="shared" si="3"/>
        <v>289.11111111111126</v>
      </c>
      <c r="O42" s="19">
        <f t="shared" si="4"/>
        <v>0</v>
      </c>
      <c r="P42" s="20">
        <f t="shared" si="5"/>
        <v>-10.888888888888744</v>
      </c>
      <c r="Q42" s="21">
        <f t="shared" si="6"/>
        <v>0.96370370370370417</v>
      </c>
      <c r="R42" s="188"/>
      <c r="S42" s="28">
        <v>0.29305555555555551</v>
      </c>
      <c r="T42" s="28">
        <v>0.33055555555555549</v>
      </c>
      <c r="U42" s="4">
        <f t="shared" si="34"/>
        <v>4.9999999999999822</v>
      </c>
      <c r="V42" s="22">
        <f t="shared" si="33"/>
        <v>53.999999999999972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8"/>
        <v>-108.88888888888732</v>
      </c>
      <c r="AF42" s="21">
        <f t="shared" si="9"/>
        <v>0.96370370370370417</v>
      </c>
      <c r="AG42" s="188"/>
    </row>
    <row r="43" spans="1:33" ht="15.75" customHeight="1">
      <c r="A43" s="185" t="s">
        <v>1563</v>
      </c>
      <c r="B43" s="37" t="s">
        <v>111</v>
      </c>
      <c r="C43" s="173" t="s">
        <v>117</v>
      </c>
      <c r="D43" s="174"/>
      <c r="E43" s="37">
        <v>44.03</v>
      </c>
      <c r="F43" s="4">
        <v>1176</v>
      </c>
      <c r="G43" s="4">
        <f t="shared" si="31"/>
        <v>51779.28</v>
      </c>
      <c r="H43" s="22" t="s">
        <v>139</v>
      </c>
      <c r="I43" s="16">
        <v>10</v>
      </c>
      <c r="J43" s="18">
        <v>3000</v>
      </c>
      <c r="K43" s="17">
        <f t="shared" si="1"/>
        <v>300</v>
      </c>
      <c r="L43" s="16">
        <v>10</v>
      </c>
      <c r="M43" s="18">
        <f t="shared" si="32"/>
        <v>2940.0000000000009</v>
      </c>
      <c r="N43" s="18">
        <f t="shared" si="3"/>
        <v>294.00000000000011</v>
      </c>
      <c r="O43" s="19">
        <f t="shared" si="4"/>
        <v>0</v>
      </c>
      <c r="P43" s="20">
        <f t="shared" si="5"/>
        <v>-5.9999999999998863</v>
      </c>
      <c r="Q43" s="21">
        <f t="shared" si="6"/>
        <v>0.98000000000000043</v>
      </c>
      <c r="R43" s="188"/>
      <c r="S43" s="28">
        <v>0.33472222222222214</v>
      </c>
      <c r="T43" s="28">
        <v>0.35138888888888881</v>
      </c>
      <c r="U43" s="4">
        <f t="shared" si="34"/>
        <v>5.9999999999999787</v>
      </c>
      <c r="V43" s="22">
        <f t="shared" si="33"/>
        <v>23.999999999999993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8"/>
        <v>-59.999999999999091</v>
      </c>
      <c r="AF43" s="21">
        <f t="shared" si="9"/>
        <v>0.98000000000000032</v>
      </c>
      <c r="AG43" s="188"/>
    </row>
    <row r="44" spans="1:33" ht="15.75" customHeight="1">
      <c r="A44" s="185" t="s">
        <v>1563</v>
      </c>
      <c r="B44" s="37" t="s">
        <v>111</v>
      </c>
      <c r="C44" s="173" t="s">
        <v>112</v>
      </c>
      <c r="D44" s="174"/>
      <c r="E44" s="37">
        <v>21.13</v>
      </c>
      <c r="F44" s="4">
        <v>2200</v>
      </c>
      <c r="G44" s="4">
        <f t="shared" si="31"/>
        <v>46486</v>
      </c>
      <c r="H44" s="22">
        <v>2</v>
      </c>
      <c r="I44" s="16">
        <v>10</v>
      </c>
      <c r="J44" s="18">
        <v>3000</v>
      </c>
      <c r="K44" s="17">
        <f t="shared" si="1"/>
        <v>300</v>
      </c>
      <c r="L44" s="16">
        <v>10</v>
      </c>
      <c r="M44" s="18">
        <f t="shared" si="32"/>
        <v>2869.5652173913045</v>
      </c>
      <c r="N44" s="18">
        <f t="shared" si="3"/>
        <v>286.95652173913044</v>
      </c>
      <c r="O44" s="19">
        <f t="shared" si="4"/>
        <v>0</v>
      </c>
      <c r="P44" s="20">
        <f t="shared" si="5"/>
        <v>-13.043478260869563</v>
      </c>
      <c r="Q44" s="21">
        <f t="shared" si="6"/>
        <v>0.95652173913043481</v>
      </c>
      <c r="R44" s="188"/>
      <c r="S44" s="28">
        <v>0.35486111111111102</v>
      </c>
      <c r="T44" s="28">
        <v>0.38680555555555546</v>
      </c>
      <c r="U44" s="4">
        <f t="shared" si="34"/>
        <v>4.9999999999999822</v>
      </c>
      <c r="V44" s="22">
        <f t="shared" si="33"/>
        <v>46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-130.43478260869551</v>
      </c>
      <c r="AF44" s="21">
        <f t="shared" si="9"/>
        <v>0.95652173913043481</v>
      </c>
      <c r="AG44" s="188"/>
    </row>
    <row r="45" spans="1:33" ht="15.75" customHeight="1">
      <c r="A45" s="185" t="s">
        <v>1563</v>
      </c>
      <c r="B45" s="37" t="s">
        <v>111</v>
      </c>
      <c r="C45" s="173" t="s">
        <v>113</v>
      </c>
      <c r="D45" s="174"/>
      <c r="E45" s="37">
        <v>27.17</v>
      </c>
      <c r="F45" s="4">
        <v>3700</v>
      </c>
      <c r="G45" s="4">
        <f t="shared" si="31"/>
        <v>100529</v>
      </c>
      <c r="H45" s="22">
        <v>2</v>
      </c>
      <c r="I45" s="16">
        <v>10</v>
      </c>
      <c r="J45" s="18">
        <v>3000</v>
      </c>
      <c r="K45" s="17">
        <f t="shared" si="1"/>
        <v>300</v>
      </c>
      <c r="L45" s="16">
        <v>10</v>
      </c>
      <c r="M45" s="18">
        <f t="shared" si="32"/>
        <v>2883.1168831168839</v>
      </c>
      <c r="N45" s="18">
        <f t="shared" si="3"/>
        <v>288.31168831168839</v>
      </c>
      <c r="O45" s="19">
        <f t="shared" si="4"/>
        <v>0</v>
      </c>
      <c r="P45" s="20">
        <f t="shared" si="5"/>
        <v>-11.688311688311614</v>
      </c>
      <c r="Q45" s="21">
        <f t="shared" si="6"/>
        <v>0.96103896103896125</v>
      </c>
      <c r="R45" s="188"/>
      <c r="S45" s="28">
        <v>0.39027777777777767</v>
      </c>
      <c r="T45" s="28">
        <v>0.44374999999999987</v>
      </c>
      <c r="U45" s="4">
        <f t="shared" si="34"/>
        <v>4.9999999999999822</v>
      </c>
      <c r="V45" s="22">
        <f t="shared" si="33"/>
        <v>76.999999999999972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8"/>
        <v>-116.88311688311614</v>
      </c>
      <c r="AF45" s="21">
        <f t="shared" si="9"/>
        <v>0.96103896103896125</v>
      </c>
      <c r="AG45" s="188"/>
    </row>
    <row r="46" spans="1:33" ht="15.75" customHeight="1">
      <c r="A46" s="185" t="s">
        <v>1563</v>
      </c>
      <c r="B46" s="37" t="s">
        <v>111</v>
      </c>
      <c r="C46" s="173" t="s">
        <v>116</v>
      </c>
      <c r="D46" s="174"/>
      <c r="E46" s="37">
        <v>35.869999999999997</v>
      </c>
      <c r="F46" s="4">
        <v>3822</v>
      </c>
      <c r="G46" s="4">
        <f t="shared" si="31"/>
        <v>137095.13999999998</v>
      </c>
      <c r="H46" s="22" t="s">
        <v>139</v>
      </c>
      <c r="I46" s="16">
        <v>9</v>
      </c>
      <c r="J46" s="18">
        <v>3000</v>
      </c>
      <c r="K46" s="17">
        <f t="shared" si="1"/>
        <v>333.33333333333331</v>
      </c>
      <c r="L46" s="16">
        <v>9</v>
      </c>
      <c r="M46" s="18">
        <f t="shared" si="32"/>
        <v>2866.4999999999991</v>
      </c>
      <c r="N46" s="18">
        <f t="shared" si="3"/>
        <v>318.49999999999989</v>
      </c>
      <c r="O46" s="19">
        <f t="shared" si="4"/>
        <v>0</v>
      </c>
      <c r="P46" s="20">
        <f t="shared" si="5"/>
        <v>-14.833333333333428</v>
      </c>
      <c r="Q46" s="21">
        <f t="shared" si="6"/>
        <v>0.95549999999999968</v>
      </c>
      <c r="R46" s="188"/>
      <c r="S46" s="28">
        <v>0.44722222222222208</v>
      </c>
      <c r="T46" s="28">
        <v>0.50277777777777766</v>
      </c>
      <c r="U46" s="4">
        <f t="shared" si="34"/>
        <v>4.9999999999999822</v>
      </c>
      <c r="V46" s="22">
        <f t="shared" si="33"/>
        <v>80.000000000000028</v>
      </c>
      <c r="W46" s="23">
        <f>T46</f>
        <v>0.50277777777777766</v>
      </c>
      <c r="X46" s="23">
        <f>S47</f>
        <v>0.54374999999999984</v>
      </c>
      <c r="Y46" s="26"/>
      <c r="Z46" s="26"/>
      <c r="AA46" s="175"/>
      <c r="AB46" s="176"/>
      <c r="AC46" s="25"/>
      <c r="AD46" s="25"/>
      <c r="AE46" s="19">
        <f t="shared" si="8"/>
        <v>-133.50000000000091</v>
      </c>
      <c r="AF46" s="21">
        <f t="shared" si="9"/>
        <v>0.95549999999999968</v>
      </c>
      <c r="AG46" s="188"/>
    </row>
    <row r="47" spans="1:33" ht="15.75" customHeight="1">
      <c r="A47" s="185" t="s">
        <v>1563</v>
      </c>
      <c r="B47" s="37" t="s">
        <v>111</v>
      </c>
      <c r="C47" s="173" t="s">
        <v>112</v>
      </c>
      <c r="D47" s="174"/>
      <c r="E47" s="37">
        <v>21.13</v>
      </c>
      <c r="F47" s="4">
        <v>2307</v>
      </c>
      <c r="G47" s="4">
        <f t="shared" si="31"/>
        <v>48746.909999999996</v>
      </c>
      <c r="H47" s="22" t="s">
        <v>139</v>
      </c>
      <c r="I47" s="16">
        <v>10</v>
      </c>
      <c r="J47" s="18">
        <v>3000</v>
      </c>
      <c r="K47" s="17">
        <f t="shared" si="1"/>
        <v>300</v>
      </c>
      <c r="L47" s="16">
        <v>10</v>
      </c>
      <c r="M47" s="18">
        <f t="shared" si="32"/>
        <v>2883.7500000000009</v>
      </c>
      <c r="N47" s="18">
        <f t="shared" si="3"/>
        <v>288.37500000000011</v>
      </c>
      <c r="O47" s="19">
        <f t="shared" si="4"/>
        <v>0</v>
      </c>
      <c r="P47" s="20">
        <f t="shared" si="5"/>
        <v>-11.624999999999886</v>
      </c>
      <c r="Q47" s="21">
        <f t="shared" si="6"/>
        <v>0.96125000000000038</v>
      </c>
      <c r="R47" s="188"/>
      <c r="S47" s="28">
        <v>0.54374999999999984</v>
      </c>
      <c r="T47" s="28">
        <v>0.57708333333333317</v>
      </c>
      <c r="U47" s="4">
        <f t="shared" si="34"/>
        <v>58.99999999999995</v>
      </c>
      <c r="V47" s="22">
        <f t="shared" si="33"/>
        <v>47.999999999999986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8"/>
        <v>-116.24999999999909</v>
      </c>
      <c r="AF47" s="21">
        <f t="shared" si="9"/>
        <v>0.96125000000000027</v>
      </c>
      <c r="AG47" s="188"/>
    </row>
    <row r="48" spans="1:33" ht="15.75" customHeight="1">
      <c r="A48" s="185" t="s">
        <v>1563</v>
      </c>
      <c r="B48" s="37" t="s">
        <v>111</v>
      </c>
      <c r="C48" s="173" t="s">
        <v>113</v>
      </c>
      <c r="D48" s="174"/>
      <c r="E48" s="37">
        <v>27.17</v>
      </c>
      <c r="F48" s="4">
        <v>2434</v>
      </c>
      <c r="G48" s="4">
        <f t="shared" si="31"/>
        <v>66131.78</v>
      </c>
      <c r="H48" s="22" t="s">
        <v>139</v>
      </c>
      <c r="I48" s="16">
        <v>10</v>
      </c>
      <c r="J48" s="18">
        <v>3000</v>
      </c>
      <c r="K48" s="17">
        <f t="shared" si="1"/>
        <v>300</v>
      </c>
      <c r="L48" s="16">
        <v>10</v>
      </c>
      <c r="M48" s="18">
        <f t="shared" si="32"/>
        <v>2863.5294117647072</v>
      </c>
      <c r="N48" s="18">
        <f t="shared" si="3"/>
        <v>286.35294117647072</v>
      </c>
      <c r="O48" s="19">
        <f t="shared" si="4"/>
        <v>0</v>
      </c>
      <c r="P48" s="20">
        <f t="shared" si="5"/>
        <v>-13.647058823529278</v>
      </c>
      <c r="Q48" s="21">
        <f t="shared" si="6"/>
        <v>0.95450980392156903</v>
      </c>
      <c r="R48" s="188"/>
      <c r="S48" s="28">
        <v>0.58055555555555538</v>
      </c>
      <c r="T48" s="28">
        <v>0.61597222222222203</v>
      </c>
      <c r="U48" s="4">
        <f t="shared" si="34"/>
        <v>4.9999999999999822</v>
      </c>
      <c r="V48" s="22">
        <f t="shared" si="33"/>
        <v>50.999999999999979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-136.47058823529278</v>
      </c>
      <c r="AF48" s="21">
        <f t="shared" si="9"/>
        <v>0.95450980392156903</v>
      </c>
      <c r="AG48" s="188"/>
    </row>
    <row r="49" spans="1:33" ht="15.75" customHeight="1">
      <c r="A49" s="185" t="s">
        <v>1563</v>
      </c>
      <c r="B49" s="37" t="s">
        <v>111</v>
      </c>
      <c r="C49" s="173" t="s">
        <v>114</v>
      </c>
      <c r="D49" s="174"/>
      <c r="E49" s="37">
        <v>35.119999999999997</v>
      </c>
      <c r="F49" s="4">
        <v>2108</v>
      </c>
      <c r="G49" s="4">
        <f t="shared" si="31"/>
        <v>74032.959999999992</v>
      </c>
      <c r="H49" s="22" t="s">
        <v>139</v>
      </c>
      <c r="I49" s="16">
        <v>10</v>
      </c>
      <c r="J49" s="18">
        <v>3000</v>
      </c>
      <c r="K49" s="17">
        <f t="shared" si="1"/>
        <v>300</v>
      </c>
      <c r="L49" s="16">
        <v>10</v>
      </c>
      <c r="M49" s="18">
        <f t="shared" si="32"/>
        <v>2874.5454545454545</v>
      </c>
      <c r="N49" s="18">
        <f t="shared" si="3"/>
        <v>287.45454545454544</v>
      </c>
      <c r="O49" s="19">
        <f t="shared" si="4"/>
        <v>0</v>
      </c>
      <c r="P49" s="20">
        <f t="shared" si="5"/>
        <v>-12.545454545454561</v>
      </c>
      <c r="Q49" s="21">
        <f t="shared" si="6"/>
        <v>0.95818181818181813</v>
      </c>
      <c r="R49" s="188"/>
      <c r="S49" s="28">
        <v>0.62083333333333313</v>
      </c>
      <c r="T49" s="28">
        <v>0.65138888888888868</v>
      </c>
      <c r="U49" s="4">
        <f t="shared" si="34"/>
        <v>6.9999999999999751</v>
      </c>
      <c r="V49" s="22">
        <f t="shared" si="33"/>
        <v>44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-125.4545454545455</v>
      </c>
      <c r="AF49" s="21">
        <f t="shared" si="9"/>
        <v>0.95818181818181813</v>
      </c>
      <c r="AG49" s="188"/>
    </row>
    <row r="50" spans="1:33" ht="15.75" customHeight="1">
      <c r="A50" s="186" t="s">
        <v>1563</v>
      </c>
      <c r="B50" s="37" t="s">
        <v>1556</v>
      </c>
      <c r="C50" s="166"/>
      <c r="D50" s="167"/>
      <c r="E50" s="41"/>
      <c r="F50" s="4"/>
      <c r="G50" s="4"/>
      <c r="H50" s="4"/>
      <c r="I50" s="30">
        <v>9.9</v>
      </c>
      <c r="J50" s="18">
        <v>3000</v>
      </c>
      <c r="K50" s="17">
        <f t="shared" si="1"/>
        <v>303.030303030303</v>
      </c>
      <c r="L50" s="30">
        <v>9.9</v>
      </c>
      <c r="M50" s="18">
        <f>AVERAGE(M40:M49)</f>
        <v>2882.0456386387177</v>
      </c>
      <c r="N50" s="17">
        <f t="shared" si="3"/>
        <v>291.11572107461797</v>
      </c>
      <c r="O50" s="19">
        <f t="shared" si="4"/>
        <v>0</v>
      </c>
      <c r="P50" s="20">
        <f t="shared" si="5"/>
        <v>-11.914581955685037</v>
      </c>
      <c r="Q50" s="21">
        <f t="shared" si="6"/>
        <v>0.9606818795462394</v>
      </c>
      <c r="R50" s="189"/>
      <c r="S50" s="28"/>
      <c r="T50" s="28"/>
      <c r="U50" s="4"/>
      <c r="V50" s="22"/>
      <c r="W50" s="23"/>
      <c r="X50" s="23"/>
      <c r="Y50" s="31">
        <f>SUM(Y40:Y49)</f>
        <v>0</v>
      </c>
      <c r="Z50" s="31">
        <f>SUM(Z40:Z49)</f>
        <v>0</v>
      </c>
      <c r="AA50" s="180"/>
      <c r="AB50" s="181"/>
      <c r="AC50" s="31">
        <f>SUM(AC40:AC49)</f>
        <v>10</v>
      </c>
      <c r="AD50" s="31">
        <f>SUM(AD40:AD49)</f>
        <v>0</v>
      </c>
      <c r="AE50" s="19">
        <f t="shared" si="8"/>
        <v>-117.95436136128228</v>
      </c>
      <c r="AF50" s="21">
        <f t="shared" si="9"/>
        <v>0.96068187954623929</v>
      </c>
      <c r="AG50" s="189"/>
    </row>
    <row r="51" spans="1:33" ht="15.75" customHeight="1">
      <c r="A51" s="182" t="s">
        <v>1564</v>
      </c>
      <c r="B51" s="37" t="s">
        <v>84</v>
      </c>
      <c r="C51" s="165" t="s">
        <v>118</v>
      </c>
      <c r="D51" s="165"/>
      <c r="E51" s="37">
        <v>46</v>
      </c>
      <c r="F51" s="42">
        <v>998</v>
      </c>
      <c r="G51" s="4">
        <f t="shared" ref="G51:G60" si="35">E51*F51</f>
        <v>45908</v>
      </c>
      <c r="H51" s="22" t="s">
        <v>139</v>
      </c>
      <c r="I51" s="16">
        <v>17</v>
      </c>
      <c r="J51" s="18">
        <v>2000</v>
      </c>
      <c r="K51" s="17">
        <f t="shared" si="1"/>
        <v>117.64705882352941</v>
      </c>
      <c r="L51" s="16">
        <v>17</v>
      </c>
      <c r="M51" s="18">
        <f t="shared" ref="M51:M60" si="36">F51/V51*60</f>
        <v>1931.6129032258057</v>
      </c>
      <c r="N51" s="18">
        <f t="shared" si="3"/>
        <v>113.6242884250474</v>
      </c>
      <c r="O51" s="19">
        <f t="shared" si="4"/>
        <v>0</v>
      </c>
      <c r="P51" s="20">
        <f t="shared" si="5"/>
        <v>-4.0227703984820096</v>
      </c>
      <c r="Q51" s="21">
        <f t="shared" si="6"/>
        <v>0.96580645161290291</v>
      </c>
      <c r="R51" s="172">
        <f>Q61</f>
        <v>0.94132243227510048</v>
      </c>
      <c r="S51" s="28">
        <v>0.20833333333333334</v>
      </c>
      <c r="T51" s="28">
        <v>0.22986111111111113</v>
      </c>
      <c r="U51" s="28"/>
      <c r="V51" s="22">
        <f t="shared" ref="V51:V60" si="37">(T51-S51)*24*60</f>
        <v>31.000000000000011</v>
      </c>
      <c r="W51" s="28"/>
      <c r="X51" s="28"/>
      <c r="Y51" s="28"/>
      <c r="Z51" s="28"/>
      <c r="AA51" s="164"/>
      <c r="AB51" s="164"/>
      <c r="AC51" s="25">
        <v>10</v>
      </c>
      <c r="AD51" s="25"/>
      <c r="AE51" s="19">
        <f t="shared" si="8"/>
        <v>-68.387096774194333</v>
      </c>
      <c r="AF51" s="21">
        <f t="shared" si="9"/>
        <v>0.96580645161290279</v>
      </c>
      <c r="AG51" s="172">
        <f>AF61</f>
        <v>0.94132243227510048</v>
      </c>
    </row>
    <row r="52" spans="1:33" ht="15.75" customHeight="1">
      <c r="A52" s="182" t="s">
        <v>1564</v>
      </c>
      <c r="B52" s="37" t="s">
        <v>84</v>
      </c>
      <c r="C52" s="165" t="s">
        <v>119</v>
      </c>
      <c r="D52" s="165"/>
      <c r="E52" s="37">
        <v>46</v>
      </c>
      <c r="F52" s="42">
        <v>1090</v>
      </c>
      <c r="G52" s="4">
        <f t="shared" si="35"/>
        <v>50140</v>
      </c>
      <c r="H52" s="22" t="s">
        <v>139</v>
      </c>
      <c r="I52" s="16">
        <v>17</v>
      </c>
      <c r="J52" s="18">
        <v>2000</v>
      </c>
      <c r="K52" s="17">
        <f t="shared" si="1"/>
        <v>117.64705882352941</v>
      </c>
      <c r="L52" s="16">
        <v>17</v>
      </c>
      <c r="M52" s="18">
        <f t="shared" si="36"/>
        <v>1923.5294117647061</v>
      </c>
      <c r="N52" s="18">
        <f t="shared" si="3"/>
        <v>113.14878892733566</v>
      </c>
      <c r="O52" s="19">
        <f t="shared" si="4"/>
        <v>0</v>
      </c>
      <c r="P52" s="20">
        <f t="shared" si="5"/>
        <v>-4.4982698961937473</v>
      </c>
      <c r="Q52" s="21">
        <f t="shared" si="6"/>
        <v>0.96176470588235319</v>
      </c>
      <c r="R52" s="172"/>
      <c r="S52" s="28">
        <v>0.23402777777777781</v>
      </c>
      <c r="T52" s="28">
        <v>0.25763888888888892</v>
      </c>
      <c r="U52" s="4">
        <f t="shared" ref="U52:U60" si="38">IF(S52=TIME(17,0,0),"",(S52-T51)*24*60)</f>
        <v>6.0000000000000187</v>
      </c>
      <c r="V52" s="22">
        <f t="shared" si="37"/>
        <v>34</v>
      </c>
      <c r="W52" s="23"/>
      <c r="X52" s="23"/>
      <c r="Y52" s="23"/>
      <c r="Z52" s="23"/>
      <c r="AA52" s="164"/>
      <c r="AB52" s="164"/>
      <c r="AC52" s="25"/>
      <c r="AD52" s="25"/>
      <c r="AE52" s="19">
        <f t="shared" si="8"/>
        <v>-76.470588235293917</v>
      </c>
      <c r="AF52" s="21">
        <f t="shared" si="9"/>
        <v>0.96176470588235308</v>
      </c>
      <c r="AG52" s="172"/>
    </row>
    <row r="53" spans="1:33" ht="15.75" customHeight="1">
      <c r="A53" s="182" t="s">
        <v>1564</v>
      </c>
      <c r="B53" s="37" t="s">
        <v>78</v>
      </c>
      <c r="C53" s="173" t="s">
        <v>120</v>
      </c>
      <c r="D53" s="174"/>
      <c r="E53" s="37">
        <v>56.43</v>
      </c>
      <c r="F53" s="42">
        <v>1745</v>
      </c>
      <c r="G53" s="4">
        <f t="shared" si="35"/>
        <v>98470.35</v>
      </c>
      <c r="H53" s="22" t="s">
        <v>139</v>
      </c>
      <c r="I53" s="16">
        <v>22</v>
      </c>
      <c r="J53" s="18">
        <v>2000</v>
      </c>
      <c r="K53" s="17">
        <f t="shared" si="1"/>
        <v>90.909090909090907</v>
      </c>
      <c r="L53" s="16">
        <v>22</v>
      </c>
      <c r="M53" s="18">
        <f t="shared" si="36"/>
        <v>1774.57627118644</v>
      </c>
      <c r="N53" s="18">
        <f t="shared" si="3"/>
        <v>80.662557781201812</v>
      </c>
      <c r="O53" s="19">
        <f t="shared" si="4"/>
        <v>0</v>
      </c>
      <c r="P53" s="20">
        <f t="shared" si="5"/>
        <v>-10.246533127889094</v>
      </c>
      <c r="Q53" s="21">
        <f t="shared" si="6"/>
        <v>0.88728813559321995</v>
      </c>
      <c r="R53" s="172"/>
      <c r="S53" s="28">
        <v>0.26250000000000001</v>
      </c>
      <c r="T53" s="28">
        <v>0.30347222222222225</v>
      </c>
      <c r="U53" s="4">
        <f t="shared" si="38"/>
        <v>6.9999999999999751</v>
      </c>
      <c r="V53" s="22">
        <f t="shared" si="37"/>
        <v>59.000000000000028</v>
      </c>
      <c r="W53" s="23"/>
      <c r="X53" s="23"/>
      <c r="Y53" s="26"/>
      <c r="Z53" s="26"/>
      <c r="AA53" s="164"/>
      <c r="AB53" s="164"/>
      <c r="AC53" s="25"/>
      <c r="AD53" s="25"/>
      <c r="AE53" s="19">
        <f t="shared" si="8"/>
        <v>-225.42372881356005</v>
      </c>
      <c r="AF53" s="21">
        <f t="shared" si="9"/>
        <v>0.88728813559321995</v>
      </c>
      <c r="AG53" s="172"/>
    </row>
    <row r="54" spans="1:33" ht="15.75" customHeight="1">
      <c r="A54" s="182" t="s">
        <v>1564</v>
      </c>
      <c r="B54" s="37" t="s">
        <v>78</v>
      </c>
      <c r="C54" s="43" t="s">
        <v>121</v>
      </c>
      <c r="D54" s="44"/>
      <c r="E54" s="37">
        <v>51.75</v>
      </c>
      <c r="F54" s="42">
        <v>1424</v>
      </c>
      <c r="G54" s="4">
        <f t="shared" si="35"/>
        <v>73692</v>
      </c>
      <c r="H54" s="22" t="s">
        <v>139</v>
      </c>
      <c r="I54" s="16">
        <v>25</v>
      </c>
      <c r="J54" s="18">
        <v>2000</v>
      </c>
      <c r="K54" s="17">
        <f t="shared" si="1"/>
        <v>80</v>
      </c>
      <c r="L54" s="16">
        <v>25</v>
      </c>
      <c r="M54" s="18">
        <f t="shared" si="36"/>
        <v>1675.2941176470595</v>
      </c>
      <c r="N54" s="18">
        <f t="shared" si="3"/>
        <v>67.011764705882385</v>
      </c>
      <c r="O54" s="19">
        <f t="shared" si="4"/>
        <v>0</v>
      </c>
      <c r="P54" s="20">
        <f t="shared" si="5"/>
        <v>-12.988235294117615</v>
      </c>
      <c r="Q54" s="21">
        <f t="shared" si="6"/>
        <v>0.83764705882352986</v>
      </c>
      <c r="R54" s="172"/>
      <c r="S54" s="28">
        <v>0.30763888888888891</v>
      </c>
      <c r="T54" s="28">
        <v>0.34305555555555556</v>
      </c>
      <c r="U54" s="4">
        <f t="shared" si="38"/>
        <v>5.9999999999999787</v>
      </c>
      <c r="V54" s="22">
        <f t="shared" si="37"/>
        <v>50.999999999999979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8"/>
        <v>-324.70588235294053</v>
      </c>
      <c r="AF54" s="21">
        <f t="shared" si="9"/>
        <v>0.83764705882352974</v>
      </c>
      <c r="AG54" s="172"/>
    </row>
    <row r="55" spans="1:33" ht="15.75" customHeight="1">
      <c r="A55" s="182" t="s">
        <v>1564</v>
      </c>
      <c r="B55" s="37" t="s">
        <v>78</v>
      </c>
      <c r="C55" s="43" t="s">
        <v>122</v>
      </c>
      <c r="D55" s="44"/>
      <c r="E55" s="37">
        <v>54.09</v>
      </c>
      <c r="F55" s="42">
        <v>1239</v>
      </c>
      <c r="G55" s="4">
        <f t="shared" si="35"/>
        <v>67017.510000000009</v>
      </c>
      <c r="H55" s="22" t="s">
        <v>139</v>
      </c>
      <c r="I55" s="16">
        <v>19</v>
      </c>
      <c r="J55" s="18">
        <v>2000</v>
      </c>
      <c r="K55" s="17">
        <f t="shared" si="1"/>
        <v>105.26315789473684</v>
      </c>
      <c r="L55" s="16">
        <v>19</v>
      </c>
      <c r="M55" s="18">
        <f t="shared" si="36"/>
        <v>1858.4999999999995</v>
      </c>
      <c r="N55" s="18">
        <f t="shared" si="3"/>
        <v>97.815789473684191</v>
      </c>
      <c r="O55" s="19">
        <f t="shared" si="4"/>
        <v>0</v>
      </c>
      <c r="P55" s="20">
        <f t="shared" si="5"/>
        <v>-7.4473684210526443</v>
      </c>
      <c r="Q55" s="21">
        <f t="shared" si="6"/>
        <v>0.92924999999999991</v>
      </c>
      <c r="R55" s="172"/>
      <c r="S55" s="28">
        <v>0.34791666666666665</v>
      </c>
      <c r="T55" s="28">
        <v>0.37569444444444444</v>
      </c>
      <c r="U55" s="4">
        <f t="shared" si="38"/>
        <v>6.9999999999999751</v>
      </c>
      <c r="V55" s="22">
        <f t="shared" si="37"/>
        <v>40.000000000000014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8"/>
        <v>-141.50000000000045</v>
      </c>
      <c r="AF55" s="21">
        <f t="shared" si="9"/>
        <v>0.9292499999999998</v>
      </c>
      <c r="AG55" s="172"/>
    </row>
    <row r="56" spans="1:33" ht="15.75" customHeight="1">
      <c r="A56" s="182" t="s">
        <v>1564</v>
      </c>
      <c r="B56" s="37" t="s">
        <v>78</v>
      </c>
      <c r="C56" s="173" t="s">
        <v>123</v>
      </c>
      <c r="D56" s="174"/>
      <c r="E56" s="37">
        <v>55.56</v>
      </c>
      <c r="F56" s="42">
        <v>1000</v>
      </c>
      <c r="G56" s="4">
        <f t="shared" si="35"/>
        <v>55560</v>
      </c>
      <c r="H56" s="22">
        <v>2</v>
      </c>
      <c r="I56" s="16">
        <v>17</v>
      </c>
      <c r="J56" s="18">
        <v>2000</v>
      </c>
      <c r="K56" s="17">
        <f t="shared" si="1"/>
        <v>117.64705882352941</v>
      </c>
      <c r="L56" s="16">
        <v>17</v>
      </c>
      <c r="M56" s="18">
        <f t="shared" si="36"/>
        <v>1935.483870967739</v>
      </c>
      <c r="N56" s="18">
        <f t="shared" si="3"/>
        <v>113.85199240986699</v>
      </c>
      <c r="O56" s="19">
        <f t="shared" si="4"/>
        <v>0</v>
      </c>
      <c r="P56" s="20">
        <f t="shared" si="5"/>
        <v>-3.7950664136624113</v>
      </c>
      <c r="Q56" s="21">
        <f t="shared" si="6"/>
        <v>0.96774193548386955</v>
      </c>
      <c r="R56" s="172"/>
      <c r="S56" s="28">
        <v>0.70833333333333337</v>
      </c>
      <c r="T56" s="28">
        <v>0.72986111111111118</v>
      </c>
      <c r="U56" s="4" t="str">
        <f t="shared" si="38"/>
        <v/>
      </c>
      <c r="V56" s="22">
        <f t="shared" si="37"/>
        <v>31.00000000000005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8"/>
        <v>-64.516129032261006</v>
      </c>
      <c r="AF56" s="21">
        <f t="shared" si="9"/>
        <v>0.96774193548386944</v>
      </c>
      <c r="AG56" s="172"/>
    </row>
    <row r="57" spans="1:33" ht="15.75" customHeight="1">
      <c r="A57" s="182" t="s">
        <v>1564</v>
      </c>
      <c r="B57" s="37" t="s">
        <v>78</v>
      </c>
      <c r="C57" s="173" t="s">
        <v>124</v>
      </c>
      <c r="D57" s="174"/>
      <c r="E57" s="37">
        <v>55.32</v>
      </c>
      <c r="F57" s="42">
        <v>1295</v>
      </c>
      <c r="G57" s="4">
        <f t="shared" si="35"/>
        <v>71639.399999999994</v>
      </c>
      <c r="H57" s="22" t="s">
        <v>139</v>
      </c>
      <c r="I57" s="16">
        <v>15</v>
      </c>
      <c r="J57" s="18">
        <v>2000</v>
      </c>
      <c r="K57" s="17">
        <f t="shared" si="1"/>
        <v>133.33333333333334</v>
      </c>
      <c r="L57" s="16">
        <v>15</v>
      </c>
      <c r="M57" s="18">
        <f t="shared" si="36"/>
        <v>1942.4999999999991</v>
      </c>
      <c r="N57" s="18">
        <f t="shared" si="3"/>
        <v>129.49999999999994</v>
      </c>
      <c r="O57" s="19">
        <f t="shared" si="4"/>
        <v>0</v>
      </c>
      <c r="P57" s="20">
        <f t="shared" si="5"/>
        <v>-3.8333333333333997</v>
      </c>
      <c r="Q57" s="21">
        <f t="shared" si="6"/>
        <v>0.9712499999999995</v>
      </c>
      <c r="R57" s="172"/>
      <c r="S57" s="28">
        <v>0.73541666666666672</v>
      </c>
      <c r="T57" s="28">
        <v>0.76319444444444451</v>
      </c>
      <c r="U57" s="4">
        <f t="shared" si="38"/>
        <v>7.9999999999999716</v>
      </c>
      <c r="V57" s="22">
        <f t="shared" si="37"/>
        <v>40.000000000000014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8"/>
        <v>-57.500000000000909</v>
      </c>
      <c r="AF57" s="21">
        <f t="shared" si="9"/>
        <v>0.9712499999999995</v>
      </c>
      <c r="AG57" s="172"/>
    </row>
    <row r="58" spans="1:33" ht="15.75" customHeight="1">
      <c r="A58" s="182" t="s">
        <v>1564</v>
      </c>
      <c r="B58" s="37" t="s">
        <v>78</v>
      </c>
      <c r="C58" s="173" t="s">
        <v>125</v>
      </c>
      <c r="D58" s="174"/>
      <c r="E58" s="37">
        <v>54.29</v>
      </c>
      <c r="F58" s="42">
        <v>1605</v>
      </c>
      <c r="G58" s="4">
        <f t="shared" si="35"/>
        <v>87135.45</v>
      </c>
      <c r="H58" s="22" t="s">
        <v>139</v>
      </c>
      <c r="I58" s="16">
        <v>20</v>
      </c>
      <c r="J58" s="18">
        <v>2000</v>
      </c>
      <c r="K58" s="17">
        <f t="shared" si="1"/>
        <v>100</v>
      </c>
      <c r="L58" s="16">
        <v>20</v>
      </c>
      <c r="M58" s="18">
        <f t="shared" si="36"/>
        <v>1926.0000000000005</v>
      </c>
      <c r="N58" s="18">
        <f t="shared" si="3"/>
        <v>96.300000000000026</v>
      </c>
      <c r="O58" s="19">
        <f t="shared" si="4"/>
        <v>0</v>
      </c>
      <c r="P58" s="20">
        <f t="shared" si="5"/>
        <v>-3.6999999999999744</v>
      </c>
      <c r="Q58" s="21">
        <f t="shared" si="6"/>
        <v>0.9630000000000003</v>
      </c>
      <c r="R58" s="172"/>
      <c r="S58" s="28">
        <v>0.76736111111111116</v>
      </c>
      <c r="T58" s="28">
        <v>0.80208333333333337</v>
      </c>
      <c r="U58" s="4">
        <f t="shared" si="38"/>
        <v>5.9999999999999787</v>
      </c>
      <c r="V58" s="22">
        <f t="shared" si="37"/>
        <v>49.999999999999986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8"/>
        <v>-73.999999999999545</v>
      </c>
      <c r="AF58" s="21">
        <f t="shared" si="9"/>
        <v>0.96300000000000019</v>
      </c>
      <c r="AG58" s="172"/>
    </row>
    <row r="59" spans="1:33">
      <c r="A59" s="182" t="s">
        <v>1564</v>
      </c>
      <c r="B59" s="37" t="s">
        <v>78</v>
      </c>
      <c r="C59" s="173" t="s">
        <v>126</v>
      </c>
      <c r="D59" s="174"/>
      <c r="E59" s="37">
        <v>57.73</v>
      </c>
      <c r="F59" s="42">
        <v>1113</v>
      </c>
      <c r="G59" s="4">
        <f t="shared" si="35"/>
        <v>64253.49</v>
      </c>
      <c r="H59" s="22" t="s">
        <v>139</v>
      </c>
      <c r="I59" s="16">
        <v>16</v>
      </c>
      <c r="J59" s="18">
        <v>1500</v>
      </c>
      <c r="K59" s="17">
        <f t="shared" si="1"/>
        <v>93.75</v>
      </c>
      <c r="L59" s="16">
        <v>16</v>
      </c>
      <c r="M59" s="18">
        <f t="shared" si="36"/>
        <v>1451.7391304347825</v>
      </c>
      <c r="N59" s="18">
        <f t="shared" si="3"/>
        <v>90.733695652173907</v>
      </c>
      <c r="O59" s="19">
        <f t="shared" si="4"/>
        <v>0</v>
      </c>
      <c r="P59" s="20">
        <f t="shared" si="5"/>
        <v>-3.0163043478260931</v>
      </c>
      <c r="Q59" s="21">
        <f t="shared" si="6"/>
        <v>0.96782608695652173</v>
      </c>
      <c r="R59" s="172"/>
      <c r="S59" s="28">
        <v>0.80625000000000002</v>
      </c>
      <c r="T59" s="28">
        <v>0.83819444444444446</v>
      </c>
      <c r="U59" s="4">
        <f t="shared" si="38"/>
        <v>5.9999999999999787</v>
      </c>
      <c r="V59" s="22">
        <f t="shared" si="37"/>
        <v>46</v>
      </c>
      <c r="W59" s="23">
        <f>T59</f>
        <v>0.83819444444444446</v>
      </c>
      <c r="X59" s="23">
        <f>S60</f>
        <v>0.87708333333333333</v>
      </c>
      <c r="Y59" s="26"/>
      <c r="Z59" s="26"/>
      <c r="AA59" s="175"/>
      <c r="AB59" s="176"/>
      <c r="AC59" s="25"/>
      <c r="AD59" s="25"/>
      <c r="AE59" s="19">
        <f t="shared" si="8"/>
        <v>-48.26086956521749</v>
      </c>
      <c r="AF59" s="21">
        <f t="shared" si="9"/>
        <v>0.96782608695652173</v>
      </c>
      <c r="AG59" s="172"/>
    </row>
    <row r="60" spans="1:33">
      <c r="A60" s="182" t="s">
        <v>1564</v>
      </c>
      <c r="B60" s="37" t="s">
        <v>78</v>
      </c>
      <c r="C60" s="173" t="s">
        <v>123</v>
      </c>
      <c r="D60" s="174"/>
      <c r="E60" s="37">
        <v>55.56</v>
      </c>
      <c r="F60" s="42">
        <v>936</v>
      </c>
      <c r="G60" s="4">
        <f t="shared" si="35"/>
        <v>52004.160000000003</v>
      </c>
      <c r="H60" s="22" t="s">
        <v>139</v>
      </c>
      <c r="I60" s="16">
        <v>17</v>
      </c>
      <c r="J60" s="18">
        <v>2000</v>
      </c>
      <c r="K60" s="17">
        <f t="shared" si="1"/>
        <v>117.64705882352941</v>
      </c>
      <c r="L60" s="16">
        <v>17</v>
      </c>
      <c r="M60" s="18">
        <f t="shared" si="36"/>
        <v>1936.5517241379271</v>
      </c>
      <c r="N60" s="18">
        <f t="shared" si="3"/>
        <v>113.914807302231</v>
      </c>
      <c r="O60" s="19">
        <f t="shared" si="4"/>
        <v>0</v>
      </c>
      <c r="P60" s="20">
        <f t="shared" si="5"/>
        <v>-3.7322515212984086</v>
      </c>
      <c r="Q60" s="21">
        <f t="shared" si="6"/>
        <v>0.96827586206896354</v>
      </c>
      <c r="R60" s="172"/>
      <c r="S60" s="28">
        <v>0.87708333333333333</v>
      </c>
      <c r="T60" s="28">
        <v>0.89722222222222225</v>
      </c>
      <c r="U60" s="4">
        <f t="shared" si="38"/>
        <v>55.999999999999957</v>
      </c>
      <c r="V60" s="22">
        <f t="shared" si="37"/>
        <v>29.000000000000057</v>
      </c>
      <c r="W60" s="23"/>
      <c r="X60" s="23"/>
      <c r="Y60" s="26"/>
      <c r="Z60" s="26"/>
      <c r="AA60" s="175"/>
      <c r="AB60" s="176"/>
      <c r="AC60" s="25"/>
      <c r="AD60" s="25"/>
      <c r="AE60" s="19">
        <f t="shared" si="8"/>
        <v>-63.448275862072933</v>
      </c>
      <c r="AF60" s="21">
        <f t="shared" si="9"/>
        <v>0.96827586206896354</v>
      </c>
      <c r="AG60" s="172"/>
    </row>
    <row r="61" spans="1:33">
      <c r="A61" s="183" t="s">
        <v>1564</v>
      </c>
      <c r="B61" s="37" t="s">
        <v>1556</v>
      </c>
      <c r="C61" s="177"/>
      <c r="D61" s="177"/>
      <c r="E61" s="38"/>
      <c r="F61" s="17"/>
      <c r="G61" s="17"/>
      <c r="H61" s="4"/>
      <c r="I61" s="30">
        <v>18.5</v>
      </c>
      <c r="J61" s="18">
        <v>1950</v>
      </c>
      <c r="K61" s="17">
        <f t="shared" si="1"/>
        <v>105.4054054054054</v>
      </c>
      <c r="L61" s="30">
        <v>18.5</v>
      </c>
      <c r="M61" s="18">
        <f>AVERAGE(M51:M60)</f>
        <v>1835.5787429364459</v>
      </c>
      <c r="N61" s="17">
        <f t="shared" si="3"/>
        <v>99.220472591159236</v>
      </c>
      <c r="O61" s="19">
        <f t="shared" si="4"/>
        <v>0</v>
      </c>
      <c r="P61" s="20">
        <f t="shared" si="5"/>
        <v>-6.1849328142461673</v>
      </c>
      <c r="Q61" s="21">
        <f t="shared" si="6"/>
        <v>0.94132243227510048</v>
      </c>
      <c r="R61" s="172"/>
      <c r="S61" s="28"/>
      <c r="T61" s="28"/>
      <c r="U61" s="4"/>
      <c r="V61" s="22"/>
      <c r="W61" s="17"/>
      <c r="X61" s="17"/>
      <c r="Y61" s="31">
        <f>SUM(Y51:Y60)</f>
        <v>0</v>
      </c>
      <c r="Z61" s="31">
        <f>SUM(Z51:Z60)</f>
        <v>0</v>
      </c>
      <c r="AA61" s="168"/>
      <c r="AB61" s="168"/>
      <c r="AC61" s="31">
        <f>SUM(AC51:AC60)</f>
        <v>10</v>
      </c>
      <c r="AD61" s="31">
        <f>SUM(AD51:AD60)</f>
        <v>0</v>
      </c>
      <c r="AE61" s="19">
        <f>M61-J61</f>
        <v>-114.42125706355409</v>
      </c>
      <c r="AF61" s="21">
        <f t="shared" si="9"/>
        <v>0.94132243227510048</v>
      </c>
      <c r="AG61" s="172"/>
    </row>
    <row r="62" spans="1:33" ht="15.75" customHeight="1">
      <c r="A62" s="178" t="s">
        <v>1565</v>
      </c>
      <c r="B62" s="4" t="s">
        <v>84</v>
      </c>
      <c r="C62" s="165" t="s">
        <v>127</v>
      </c>
      <c r="D62" s="165"/>
      <c r="E62" s="37">
        <v>26.97</v>
      </c>
      <c r="F62" s="42">
        <v>1875</v>
      </c>
      <c r="G62" s="4">
        <f t="shared" ref="G62:G66" si="39">E62*F62</f>
        <v>50568.75</v>
      </c>
      <c r="H62" s="22" t="s">
        <v>139</v>
      </c>
      <c r="I62" s="16">
        <v>8</v>
      </c>
      <c r="J62" s="18">
        <v>1500</v>
      </c>
      <c r="K62" s="17">
        <f t="shared" si="1"/>
        <v>187.5</v>
      </c>
      <c r="L62" s="16">
        <v>8</v>
      </c>
      <c r="M62" s="18">
        <f t="shared" ref="M62:M66" si="40">F62/V62*60</f>
        <v>1442.3076923076924</v>
      </c>
      <c r="N62" s="17">
        <f t="shared" si="3"/>
        <v>180.28846153846155</v>
      </c>
      <c r="O62" s="19">
        <f t="shared" si="4"/>
        <v>0</v>
      </c>
      <c r="P62" s="20">
        <f t="shared" si="5"/>
        <v>-7.2115384615384528</v>
      </c>
      <c r="Q62" s="21">
        <f t="shared" si="6"/>
        <v>0.96153846153846156</v>
      </c>
      <c r="R62" s="172">
        <f>Q67</f>
        <v>0.96486599427969311</v>
      </c>
      <c r="S62" s="28">
        <v>0.20833333333333334</v>
      </c>
      <c r="T62" s="28">
        <v>0.26250000000000001</v>
      </c>
      <c r="U62" s="4"/>
      <c r="V62" s="22">
        <f t="shared" ref="V62:V66" si="41">(T62-S62)*24*60</f>
        <v>78</v>
      </c>
      <c r="W62" s="28"/>
      <c r="X62" s="28"/>
      <c r="Y62" s="28"/>
      <c r="Z62" s="28"/>
      <c r="AA62" s="164"/>
      <c r="AB62" s="164"/>
      <c r="AC62" s="25">
        <v>5</v>
      </c>
      <c r="AD62" s="25"/>
      <c r="AE62" s="19">
        <f t="shared" ref="AE62:AE73" si="42">M62-J62</f>
        <v>-57.692307692307622</v>
      </c>
      <c r="AF62" s="21">
        <f t="shared" si="9"/>
        <v>0.96153846153846156</v>
      </c>
      <c r="AG62" s="172">
        <f>AF67</f>
        <v>0.964865994279693</v>
      </c>
    </row>
    <row r="63" spans="1:33" ht="15.75" customHeight="1">
      <c r="A63" s="178" t="s">
        <v>1565</v>
      </c>
      <c r="B63" s="4" t="s">
        <v>84</v>
      </c>
      <c r="C63" s="165" t="s">
        <v>128</v>
      </c>
      <c r="D63" s="165"/>
      <c r="E63" s="37">
        <v>27.4</v>
      </c>
      <c r="F63" s="42">
        <v>834</v>
      </c>
      <c r="G63" s="4">
        <f t="shared" si="39"/>
        <v>22851.599999999999</v>
      </c>
      <c r="H63" s="22" t="s">
        <v>139</v>
      </c>
      <c r="I63" s="16">
        <v>10</v>
      </c>
      <c r="J63" s="18">
        <v>1500</v>
      </c>
      <c r="K63" s="17">
        <f t="shared" si="1"/>
        <v>150</v>
      </c>
      <c r="L63" s="16">
        <v>10</v>
      </c>
      <c r="M63" s="18">
        <f t="shared" si="40"/>
        <v>1429.7142857142842</v>
      </c>
      <c r="N63" s="17">
        <f t="shared" si="3"/>
        <v>142.97142857142842</v>
      </c>
      <c r="O63" s="19">
        <f t="shared" si="4"/>
        <v>0</v>
      </c>
      <c r="P63" s="20">
        <f t="shared" si="5"/>
        <v>-7.0285714285715812</v>
      </c>
      <c r="Q63" s="21">
        <f t="shared" si="6"/>
        <v>0.95314285714285607</v>
      </c>
      <c r="R63" s="172"/>
      <c r="S63" s="28">
        <v>0.2673611111111111</v>
      </c>
      <c r="T63" s="28">
        <v>0.29166666666666669</v>
      </c>
      <c r="U63" s="4">
        <f t="shared" ref="U63:U66" si="43">(S63-T62)*24*60</f>
        <v>6.9999999999999751</v>
      </c>
      <c r="V63" s="22">
        <f t="shared" si="41"/>
        <v>35.000000000000036</v>
      </c>
      <c r="W63" s="4"/>
      <c r="X63" s="4"/>
      <c r="Y63" s="4"/>
      <c r="Z63" s="4"/>
      <c r="AA63" s="164"/>
      <c r="AB63" s="164"/>
      <c r="AC63" s="25"/>
      <c r="AD63" s="25"/>
      <c r="AE63" s="19">
        <f t="shared" si="42"/>
        <v>-70.285714285715812</v>
      </c>
      <c r="AF63" s="21">
        <f t="shared" si="9"/>
        <v>0.95314285714285607</v>
      </c>
      <c r="AG63" s="172"/>
    </row>
    <row r="64" spans="1:33" ht="15.75" customHeight="1">
      <c r="A64" s="178" t="s">
        <v>1565</v>
      </c>
      <c r="B64" s="4" t="s">
        <v>111</v>
      </c>
      <c r="C64" s="165" t="s">
        <v>129</v>
      </c>
      <c r="D64" s="165"/>
      <c r="E64" s="37">
        <v>31</v>
      </c>
      <c r="F64" s="42">
        <v>694</v>
      </c>
      <c r="G64" s="4">
        <f t="shared" si="39"/>
        <v>21514</v>
      </c>
      <c r="H64" s="22" t="s">
        <v>139</v>
      </c>
      <c r="I64" s="16">
        <v>13</v>
      </c>
      <c r="J64" s="18">
        <v>2000</v>
      </c>
      <c r="K64" s="17">
        <f t="shared" si="1"/>
        <v>153.84615384615384</v>
      </c>
      <c r="L64" s="16">
        <v>13</v>
      </c>
      <c r="M64" s="18">
        <f t="shared" si="40"/>
        <v>1982.8571428571422</v>
      </c>
      <c r="N64" s="17">
        <f t="shared" si="3"/>
        <v>152.52747252747247</v>
      </c>
      <c r="O64" s="19">
        <f t="shared" si="4"/>
        <v>0</v>
      </c>
      <c r="P64" s="20">
        <f t="shared" si="5"/>
        <v>-1.3186813186813708</v>
      </c>
      <c r="Q64" s="21">
        <f t="shared" si="6"/>
        <v>0.9914285714285711</v>
      </c>
      <c r="R64" s="172"/>
      <c r="S64" s="28">
        <v>0.2951388888888889</v>
      </c>
      <c r="T64" s="28">
        <v>0.30972222222222223</v>
      </c>
      <c r="U64" s="4">
        <f t="shared" si="43"/>
        <v>4.9999999999999822</v>
      </c>
      <c r="V64" s="22">
        <f t="shared" si="41"/>
        <v>21.000000000000007</v>
      </c>
      <c r="W64" s="4"/>
      <c r="X64" s="4"/>
      <c r="Y64" s="4"/>
      <c r="Z64" s="4"/>
      <c r="AA64" s="164"/>
      <c r="AB64" s="164"/>
      <c r="AC64" s="25"/>
      <c r="AD64" s="25"/>
      <c r="AE64" s="19">
        <f t="shared" si="42"/>
        <v>-17.142857142857792</v>
      </c>
      <c r="AF64" s="21">
        <f t="shared" si="9"/>
        <v>0.9914285714285711</v>
      </c>
      <c r="AG64" s="172"/>
    </row>
    <row r="65" spans="1:33" ht="15.75" customHeight="1">
      <c r="A65" s="178" t="s">
        <v>1565</v>
      </c>
      <c r="B65" s="4" t="s">
        <v>111</v>
      </c>
      <c r="C65" s="165" t="s">
        <v>130</v>
      </c>
      <c r="D65" s="165"/>
      <c r="E65" s="37">
        <v>37.85</v>
      </c>
      <c r="F65" s="42">
        <v>2326</v>
      </c>
      <c r="G65" s="4">
        <f t="shared" si="39"/>
        <v>88039.1</v>
      </c>
      <c r="H65" s="22" t="s">
        <v>139</v>
      </c>
      <c r="I65" s="16">
        <v>12</v>
      </c>
      <c r="J65" s="18">
        <v>2000</v>
      </c>
      <c r="K65" s="17">
        <f t="shared" si="1"/>
        <v>166.66666666666666</v>
      </c>
      <c r="L65" s="16">
        <v>12</v>
      </c>
      <c r="M65" s="18">
        <f t="shared" si="40"/>
        <v>1911.7808219178087</v>
      </c>
      <c r="N65" s="17">
        <f t="shared" si="3"/>
        <v>159.31506849315073</v>
      </c>
      <c r="O65" s="19">
        <f t="shared" si="4"/>
        <v>0</v>
      </c>
      <c r="P65" s="20">
        <f t="shared" si="5"/>
        <v>-7.3515981735159244</v>
      </c>
      <c r="Q65" s="21">
        <f t="shared" si="6"/>
        <v>0.95589041095890448</v>
      </c>
      <c r="R65" s="172"/>
      <c r="S65" s="28">
        <v>0.31319444444444444</v>
      </c>
      <c r="T65" s="28">
        <v>0.36388888888888887</v>
      </c>
      <c r="U65" s="4">
        <f t="shared" si="43"/>
        <v>4.9999999999999822</v>
      </c>
      <c r="V65" s="22">
        <f t="shared" si="41"/>
        <v>72.999999999999986</v>
      </c>
      <c r="W65" s="4"/>
      <c r="X65" s="4"/>
      <c r="Y65" s="4"/>
      <c r="Z65" s="4"/>
      <c r="AA65" s="164"/>
      <c r="AB65" s="164"/>
      <c r="AC65" s="25"/>
      <c r="AD65" s="25"/>
      <c r="AE65" s="19">
        <f t="shared" si="42"/>
        <v>-88.21917808219132</v>
      </c>
      <c r="AF65" s="21">
        <f t="shared" si="9"/>
        <v>0.95589041095890437</v>
      </c>
      <c r="AG65" s="172"/>
    </row>
    <row r="66" spans="1:33">
      <c r="A66" s="179" t="s">
        <v>1565</v>
      </c>
      <c r="B66" s="4" t="s">
        <v>111</v>
      </c>
      <c r="C66" s="165" t="s">
        <v>131</v>
      </c>
      <c r="D66" s="165"/>
      <c r="E66" s="37">
        <v>34.36</v>
      </c>
      <c r="F66" s="42">
        <v>1441</v>
      </c>
      <c r="G66" s="4">
        <f t="shared" si="39"/>
        <v>49512.76</v>
      </c>
      <c r="H66" s="22" t="s">
        <v>139</v>
      </c>
      <c r="I66" s="16">
        <v>10</v>
      </c>
      <c r="J66" s="18">
        <v>3000</v>
      </c>
      <c r="K66" s="17">
        <f t="shared" si="1"/>
        <v>300</v>
      </c>
      <c r="L66" s="16">
        <v>10</v>
      </c>
      <c r="M66" s="18">
        <f t="shared" si="40"/>
        <v>2882.0000000000027</v>
      </c>
      <c r="N66" s="17">
        <f t="shared" si="3"/>
        <v>288.20000000000027</v>
      </c>
      <c r="O66" s="19">
        <f t="shared" si="4"/>
        <v>0</v>
      </c>
      <c r="P66" s="20">
        <f t="shared" si="5"/>
        <v>-11.799999999999727</v>
      </c>
      <c r="Q66" s="21">
        <f t="shared" si="6"/>
        <v>0.96066666666666756</v>
      </c>
      <c r="R66" s="172"/>
      <c r="S66" s="28">
        <v>0.36874999999999997</v>
      </c>
      <c r="T66" s="28">
        <v>0.38958333333333328</v>
      </c>
      <c r="U66" s="4">
        <f t="shared" si="43"/>
        <v>6.9999999999999751</v>
      </c>
      <c r="V66" s="22">
        <f t="shared" si="41"/>
        <v>29.999999999999972</v>
      </c>
      <c r="W66" s="23"/>
      <c r="X66" s="23"/>
      <c r="Y66" s="23"/>
      <c r="Z66" s="23"/>
      <c r="AA66" s="164"/>
      <c r="AB66" s="164"/>
      <c r="AC66" s="25"/>
      <c r="AD66" s="25"/>
      <c r="AE66" s="19">
        <f t="shared" si="42"/>
        <v>-117.99999999999727</v>
      </c>
      <c r="AF66" s="21">
        <f t="shared" si="9"/>
        <v>0.96066666666666756</v>
      </c>
      <c r="AG66" s="172"/>
    </row>
    <row r="67" spans="1:33">
      <c r="A67" s="179" t="s">
        <v>1565</v>
      </c>
      <c r="B67" s="37" t="s">
        <v>1556</v>
      </c>
      <c r="C67" s="177"/>
      <c r="D67" s="177"/>
      <c r="E67" s="38"/>
      <c r="F67" s="17"/>
      <c r="G67" s="17"/>
      <c r="H67" s="4"/>
      <c r="I67" s="30">
        <v>10.6</v>
      </c>
      <c r="J67" s="18">
        <v>2000</v>
      </c>
      <c r="K67" s="17">
        <f t="shared" si="1"/>
        <v>188.67924528301887</v>
      </c>
      <c r="L67" s="30">
        <v>10.6</v>
      </c>
      <c r="M67" s="18">
        <f>AVERAGE(M62:M66)</f>
        <v>1929.7319885593861</v>
      </c>
      <c r="N67" s="17">
        <f t="shared" si="3"/>
        <v>182.05018759994209</v>
      </c>
      <c r="O67" s="19">
        <f t="shared" si="4"/>
        <v>0</v>
      </c>
      <c r="P67" s="20">
        <f t="shared" si="5"/>
        <v>-6.6290576830767804</v>
      </c>
      <c r="Q67" s="21">
        <f t="shared" si="6"/>
        <v>0.96486599427969311</v>
      </c>
      <c r="R67" s="172"/>
      <c r="S67" s="28"/>
      <c r="T67" s="28"/>
      <c r="U67" s="17"/>
      <c r="V67" s="22"/>
      <c r="W67" s="17"/>
      <c r="X67" s="17"/>
      <c r="Y67" s="31">
        <f>SUM(Y62:Y66)</f>
        <v>0</v>
      </c>
      <c r="Z67" s="31">
        <f>SUM(Z62:Z66)</f>
        <v>0</v>
      </c>
      <c r="AA67" s="168"/>
      <c r="AB67" s="168"/>
      <c r="AC67" s="31">
        <f>SUM(AC62:AC66)</f>
        <v>5</v>
      </c>
      <c r="AD67" s="31">
        <f>SUM(AD62:AD66)</f>
        <v>0</v>
      </c>
      <c r="AE67" s="19">
        <f t="shared" si="42"/>
        <v>-70.268011440613918</v>
      </c>
      <c r="AF67" s="21">
        <f t="shared" si="9"/>
        <v>0.964865994279693</v>
      </c>
      <c r="AG67" s="172"/>
    </row>
    <row r="68" spans="1:33" ht="15.75" customHeight="1">
      <c r="A68" s="169" t="s">
        <v>1566</v>
      </c>
      <c r="B68" s="4" t="s">
        <v>100</v>
      </c>
      <c r="C68" s="165" t="s">
        <v>133</v>
      </c>
      <c r="D68" s="165"/>
      <c r="E68" s="37">
        <v>20.2</v>
      </c>
      <c r="F68" s="4">
        <v>1548</v>
      </c>
      <c r="G68" s="4">
        <f t="shared" ref="G68:G72" si="44">E68*F68</f>
        <v>31269.599999999999</v>
      </c>
      <c r="H68" s="22" t="s">
        <v>139</v>
      </c>
      <c r="I68" s="16">
        <v>19</v>
      </c>
      <c r="J68" s="18">
        <v>2400</v>
      </c>
      <c r="K68" s="17">
        <f t="shared" si="1"/>
        <v>126.31578947368421</v>
      </c>
      <c r="L68" s="16">
        <v>19</v>
      </c>
      <c r="M68" s="18">
        <f t="shared" ref="M68:M72" si="45">F68/V68*60</f>
        <v>2321.9999999999991</v>
      </c>
      <c r="N68" s="17">
        <f t="shared" si="3"/>
        <v>122.21052631578942</v>
      </c>
      <c r="O68" s="19">
        <f t="shared" si="4"/>
        <v>0</v>
      </c>
      <c r="P68" s="20">
        <f t="shared" si="5"/>
        <v>-4.1052631578947825</v>
      </c>
      <c r="Q68" s="21">
        <f t="shared" si="6"/>
        <v>0.96749999999999958</v>
      </c>
      <c r="R68" s="172">
        <f>Q73</f>
        <v>0.96457403193342539</v>
      </c>
      <c r="S68" s="28">
        <v>0.125</v>
      </c>
      <c r="T68" s="28">
        <v>0.15277777777777779</v>
      </c>
      <c r="U68" s="28"/>
      <c r="V68" s="22">
        <f t="shared" ref="V68:V72" si="46">(T68-S68)*24*60</f>
        <v>40.000000000000014</v>
      </c>
      <c r="W68" s="23">
        <f>T68</f>
        <v>0.15277777777777779</v>
      </c>
      <c r="X68" s="23">
        <f>S69</f>
        <v>0.17361111111111113</v>
      </c>
      <c r="Y68" s="23"/>
      <c r="Z68" s="23"/>
      <c r="AA68" s="164"/>
      <c r="AB68" s="164"/>
      <c r="AC68" s="25">
        <v>5</v>
      </c>
      <c r="AD68" s="25"/>
      <c r="AE68" s="19">
        <f t="shared" si="42"/>
        <v>-78.000000000000909</v>
      </c>
      <c r="AF68" s="21">
        <f t="shared" si="9"/>
        <v>0.96749999999999958</v>
      </c>
      <c r="AG68" s="172">
        <f>AF73</f>
        <v>0.96457403193342528</v>
      </c>
    </row>
    <row r="69" spans="1:33" ht="15.75" customHeight="1">
      <c r="A69" s="170" t="s">
        <v>1566</v>
      </c>
      <c r="B69" s="4" t="s">
        <v>100</v>
      </c>
      <c r="C69" s="165" t="s">
        <v>109</v>
      </c>
      <c r="D69" s="165"/>
      <c r="E69" s="37">
        <v>24.45</v>
      </c>
      <c r="F69" s="4">
        <v>2279</v>
      </c>
      <c r="G69" s="4">
        <f t="shared" si="44"/>
        <v>55721.549999999996</v>
      </c>
      <c r="H69" s="22" t="s">
        <v>139</v>
      </c>
      <c r="I69" s="16">
        <v>20</v>
      </c>
      <c r="J69" s="18">
        <v>2400</v>
      </c>
      <c r="K69" s="17">
        <f t="shared" ref="K69:K73" si="47">J69/I69</f>
        <v>120</v>
      </c>
      <c r="L69" s="16">
        <v>20</v>
      </c>
      <c r="M69" s="18">
        <f t="shared" si="45"/>
        <v>2317.6271186440681</v>
      </c>
      <c r="N69" s="17">
        <f t="shared" ref="N69:N73" si="48">M69/L69</f>
        <v>115.88135593220341</v>
      </c>
      <c r="O69" s="19">
        <f t="shared" ref="O69:O73" si="49">L69-I69</f>
        <v>0</v>
      </c>
      <c r="P69" s="20">
        <f t="shared" ref="P69:P73" si="50">N69-K69</f>
        <v>-4.1186440677965948</v>
      </c>
      <c r="Q69" s="21">
        <f t="shared" ref="Q69:Q73" si="51">N69/K69</f>
        <v>0.9656779661016951</v>
      </c>
      <c r="R69" s="172"/>
      <c r="S69" s="28">
        <v>0.17361111111111113</v>
      </c>
      <c r="T69" s="28">
        <v>0.21458333333333335</v>
      </c>
      <c r="U69" s="4">
        <f t="shared" ref="U69:U72" si="52">(S69-T68)*24*60</f>
        <v>30.000000000000014</v>
      </c>
      <c r="V69" s="22">
        <f t="shared" si="46"/>
        <v>58.999999999999993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42"/>
        <v>-82.372881355931895</v>
      </c>
      <c r="AF69" s="21">
        <f t="shared" ref="AF69:AF73" si="53">M69/J69</f>
        <v>0.9656779661016951</v>
      </c>
      <c r="AG69" s="172"/>
    </row>
    <row r="70" spans="1:33" ht="15.75" customHeight="1">
      <c r="A70" s="170" t="s">
        <v>1566</v>
      </c>
      <c r="B70" s="4" t="s">
        <v>100</v>
      </c>
      <c r="C70" s="165" t="s">
        <v>136</v>
      </c>
      <c r="D70" s="165"/>
      <c r="E70" s="37">
        <v>24.43</v>
      </c>
      <c r="F70" s="4">
        <v>5879</v>
      </c>
      <c r="G70" s="4">
        <f t="shared" si="44"/>
        <v>143623.97</v>
      </c>
      <c r="H70" s="22" t="s">
        <v>139</v>
      </c>
      <c r="I70" s="16">
        <v>14</v>
      </c>
      <c r="J70" s="18">
        <v>2400</v>
      </c>
      <c r="K70" s="17">
        <f t="shared" si="47"/>
        <v>171.42857142857142</v>
      </c>
      <c r="L70" s="16">
        <v>14</v>
      </c>
      <c r="M70" s="18">
        <f t="shared" si="45"/>
        <v>2290.5194805194806</v>
      </c>
      <c r="N70" s="17">
        <f t="shared" si="48"/>
        <v>163.60853432282005</v>
      </c>
      <c r="O70" s="19">
        <f t="shared" si="49"/>
        <v>0</v>
      </c>
      <c r="P70" s="20">
        <f t="shared" si="50"/>
        <v>-7.8200371057513678</v>
      </c>
      <c r="Q70" s="21">
        <f t="shared" si="51"/>
        <v>0.95438311688311706</v>
      </c>
      <c r="R70" s="172"/>
      <c r="S70" s="28">
        <v>0.21805555555555556</v>
      </c>
      <c r="T70" s="28">
        <v>0.32500000000000001</v>
      </c>
      <c r="U70" s="4">
        <f t="shared" si="52"/>
        <v>4.9999999999999822</v>
      </c>
      <c r="V70" s="22">
        <f t="shared" si="46"/>
        <v>154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42"/>
        <v>-109.48051948051943</v>
      </c>
      <c r="AF70" s="21">
        <f t="shared" si="53"/>
        <v>0.95438311688311694</v>
      </c>
      <c r="AG70" s="172"/>
    </row>
    <row r="71" spans="1:33" ht="15.75" customHeight="1">
      <c r="A71" s="170" t="s">
        <v>1566</v>
      </c>
      <c r="B71" s="4" t="s">
        <v>100</v>
      </c>
      <c r="C71" s="165" t="s">
        <v>138</v>
      </c>
      <c r="D71" s="165"/>
      <c r="E71" s="37">
        <v>22.69</v>
      </c>
      <c r="F71" s="4">
        <v>709</v>
      </c>
      <c r="G71" s="4">
        <f t="shared" si="44"/>
        <v>16087.210000000001</v>
      </c>
      <c r="H71" s="22" t="s">
        <v>139</v>
      </c>
      <c r="I71" s="16">
        <v>15</v>
      </c>
      <c r="J71" s="18">
        <v>2400</v>
      </c>
      <c r="K71" s="17">
        <f t="shared" si="47"/>
        <v>160</v>
      </c>
      <c r="L71" s="16">
        <v>15</v>
      </c>
      <c r="M71" s="18">
        <f t="shared" si="45"/>
        <v>2363.3333333333312</v>
      </c>
      <c r="N71" s="17">
        <f t="shared" si="48"/>
        <v>157.5555555555554</v>
      </c>
      <c r="O71" s="19">
        <f t="shared" si="49"/>
        <v>0</v>
      </c>
      <c r="P71" s="20">
        <f t="shared" si="50"/>
        <v>-2.4444444444445992</v>
      </c>
      <c r="Q71" s="21">
        <f t="shared" si="51"/>
        <v>0.98472222222222128</v>
      </c>
      <c r="R71" s="172"/>
      <c r="S71" s="28">
        <v>0.32916666666666666</v>
      </c>
      <c r="T71" s="28">
        <v>0.34166666666666667</v>
      </c>
      <c r="U71" s="4">
        <f t="shared" si="52"/>
        <v>5.9999999999999787</v>
      </c>
      <c r="V71" s="22">
        <f t="shared" si="46"/>
        <v>18.000000000000014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42"/>
        <v>-36.666666666668789</v>
      </c>
      <c r="AF71" s="21">
        <f t="shared" si="53"/>
        <v>0.98472222222222139</v>
      </c>
      <c r="AG71" s="172"/>
    </row>
    <row r="72" spans="1:33" ht="15.75" customHeight="1">
      <c r="A72" s="170" t="s">
        <v>1566</v>
      </c>
      <c r="B72" s="4" t="s">
        <v>100</v>
      </c>
      <c r="C72" s="165" t="s">
        <v>135</v>
      </c>
      <c r="D72" s="165"/>
      <c r="E72" s="37">
        <v>19.02</v>
      </c>
      <c r="F72" s="4">
        <v>8099</v>
      </c>
      <c r="G72" s="4">
        <f t="shared" si="44"/>
        <v>154042.98000000001</v>
      </c>
      <c r="H72" s="22" t="s">
        <v>139</v>
      </c>
      <c r="I72" s="16">
        <v>15</v>
      </c>
      <c r="J72" s="18">
        <v>2400</v>
      </c>
      <c r="K72" s="17">
        <f t="shared" si="47"/>
        <v>160</v>
      </c>
      <c r="L72" s="16">
        <v>15</v>
      </c>
      <c r="M72" s="18">
        <f t="shared" si="45"/>
        <v>2281.4084507042248</v>
      </c>
      <c r="N72" s="17">
        <f t="shared" si="48"/>
        <v>152.09389671361498</v>
      </c>
      <c r="O72" s="19">
        <f t="shared" si="49"/>
        <v>0</v>
      </c>
      <c r="P72" s="20">
        <f t="shared" si="50"/>
        <v>-7.9061032863850187</v>
      </c>
      <c r="Q72" s="21">
        <f t="shared" si="51"/>
        <v>0.95058685446009361</v>
      </c>
      <c r="R72" s="172"/>
      <c r="S72" s="28">
        <v>0.34583333333333333</v>
      </c>
      <c r="T72" s="28">
        <v>0.49375000000000002</v>
      </c>
      <c r="U72" s="4">
        <f t="shared" si="52"/>
        <v>5.9999999999999787</v>
      </c>
      <c r="V72" s="22">
        <f t="shared" si="46"/>
        <v>213.00000000000006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42"/>
        <v>-118.59154929577517</v>
      </c>
      <c r="AF72" s="21">
        <f t="shared" si="53"/>
        <v>0.95058685446009372</v>
      </c>
      <c r="AG72" s="172"/>
    </row>
    <row r="73" spans="1:33" ht="16.5" customHeight="1">
      <c r="A73" s="171" t="s">
        <v>1566</v>
      </c>
      <c r="B73" s="37" t="s">
        <v>1556</v>
      </c>
      <c r="C73" s="166"/>
      <c r="D73" s="167"/>
      <c r="E73" s="38"/>
      <c r="F73" s="17"/>
      <c r="G73" s="17"/>
      <c r="H73" s="4"/>
      <c r="I73" s="30">
        <v>16.600000000000001</v>
      </c>
      <c r="J73" s="18">
        <v>2400</v>
      </c>
      <c r="K73" s="17">
        <f t="shared" si="47"/>
        <v>144.57831325301203</v>
      </c>
      <c r="L73" s="30">
        <v>16.600000000000001</v>
      </c>
      <c r="M73" s="18">
        <f>AVERAGE(M68:M72)</f>
        <v>2314.9776766402206</v>
      </c>
      <c r="N73" s="17">
        <f t="shared" si="48"/>
        <v>139.4564865445916</v>
      </c>
      <c r="O73" s="19">
        <f t="shared" si="49"/>
        <v>0</v>
      </c>
      <c r="P73" s="20">
        <f t="shared" si="50"/>
        <v>-5.1218267084204285</v>
      </c>
      <c r="Q73" s="21">
        <f t="shared" si="51"/>
        <v>0.96457403193342539</v>
      </c>
      <c r="R73" s="172"/>
      <c r="S73" s="28"/>
      <c r="T73" s="28"/>
      <c r="U73" s="17"/>
      <c r="V73" s="22"/>
      <c r="W73" s="17"/>
      <c r="X73" s="17"/>
      <c r="Y73" s="31">
        <f>SUM(Y68:Y72)</f>
        <v>0</v>
      </c>
      <c r="Z73" s="31">
        <f>SUM(Z68:Z72)</f>
        <v>0</v>
      </c>
      <c r="AA73" s="168"/>
      <c r="AB73" s="168"/>
      <c r="AC73" s="31">
        <f>SUM(AC68:AC72)</f>
        <v>5</v>
      </c>
      <c r="AD73" s="31">
        <f>SUM(AD68:AD72)</f>
        <v>0</v>
      </c>
      <c r="AE73" s="19">
        <f t="shared" si="42"/>
        <v>-85.022323359779421</v>
      </c>
      <c r="AF73" s="21">
        <f t="shared" si="53"/>
        <v>0.96457403193342528</v>
      </c>
      <c r="AG73" s="172"/>
    </row>
    <row r="74" spans="1:33">
      <c r="D74" s="33"/>
      <c r="E74" s="33"/>
    </row>
  </sheetData>
  <mergeCells count="199">
    <mergeCell ref="A68:A73"/>
    <mergeCell ref="C68:D68"/>
    <mergeCell ref="R68:R73"/>
    <mergeCell ref="AA68:AB68"/>
    <mergeCell ref="A62:A67"/>
    <mergeCell ref="C62:D62"/>
    <mergeCell ref="R62:R67"/>
    <mergeCell ref="AA62:AB62"/>
    <mergeCell ref="AA67:AB67"/>
    <mergeCell ref="AG68:AG73"/>
    <mergeCell ref="C69:D69"/>
    <mergeCell ref="AA69:AB69"/>
    <mergeCell ref="C70:D70"/>
    <mergeCell ref="AA70:AB70"/>
    <mergeCell ref="C71:D71"/>
    <mergeCell ref="AG62:AG67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A71:AB71"/>
    <mergeCell ref="C72:D72"/>
    <mergeCell ref="AA72:AB72"/>
    <mergeCell ref="C73:D73"/>
    <mergeCell ref="AA73:AB73"/>
    <mergeCell ref="AG51:AG61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A59:AB59"/>
    <mergeCell ref="C60:D60"/>
    <mergeCell ref="AA60:AB60"/>
    <mergeCell ref="C61:D61"/>
    <mergeCell ref="AA61:AB61"/>
    <mergeCell ref="A51:A61"/>
    <mergeCell ref="C51:D51"/>
    <mergeCell ref="R51:R61"/>
    <mergeCell ref="AA51:AB51"/>
    <mergeCell ref="AA57:AB57"/>
    <mergeCell ref="C58:D58"/>
    <mergeCell ref="AA58:AB58"/>
    <mergeCell ref="C59:D59"/>
    <mergeCell ref="A40:A50"/>
    <mergeCell ref="C40:D40"/>
    <mergeCell ref="AA44:AB44"/>
    <mergeCell ref="C45:D45"/>
    <mergeCell ref="AA45:AB45"/>
    <mergeCell ref="C46:D46"/>
    <mergeCell ref="AA46:AB46"/>
    <mergeCell ref="R40:R50"/>
    <mergeCell ref="AA40:AB40"/>
    <mergeCell ref="C50:D50"/>
    <mergeCell ref="AA50:AB50"/>
    <mergeCell ref="AG40:AG50"/>
    <mergeCell ref="C41:D41"/>
    <mergeCell ref="AA41:AB41"/>
    <mergeCell ref="C42:D42"/>
    <mergeCell ref="AA42:AB42"/>
    <mergeCell ref="C43:D43"/>
    <mergeCell ref="AG34:AG39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C47:D47"/>
    <mergeCell ref="AA47:AB47"/>
    <mergeCell ref="C48:D48"/>
    <mergeCell ref="AA48:AB48"/>
    <mergeCell ref="C49:D49"/>
    <mergeCell ref="AA49:AB49"/>
    <mergeCell ref="AA43:AB43"/>
    <mergeCell ref="C44:D44"/>
    <mergeCell ref="A34:A39"/>
    <mergeCell ref="C34:D34"/>
    <mergeCell ref="R34:R39"/>
    <mergeCell ref="AA34:AB34"/>
    <mergeCell ref="AA39:AB39"/>
    <mergeCell ref="A28:A33"/>
    <mergeCell ref="C28:D28"/>
    <mergeCell ref="R28:R33"/>
    <mergeCell ref="AA28:AB28"/>
    <mergeCell ref="AG28:AG33"/>
    <mergeCell ref="C29:D29"/>
    <mergeCell ref="AA29:AB29"/>
    <mergeCell ref="C30:D30"/>
    <mergeCell ref="AA30:AB30"/>
    <mergeCell ref="C31:D31"/>
    <mergeCell ref="AA24:AB24"/>
    <mergeCell ref="C25:D25"/>
    <mergeCell ref="AA25:AB25"/>
    <mergeCell ref="C26:D26"/>
    <mergeCell ref="AA26:AB26"/>
    <mergeCell ref="C27:D27"/>
    <mergeCell ref="AA27:AB27"/>
    <mergeCell ref="AA31:AB31"/>
    <mergeCell ref="C32:D32"/>
    <mergeCell ref="AA32:AB32"/>
    <mergeCell ref="C33:D33"/>
    <mergeCell ref="AA33:AB33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G11:AG13"/>
    <mergeCell ref="C12:D12"/>
    <mergeCell ref="AA12:AB12"/>
    <mergeCell ref="C13:D13"/>
    <mergeCell ref="AA13:AB13"/>
    <mergeCell ref="A14:A20"/>
    <mergeCell ref="C14:D14"/>
    <mergeCell ref="R14:R20"/>
    <mergeCell ref="AA14:AB14"/>
    <mergeCell ref="AG14:AG20"/>
    <mergeCell ref="C18:D18"/>
    <mergeCell ref="AA18:AB18"/>
    <mergeCell ref="C19:D19"/>
    <mergeCell ref="AA19:AB19"/>
    <mergeCell ref="C20:D20"/>
    <mergeCell ref="AA20:AB20"/>
    <mergeCell ref="C15:D15"/>
    <mergeCell ref="AA15:AB15"/>
    <mergeCell ref="C16:D16"/>
    <mergeCell ref="AA16:AB16"/>
    <mergeCell ref="C17:D17"/>
    <mergeCell ref="AA17:AB17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3">
    <cfRule type="cellIs" dxfId="168" priority="1" operator="greaterThan">
      <formula>0</formula>
    </cfRule>
  </conditionalFormatting>
  <conditionalFormatting sqref="P5:P73">
    <cfRule type="cellIs" dxfId="167" priority="4" operator="lessThan">
      <formula>0</formula>
    </cfRule>
  </conditionalFormatting>
  <conditionalFormatting sqref="Q5:Q73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R5:R11 AG5:AG11">
    <cfRule type="cellIs" dxfId="164" priority="81" operator="lessThan">
      <formula>0.8</formula>
    </cfRule>
  </conditionalFormatting>
  <conditionalFormatting sqref="AE5:AE73">
    <cfRule type="cellIs" dxfId="163" priority="17" operator="lessThan">
      <formula>0</formula>
    </cfRule>
  </conditionalFormatting>
  <conditionalFormatting sqref="AF5:AF73">
    <cfRule type="cellIs" dxfId="162" priority="15" operator="greaterThan">
      <formula>1</formula>
    </cfRule>
    <cfRule type="cellIs" dxfId="161" priority="16" operator="lessThan">
      <formula>0.8</formula>
    </cfRule>
  </conditionalFormatting>
  <conditionalFormatting sqref="AG14:AG65 R14:R73">
    <cfRule type="cellIs" dxfId="160" priority="5" operator="lessThan">
      <formula>0.8</formula>
    </cfRule>
  </conditionalFormatting>
  <dataValidations count="1">
    <dataValidation type="list" allowBlank="1" showInputMessage="1" showErrorMessage="1" sqref="AB10 AA5:AB9 AB66 AA10:AA66 AB12:AB62 AA67:AB73" xr:uid="{00000000-0002-0000-1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Q32"/>
  <sheetViews>
    <sheetView zoomScale="85" zoomScaleNormal="85" workbookViewId="0">
      <selection activeCell="G8" sqref="G8:H8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1393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1394</v>
      </c>
      <c r="C3" s="153" t="str">
        <f>TEXT('0216 4度C'!A2,"yyyy.mm.ddaaaa")</f>
        <v>2026.02.16星期一</v>
      </c>
      <c r="D3" s="154"/>
      <c r="E3" s="47" t="s">
        <v>1395</v>
      </c>
      <c r="F3" s="155">
        <f>'0216 4度C'!D1</f>
        <v>123809</v>
      </c>
      <c r="G3" s="156"/>
      <c r="H3" s="47" t="s">
        <v>1396</v>
      </c>
      <c r="I3" s="157">
        <f>'0216 4度C'!F1</f>
        <v>4284321.4700000007</v>
      </c>
      <c r="J3" s="158"/>
      <c r="K3" s="48"/>
      <c r="L3" s="49"/>
      <c r="M3" s="49"/>
      <c r="N3" s="49"/>
    </row>
    <row r="4" spans="2:17" ht="28.5" customHeight="1">
      <c r="B4" s="159" t="s">
        <v>1397</v>
      </c>
      <c r="C4" s="145" t="s">
        <v>1398</v>
      </c>
      <c r="D4" s="146"/>
      <c r="E4" s="162" t="s">
        <v>146</v>
      </c>
      <c r="F4" s="163"/>
      <c r="G4" s="162" t="s">
        <v>1399</v>
      </c>
      <c r="H4" s="163"/>
      <c r="I4" s="162" t="s">
        <v>1400</v>
      </c>
      <c r="J4" s="163"/>
      <c r="K4" s="143" t="s">
        <v>1401</v>
      </c>
      <c r="L4" s="144"/>
      <c r="M4" s="144" t="s">
        <v>150</v>
      </c>
      <c r="N4" s="144"/>
    </row>
    <row r="5" spans="2:17" ht="28.5" customHeight="1">
      <c r="B5" s="160"/>
      <c r="C5" s="145" t="s">
        <v>1402</v>
      </c>
      <c r="D5" s="146"/>
      <c r="E5" s="145" t="s">
        <v>152</v>
      </c>
      <c r="F5" s="146"/>
      <c r="G5" s="147" t="s">
        <v>1403</v>
      </c>
      <c r="H5" s="148"/>
      <c r="I5" s="149" t="s">
        <v>1404</v>
      </c>
      <c r="J5" s="150"/>
      <c r="K5" s="50" t="s">
        <v>1405</v>
      </c>
      <c r="L5" s="51" t="s">
        <v>1406</v>
      </c>
      <c r="M5" s="50" t="s">
        <v>1407</v>
      </c>
      <c r="N5" s="51" t="s">
        <v>1408</v>
      </c>
    </row>
    <row r="6" spans="2:17" ht="28.5" customHeight="1">
      <c r="B6" s="160"/>
      <c r="C6" s="145" t="s">
        <v>158</v>
      </c>
      <c r="D6" s="146"/>
      <c r="E6" s="137">
        <f>AVERAGE(D13:M13)</f>
        <v>143.44218069090169</v>
      </c>
      <c r="F6" s="138">
        <f>AVERAGE(D31:O31,D13:J13)</f>
        <v>146.37743263636281</v>
      </c>
      <c r="G6" s="139">
        <f>AVERAGE(D13:J13)</f>
        <v>146.37743263636281</v>
      </c>
      <c r="H6" s="140"/>
      <c r="I6" s="139">
        <f>AVERAGE(K13:M13)</f>
        <v>136.59325948482575</v>
      </c>
      <c r="J6" s="140"/>
      <c r="K6" s="141">
        <f>'0216 4度C'!Y2</f>
        <v>0</v>
      </c>
      <c r="L6" s="126">
        <f>'0216 4度C'!Z2</f>
        <v>0</v>
      </c>
      <c r="M6" s="142">
        <f>'0216 4度C'!AC2</f>
        <v>58</v>
      </c>
      <c r="N6" s="126">
        <f>'0216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137.85986838959292</v>
      </c>
      <c r="F7" s="130">
        <f>AVERAGE(D32:O32,D14:J14)</f>
        <v>140.75157889509356</v>
      </c>
      <c r="G7" s="131">
        <f>AVERAGE(D14:J14)</f>
        <v>140.75157889509356</v>
      </c>
      <c r="H7" s="132"/>
      <c r="I7" s="131">
        <f>AVERAGE(K14:M14)</f>
        <v>131.11254387675808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0.9602153739486271</v>
      </c>
      <c r="F8" s="134">
        <f>AVERAGE(D15:J15,D33:O33)</f>
        <v>0.9604080565539389</v>
      </c>
      <c r="G8" s="135">
        <f>AVERAGE(D15:J15)</f>
        <v>0.9604080565539389</v>
      </c>
      <c r="H8" s="136"/>
      <c r="I8" s="135">
        <f>AVERAGE(K15:M15)</f>
        <v>0.95976578120289913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1409</v>
      </c>
      <c r="N9" s="49"/>
      <c r="O9" s="49"/>
      <c r="P9" s="49"/>
      <c r="Q9" s="49"/>
    </row>
    <row r="10" spans="2:17" ht="30" customHeight="1">
      <c r="B10" s="109" t="s">
        <v>1410</v>
      </c>
      <c r="C10" s="110"/>
      <c r="D10" s="111" t="s">
        <v>1411</v>
      </c>
      <c r="E10" s="112"/>
      <c r="F10" s="112"/>
      <c r="G10" s="112"/>
      <c r="H10" s="112"/>
      <c r="I10" s="112"/>
      <c r="J10" s="113"/>
      <c r="K10" s="114" t="s">
        <v>1412</v>
      </c>
      <c r="L10" s="115"/>
      <c r="M10" s="116"/>
      <c r="P10" s="55"/>
      <c r="Q10" s="55"/>
    </row>
    <row r="11" spans="2:17" ht="17.25" customHeight="1">
      <c r="B11" s="117" t="s">
        <v>1413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13</v>
      </c>
      <c r="C13" s="62" t="s">
        <v>1414</v>
      </c>
      <c r="D13" s="63">
        <f>SUMIFS('0216 4度C'!$K:$K,'0216 4度C'!$A:$A,"新豐6線",'0216 4度C'!$B:$B,"平均")</f>
        <v>113.63636363636363</v>
      </c>
      <c r="E13" s="64">
        <f>SUMIFS('0216 4度C'!$K:$K,'0216 4度C'!$A:$A,"新豐2線",'0216 4度C'!$B:$B,"平均")</f>
        <v>83.333333333333329</v>
      </c>
      <c r="F13" s="65">
        <f>SUMIFS('0216 4度C'!$K:$K,'0216 4度C'!$A:$A,"新豐5線",'0216 4度C'!$B:$B,"平均")</f>
        <v>106.79611650485435</v>
      </c>
      <c r="G13" s="65">
        <f>SUMIFS('0216 4度C'!$K:$K,'0216 4度C'!$A:$A,"新豐7線",'0216 4度C'!$B:$B,"平均")</f>
        <v>125</v>
      </c>
      <c r="H13" s="65">
        <f>SUMIFS('0216 4度C'!$K:$K,'0216 4度C'!$A:$A,"新豐3線",'0216 4度C'!$B:$B,"平均")</f>
        <v>303.030303030303</v>
      </c>
      <c r="I13" s="65">
        <f>SUMIFS('0216 4度C'!$K:$K,'0216 4度C'!$A:$A,"新豐1線",'0216 4度C'!$B:$B,"平均")</f>
        <v>104.16666666666666</v>
      </c>
      <c r="J13" s="66">
        <f>SUMIFS('0216 4度C'!$K:$K,'0216 4度C'!$A:$A,"新豐10線",'0216 4度C'!$B:$B,"平均")</f>
        <v>188.67924528301887</v>
      </c>
      <c r="K13" s="67">
        <f>SUMIFS('0216 4度C'!$K:$K,'0216 4度C'!$A:$A,"新豐8線",'0216 4度C'!$B:$B,"平均")</f>
        <v>131.86813186813188</v>
      </c>
      <c r="L13" s="68">
        <f>SUMIFS('0216 4度C'!$K:$K,'0216 4度C'!$A:$A,"新豐9線",'0216 4度C'!$B:$B,"平均")</f>
        <v>133.33333333333334</v>
      </c>
      <c r="M13" s="66">
        <f>SUMIFS('0216 4度C'!$K:$K,'0216 4度C'!$A:$A,"新豐4線",'0216 4度C'!$B:$B,"平均")</f>
        <v>144.57831325301203</v>
      </c>
    </row>
    <row r="14" spans="2:17" ht="39.6" customHeight="1">
      <c r="B14" s="122"/>
      <c r="C14" s="69" t="s">
        <v>1415</v>
      </c>
      <c r="D14" s="70">
        <f>SUMIFS('0216 4度C'!$N:$N,'0216 4度C'!$A:$A,"新豐6線",'0216 4度C'!$B:$B,"平均")</f>
        <v>110.69460583276384</v>
      </c>
      <c r="E14" s="71">
        <f>SUMIFS('0216 4度C'!$N:$N,'0216 4度C'!$A:$A,"新豐2線",'0216 4度C'!$B:$B,"平均")</f>
        <v>79.420187793427232</v>
      </c>
      <c r="F14" s="71">
        <f>SUMIFS('0216 4度C'!$N:$N,'0216 4度C'!$A:$A,"新豐5線",'0216 4度C'!$B:$B,"平均")</f>
        <v>102.7990282460794</v>
      </c>
      <c r="G14" s="71">
        <f>SUMIFS('0216 4度C'!$N:$N,'0216 4度C'!$A:$A,"新豐7線",'0216 4度C'!$B:$B,"平均")</f>
        <v>120.61829376741669</v>
      </c>
      <c r="H14" s="71">
        <f>SUMIFS('0216 4度C'!$N:$N,'0216 4度C'!$A:$A,"新豐3線",'0216 4度C'!$B:$B,"平均")</f>
        <v>291.44702185664653</v>
      </c>
      <c r="I14" s="71">
        <f>SUMIFS('0216 4度C'!$N:$N,'0216 4度C'!$A:$A,"新豐1線",'0216 4度C'!$B:$B,"平均")</f>
        <v>97.886795686740186</v>
      </c>
      <c r="J14" s="72">
        <f>SUMIFS('0216 4度C'!$N:$N,'0216 4度C'!$A:$A,"新豐10線",'0216 4度C'!$B:$B,"平均")</f>
        <v>182.39511908258112</v>
      </c>
      <c r="K14" s="73">
        <f>SUMIFS('0216 4度C'!$N:$N,'0216 4度C'!$A:$A,"新豐8線",'0216 4度C'!$B:$B,"平均")</f>
        <v>126.20158007041903</v>
      </c>
      <c r="L14" s="74">
        <f>SUMIFS('0216 4度C'!$N:$N,'0216 4度C'!$A:$A,"新豐9線",'0216 4度C'!$B:$B,"平均")</f>
        <v>127.84743677546481</v>
      </c>
      <c r="M14" s="72">
        <f>SUMIFS('0216 4度C'!$N:$N,'0216 4度C'!$A:$A,"新豐4線",'0216 4度C'!$B:$B,"平均")</f>
        <v>139.28861478439043</v>
      </c>
    </row>
    <row r="15" spans="2:17" ht="40.15" customHeight="1">
      <c r="B15" s="123"/>
      <c r="C15" s="75" t="s">
        <v>1416</v>
      </c>
      <c r="D15" s="76">
        <f t="shared" ref="D15:M15" si="0">D14/D13</f>
        <v>0.97411253132832187</v>
      </c>
      <c r="E15" s="77">
        <f t="shared" si="0"/>
        <v>0.95304225352112681</v>
      </c>
      <c r="F15" s="77">
        <f t="shared" si="0"/>
        <v>0.9625727190314709</v>
      </c>
      <c r="G15" s="77">
        <f t="shared" si="0"/>
        <v>0.9649463501393335</v>
      </c>
      <c r="H15" s="77">
        <f t="shared" si="0"/>
        <v>0.96177517212693364</v>
      </c>
      <c r="I15" s="77">
        <f t="shared" si="0"/>
        <v>0.93971323859270584</v>
      </c>
      <c r="J15" s="78">
        <f t="shared" si="0"/>
        <v>0.96669413113767988</v>
      </c>
      <c r="K15" s="76">
        <f t="shared" si="0"/>
        <v>0.95702864886734418</v>
      </c>
      <c r="L15" s="77">
        <f t="shared" si="0"/>
        <v>0.95885577581598602</v>
      </c>
      <c r="M15" s="78">
        <f t="shared" si="0"/>
        <v>0.96341291892536729</v>
      </c>
    </row>
    <row r="16" spans="2:17" ht="17.25" customHeight="1">
      <c r="B16" s="124" t="s">
        <v>1417</v>
      </c>
      <c r="C16" s="79" t="s">
        <v>1418</v>
      </c>
      <c r="D16" s="80">
        <f>VLOOKUP("新豐6線",'0216 4度C'!$A:$T,19,0)</f>
        <v>0.70833333333333337</v>
      </c>
      <c r="E16" s="81">
        <f>VLOOKUP("新豐2線",'0216 4度C'!$A:$T,19,0)</f>
        <v>0.20833333333333334</v>
      </c>
      <c r="F16" s="81">
        <f>VLOOKUP("新豐5線",'0216 4度C'!$A:$T,19,0)</f>
        <v>0.20833333333333334</v>
      </c>
      <c r="G16" s="81">
        <f>VLOOKUP("新豐7線",'0216 4度C'!$A:$T,19,0)</f>
        <v>0.20833333333333334</v>
      </c>
      <c r="H16" s="81">
        <f>VLOOKUP("新豐3線",'0216 4度C'!$A:$T,19,0)</f>
        <v>0.20833333333333334</v>
      </c>
      <c r="I16" s="81">
        <f>VLOOKUP("新豐1線",'0216 4度C'!$A:$T,19,0)</f>
        <v>0.20833333333333334</v>
      </c>
      <c r="J16" s="82">
        <f>VLOOKUP("新豐10線",'0216 4度C'!$A:$T,19,0)</f>
        <v>0.20833333333333334</v>
      </c>
      <c r="K16" s="83">
        <f>VLOOKUP("新豐8線",'0216 4度C'!$A:$T,19,0)</f>
        <v>0.125</v>
      </c>
      <c r="L16" s="84">
        <f>VLOOKUP("新豐9線",'0216 4度C'!$A:$T,19,0)</f>
        <v>0.125</v>
      </c>
      <c r="M16" s="85">
        <f>VLOOKUP("新豐4線",'0216 4度C'!$A:$T,19,0)</f>
        <v>0.125</v>
      </c>
    </row>
    <row r="17" spans="2:13" ht="17.25" customHeight="1">
      <c r="B17" s="125"/>
      <c r="C17" s="79" t="s">
        <v>1419</v>
      </c>
      <c r="D17" s="83">
        <f>LOOKUP(2,1/(('0216 4度C'!$A:$A="新豐6線")*('0216 4度C'!$T:$T&lt;&gt;"")),'0216 4度C'!$T:$T)</f>
        <v>0.83333333333333326</v>
      </c>
      <c r="E17" s="81">
        <f>LOOKUP(2,1/(('0216 4度C'!$A:$A="新豐2線")*('0216 4度C'!$T:$T&lt;&gt;"")),'0216 4度C'!$T:$T)</f>
        <v>0.375</v>
      </c>
      <c r="F17" s="81">
        <f>LOOKUP(2,1/(('0216 4度C'!$A:$A="新豐5線")*('0216 4度C'!$T:$T&lt;&gt;"")),'0216 4度C'!$T:$T)</f>
        <v>0.8534722222222223</v>
      </c>
      <c r="G17" s="81">
        <f>LOOKUP(2,1/(('0216 4度C'!$A:$A="新豐7線")*('0216 4度C'!$T:$T&lt;&gt;"")),'0216 4度C'!$T:$T)</f>
        <v>0.85694444444444451</v>
      </c>
      <c r="H17" s="81">
        <f>LOOKUP(2,1/(('0216 4度C'!$A:$A="新豐3線")*('0216 4度C'!$T:$T&lt;&gt;"")),'0216 4度C'!$T:$T)</f>
        <v>0.65555555555555534</v>
      </c>
      <c r="I17" s="81">
        <f>LOOKUP(2,1/(('0216 4度C'!$A:$A="新豐1線")*('0216 4度C'!$T:$T&lt;&gt;"")),'0216 4度C'!$T:$T)</f>
        <v>0.84444444444444444</v>
      </c>
      <c r="J17" s="82">
        <f>LOOKUP(2,1/(('0216 4度C'!$A:$A="新豐10線")*('0216 4度C'!$T:$T&lt;&gt;"")),'0216 4度C'!$T:$T)</f>
        <v>0.37916666666666654</v>
      </c>
      <c r="K17" s="80">
        <f>LOOKUP(2,1/(('0216 4度C'!$A:$A="新豐8線")*('0216 4度C'!$T:$T&lt;&gt;"")),'0216 4度C'!$T:$T)</f>
        <v>0.50972222222222219</v>
      </c>
      <c r="L17" s="81">
        <f>LOOKUP(2,1/(('0216 4度C'!$A:$A="新豐9線")*('0216 4度C'!$T:$T&lt;&gt;"")),'0216 4度C'!$T:$T)</f>
        <v>0.45208333333333328</v>
      </c>
      <c r="M17" s="82">
        <f>LOOKUP(2,1/(('0216 4度C'!$A:$A="新豐4線")*('0216 4度C'!$T:$T&lt;&gt;"")),'0216 4度C'!$T:$T)</f>
        <v>0.46458333333333335</v>
      </c>
    </row>
    <row r="18" spans="2:13" ht="17.25" customHeight="1">
      <c r="B18" s="103" t="s">
        <v>183</v>
      </c>
      <c r="C18" s="86" t="s">
        <v>1420</v>
      </c>
      <c r="D18" s="87">
        <f>SUMIFS('0216 4度C'!$Y:$Y,'0216 4度C'!$A:$A,"新豐6線",'0216 4度C'!$B:$B,"平均")</f>
        <v>0</v>
      </c>
      <c r="E18" s="88">
        <f>SUMIFS('0216 4度C'!$Y:$Y,'0216 4度C'!$A:$A,"新豐2線",'0216 4度C'!$B:$B,"平均")</f>
        <v>0</v>
      </c>
      <c r="F18" s="88">
        <f>SUMIFS('0216 4度C'!$Y:$Y,'0216 4度C'!$A:$A,"新豐5線",'0216 4度C'!$B:$B,"平均")</f>
        <v>0</v>
      </c>
      <c r="G18" s="88">
        <f>SUMIFS('0216 4度C'!$Y:$Y,'0216 4度C'!$A:$A,"新豐7線",'0216 4度C'!$B:$B,"平均")</f>
        <v>0</v>
      </c>
      <c r="H18" s="88">
        <f>SUMIFS('0216 4度C'!$Y:$Y,'0216 4度C'!$A:$A,"新豐3線",'0216 4度C'!$B:$B,"平均")</f>
        <v>0</v>
      </c>
      <c r="I18" s="88">
        <f>SUMIFS('0216 4度C'!$Y:$Y,'0216 4度C'!$A:$A,"新豐1線",'0216 4度C'!$B:$B,"平均")</f>
        <v>0</v>
      </c>
      <c r="J18" s="89">
        <f>SUMIFS('0216 4度C'!$Y:$Y,'0216 4度C'!$A:$A,"新豐10線",'0216 4度C'!$B:$B,"平均")</f>
        <v>0</v>
      </c>
      <c r="K18" s="90">
        <f>SUMIFS('0216 4度C'!$Y:$Y,'0216 4度C'!$A:$A,"新豐8線",'0216 4度C'!$B:$B,"平均")</f>
        <v>0</v>
      </c>
      <c r="L18" s="88">
        <f>SUMIFS('0216 4度C'!$Y:$Y,'0216 4度C'!$A:$A,"新豐9線",'0216 4度C'!$B:$B,"平均")</f>
        <v>0</v>
      </c>
      <c r="M18" s="89">
        <f>SUMIFS('0216 4度C'!$Y:$Y,'0216 4度C'!$A:$A,"新豐4線",'0216 4度C'!$B:$B,"平均")</f>
        <v>0</v>
      </c>
    </row>
    <row r="19" spans="2:13" ht="17.25" customHeight="1">
      <c r="B19" s="104"/>
      <c r="C19" s="86" t="s">
        <v>1421</v>
      </c>
      <c r="D19" s="87">
        <f>SUMIFS('0216 4度C'!$Z:$Z,'0216 4度C'!$A:$A,"新豐6線",'0216 4度C'!$B:$B,"平均")</f>
        <v>0</v>
      </c>
      <c r="E19" s="88">
        <f>SUMIFS('0216 4度C'!$Z:$Z,'0216 4度C'!$A:$A,"新豐2線",'0216 4度C'!$B:$B,"平均")</f>
        <v>0</v>
      </c>
      <c r="F19" s="88">
        <f>SUMIFS('0216 4度C'!$Z:$Z,'0216 4度C'!$A:$A,"新豐5線",'0216 4度C'!$B:$B,"平均")</f>
        <v>0</v>
      </c>
      <c r="G19" s="88">
        <f>SUMIFS('0216 4度C'!$Z:$Z,'0216 4度C'!$A:$A,"新豐7線",'0216 4度C'!$B:$B,"平均")</f>
        <v>0</v>
      </c>
      <c r="H19" s="88">
        <f>SUMIFS('0216 4度C'!$Z:$Z,'0216 4度C'!$A:$A,"新豐3線",'0216 4度C'!$B:$B,"平均")</f>
        <v>0</v>
      </c>
      <c r="I19" s="88">
        <f>SUMIFS('0216 4度C'!$Z:$Z,'0216 4度C'!$A:$A,"新豐1線",'0216 4度C'!$B:$B,"平均")</f>
        <v>0</v>
      </c>
      <c r="J19" s="89">
        <f>SUMIFS('0216 4度C'!$Z:$Z,'0216 4度C'!$A:$A,"新豐10線",'0216 4度C'!$B:$B,"平均")</f>
        <v>0</v>
      </c>
      <c r="K19" s="90">
        <f>SUMIFS('0216 4度C'!$Z:$Z,'0216 4度C'!$A:$A,"新豐8線",'0216 4度C'!$B:$B,"平均")</f>
        <v>0</v>
      </c>
      <c r="L19" s="88">
        <f>SUMIFS('0216 4度C'!$Z:$Z,'0216 4度C'!$A:$A,"新豐9線",'0216 4度C'!$B:$B,"平均")</f>
        <v>0</v>
      </c>
      <c r="M19" s="89">
        <f>SUMIFS('0216 4度C'!$Z:$Z,'0216 4度C'!$A:$A,"新豐4線",'0216 4度C'!$B:$B,"平均")</f>
        <v>0</v>
      </c>
    </row>
    <row r="20" spans="2:13" ht="17.25" customHeight="1">
      <c r="B20" s="103" t="s">
        <v>1422</v>
      </c>
      <c r="C20" s="86" t="s">
        <v>1420</v>
      </c>
      <c r="D20" s="87">
        <f>SUMIFS('0216 4度C'!$AC:$AC,'0216 4度C'!$A:$A,"新豐6線",'0216 4度C'!$B:$B,"平均")</f>
        <v>5</v>
      </c>
      <c r="E20" s="88">
        <f>SUMIFS('0216 4度C'!$AC:$AC,'0216 4度C'!$A:$A,"新豐2線",'0216 4度C'!$B:$B,"平均")</f>
        <v>2</v>
      </c>
      <c r="F20" s="88">
        <f>SUMIFS('0216 4度C'!$AC:$AC,'0216 4度C'!$A:$A,"新豐5線",'0216 4度C'!$B:$B,"平均")</f>
        <v>6</v>
      </c>
      <c r="G20" s="88">
        <f>SUMIFS('0216 4度C'!$AC:$AC,'0216 4度C'!$A:$A,"新豐7線",'0216 4度C'!$B:$B,"平均")</f>
        <v>6</v>
      </c>
      <c r="H20" s="88">
        <f>SUMIFS('0216 4度C'!$AC:$AC,'0216 4度C'!$A:$A,"新豐3線",'0216 4度C'!$B:$B,"平均")</f>
        <v>10</v>
      </c>
      <c r="I20" s="88">
        <f>SUMIFS('0216 4度C'!$AC:$AC,'0216 4度C'!$A:$A,"新豐1線",'0216 4度C'!$B:$B,"平均")</f>
        <v>9</v>
      </c>
      <c r="J20" s="89">
        <f>SUMIFS('0216 4度C'!$AC:$AC,'0216 4度C'!$A:$A,"新豐10線",'0216 4度C'!$B:$B,"平均")</f>
        <v>5</v>
      </c>
      <c r="K20" s="90">
        <f>SUMIFS('0216 4度C'!$AC:$AC,'0216 4度C'!$A:$A,"新豐8線",'0216 4度C'!$B:$B,"平均")</f>
        <v>5</v>
      </c>
      <c r="L20" s="88">
        <f>SUMIFS('0216 4度C'!$AC:$AC,'0216 4度C'!$A:$A,"新豐9線",'0216 4度C'!$B:$B,"平均")</f>
        <v>5</v>
      </c>
      <c r="M20" s="89">
        <f>SUMIFS('0216 4度C'!$AC:$AC,'0216 4度C'!$A:$A,"新豐4線",'0216 4度C'!$B:$B,"平均")</f>
        <v>5</v>
      </c>
    </row>
    <row r="21" spans="2:13" ht="17.25" customHeight="1">
      <c r="B21" s="104"/>
      <c r="C21" s="86" t="s">
        <v>1423</v>
      </c>
      <c r="D21" s="87">
        <f>SUMIFS('0216 4度C'!$AD:$AD,'0216 4度C'!$A:$A,"新豐6線",'0216 4度C'!$B:$B,"平均")</f>
        <v>0</v>
      </c>
      <c r="E21" s="88">
        <f>SUMIFS('0216 4度C'!$AD:$AD,'0216 4度C'!$A:$A,"新豐2線",'0216 4度C'!$B:$B,"平均")</f>
        <v>0</v>
      </c>
      <c r="F21" s="88">
        <f>SUMIFS('0216 4度C'!$AD:$AD,'0216 4度C'!$A:$A,"新豐5線",'0216 4度C'!$B:$B,"平均")</f>
        <v>0</v>
      </c>
      <c r="G21" s="88">
        <f>SUMIFS('0216 4度C'!$AD:$AD,'0216 4度C'!$A:$A,"新豐7線",'0216 4度C'!$B:$B,"平均")</f>
        <v>0</v>
      </c>
      <c r="H21" s="88">
        <f>SUMIFS('0216 4度C'!$AD:$AD,'0216 4度C'!$A:$A,"新豐3線",'0216 4度C'!$B:$B,"平均")</f>
        <v>0</v>
      </c>
      <c r="I21" s="88">
        <f>SUMIFS('0216 4度C'!$AD:$AD,'0216 4度C'!$A:$A,"新豐1線",'0216 4度C'!$B:$B,"平均")</f>
        <v>0</v>
      </c>
      <c r="J21" s="89">
        <f>SUMIFS('0216 4度C'!$AD:$AD,'0216 4度C'!$A:$A,"新豐10線",'0216 4度C'!$B:$B,"平均")</f>
        <v>0</v>
      </c>
      <c r="K21" s="90">
        <f>SUMIFS('0216 4度C'!$AD:$AD,'0216 4度C'!$A:$A,"新豐8線",'0216 4度C'!$B:$B,"平均")</f>
        <v>0</v>
      </c>
      <c r="L21" s="88">
        <f>SUMIFS('0216 4度C'!$AD:$AD,'0216 4度C'!$A:$A,"新豐9線",'0216 4度C'!$B:$B,"平均")</f>
        <v>0</v>
      </c>
      <c r="M21" s="89">
        <f>SUMIFS('0216 4度C'!$AD:$AD,'0216 4度C'!$A:$A,"新豐4線",'0216 4度C'!$B:$B,"平均")</f>
        <v>0</v>
      </c>
    </row>
    <row r="22" spans="2:13" ht="17.25" customHeight="1">
      <c r="B22" s="105" t="s">
        <v>1424</v>
      </c>
      <c r="C22" s="106"/>
      <c r="D22" s="91">
        <f>SUMIFS('0216 4度C'!$I:$I,'0216 4度C'!$A:$A,"新豐6線",'0216 4度C'!$B:$B,"平均")</f>
        <v>17.600000000000001</v>
      </c>
      <c r="E22" s="92">
        <f>SUMIFS('0216 4度C'!$I:$I,'0216 4度C'!$A:$A,"新豐2線",'0216 4度C'!$B:$B,"平均")</f>
        <v>18</v>
      </c>
      <c r="F22" s="92">
        <f>SUMIFS('0216 4度C'!$I:$I,'0216 4度C'!$A:$A,"新豐5線",'0216 4度C'!$B:$B,"平均")</f>
        <v>17.166666666666668</v>
      </c>
      <c r="G22" s="92">
        <f>SUMIFS('0216 4度C'!$I:$I,'0216 4度C'!$A:$A,"新豐7線",'0216 4度C'!$B:$B,"平均")</f>
        <v>15.333333333333334</v>
      </c>
      <c r="H22" s="92">
        <f>SUMIFS('0216 4度C'!$I:$I,'0216 4度C'!$A:$A,"新豐3線",'0216 4度C'!$B:$B,"平均")</f>
        <v>9.9</v>
      </c>
      <c r="I22" s="92">
        <f>SUMIFS('0216 4度C'!$I:$I,'0216 4度C'!$A:$A,"新豐1線",'0216 4度C'!$B:$B,"平均")</f>
        <v>18.666666666666668</v>
      </c>
      <c r="J22" s="93">
        <f>SUMIFS('0216 4度C'!$I:$I,'0216 4度C'!$A:$A,"新豐10線",'0216 4度C'!$B:$B,"平均")</f>
        <v>10.6</v>
      </c>
      <c r="K22" s="91">
        <f>SUMIFS('0216 4度C'!$I:$I,'0216 4度C'!$A:$A,"新豐8線",'0216 4度C'!$B:$B,"平均")</f>
        <v>18.2</v>
      </c>
      <c r="L22" s="92">
        <f>SUMIFS('0216 4度C'!$I:$I,'0216 4度C'!$A:$A,"新豐9線",'0216 4度C'!$B:$B,"平均")</f>
        <v>18</v>
      </c>
      <c r="M22" s="93">
        <f>SUMIFS('0216 4度C'!$I:$I,'0216 4度C'!$A:$A,"新豐4線",'0216 4度C'!$B:$B,"平均")</f>
        <v>16.600000000000001</v>
      </c>
    </row>
    <row r="23" spans="2:13" ht="17.25" customHeight="1">
      <c r="B23" s="105" t="s">
        <v>1425</v>
      </c>
      <c r="C23" s="106"/>
      <c r="D23" s="94" t="s">
        <v>191</v>
      </c>
      <c r="E23" s="95" t="s">
        <v>192</v>
      </c>
      <c r="F23" s="95" t="s">
        <v>1426</v>
      </c>
      <c r="G23" s="95" t="s">
        <v>1427</v>
      </c>
      <c r="H23" s="95" t="s">
        <v>194</v>
      </c>
      <c r="I23" s="95" t="s">
        <v>191</v>
      </c>
      <c r="J23" s="96" t="s">
        <v>194</v>
      </c>
      <c r="K23" s="94" t="s">
        <v>1428</v>
      </c>
      <c r="L23" s="95" t="s">
        <v>1428</v>
      </c>
      <c r="M23" s="96" t="s">
        <v>1428</v>
      </c>
    </row>
    <row r="24" spans="2:13" ht="17.25" customHeight="1">
      <c r="B24" s="105" t="s">
        <v>1429</v>
      </c>
      <c r="C24" s="106"/>
      <c r="D24" s="94"/>
      <c r="E24" s="95"/>
      <c r="F24" s="95" t="s">
        <v>1430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1431</v>
      </c>
      <c r="C25" s="108"/>
      <c r="D25" s="97"/>
      <c r="E25" s="98" t="s">
        <v>342</v>
      </c>
      <c r="F25" s="101" t="s">
        <v>1432</v>
      </c>
      <c r="G25" s="102"/>
      <c r="H25" s="98" t="s">
        <v>1433</v>
      </c>
      <c r="I25" s="98" t="s">
        <v>1434</v>
      </c>
      <c r="J25" s="99" t="s">
        <v>1433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5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13">
    <pageSetUpPr fitToPage="1"/>
  </sheetPr>
  <dimension ref="A1:AG73"/>
  <sheetViews>
    <sheetView zoomScale="80" zoomScaleNormal="80" workbookViewId="0">
      <pane ySplit="4" topLeftCell="A5" activePane="bottomLeft" state="frozen"/>
      <selection activeCell="J13" sqref="J13"/>
      <selection pane="bottomLeft" activeCell="AC12" sqref="AC1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SUM(F5:F72)</f>
        <v>123809</v>
      </c>
      <c r="E1" s="4" t="s">
        <v>2</v>
      </c>
      <c r="F1" s="1">
        <f>SUM(G5:G72)</f>
        <v>4284321.4700000007</v>
      </c>
      <c r="G1" s="1" t="s">
        <v>3</v>
      </c>
      <c r="H1" s="5">
        <f>L10+L13+L50+L60+L20+L66+L33+L39+L27+L72</f>
        <v>160.06666666666666</v>
      </c>
      <c r="I1" s="214" t="s">
        <v>1435</v>
      </c>
      <c r="J1" s="214"/>
      <c r="K1" s="214"/>
      <c r="L1" s="214" t="s">
        <v>1436</v>
      </c>
      <c r="M1" s="214"/>
      <c r="N1" s="214"/>
      <c r="O1" s="214" t="s">
        <v>1437</v>
      </c>
      <c r="P1" s="214"/>
      <c r="Q1" s="214"/>
      <c r="R1" s="214"/>
      <c r="S1" s="214" t="s">
        <v>7</v>
      </c>
      <c r="T1" s="214"/>
      <c r="U1" s="214"/>
      <c r="V1" s="214"/>
      <c r="W1" s="214"/>
      <c r="X1" s="214"/>
      <c r="Y1" s="6" t="s">
        <v>1438</v>
      </c>
      <c r="Z1" s="7" t="s">
        <v>1439</v>
      </c>
      <c r="AA1" s="215" t="s">
        <v>10</v>
      </c>
      <c r="AB1" s="215"/>
      <c r="AC1" s="8" t="s">
        <v>8</v>
      </c>
      <c r="AD1" s="7" t="s">
        <v>11</v>
      </c>
      <c r="AE1" s="214" t="s">
        <v>1440</v>
      </c>
      <c r="AF1" s="216"/>
      <c r="AG1" s="216"/>
    </row>
    <row r="2" spans="1:33" ht="26.25" customHeight="1">
      <c r="A2" s="35">
        <v>46069</v>
      </c>
      <c r="B2" s="36" t="s">
        <v>254</v>
      </c>
      <c r="C2" s="2" t="s">
        <v>13</v>
      </c>
      <c r="D2" s="10">
        <f>AVERAGE(N10,N13,N50,N60,N20,N66,N27,N33,N39,N72)</f>
        <v>137.85986838959292</v>
      </c>
      <c r="E2" s="11" t="s">
        <v>14</v>
      </c>
      <c r="F2" s="12">
        <f>F1/D1</f>
        <v>34.604281352728805</v>
      </c>
      <c r="G2" s="1" t="s">
        <v>15</v>
      </c>
      <c r="H2" s="13">
        <f>COUNT(H5:H72)</f>
        <v>4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SUM(Y10+Y13+Y20+Y27+Y33+Y39+Y50+Y60+Y66+Y72)</f>
        <v>0</v>
      </c>
      <c r="Z2" s="14">
        <f>SUM(Z10+Z13+Z20+Z27+Z33+Z39+Z50+Z60+Z66+Z72)</f>
        <v>0</v>
      </c>
      <c r="AA2" s="215"/>
      <c r="AB2" s="215"/>
      <c r="AC2" s="14">
        <v>58</v>
      </c>
      <c r="AD2" s="14">
        <f>SUM(AD10+AD13+AD20+AD27+AD33+AD39+AD50+AD60+AD66+AD72)</f>
        <v>0</v>
      </c>
      <c r="AE2" s="216"/>
      <c r="AF2" s="216"/>
      <c r="AG2" s="216"/>
    </row>
    <row r="3" spans="1:33" ht="40.5" customHeight="1">
      <c r="A3" s="164" t="s">
        <v>1441</v>
      </c>
      <c r="B3" s="164" t="s">
        <v>1442</v>
      </c>
      <c r="C3" s="164" t="s">
        <v>18</v>
      </c>
      <c r="D3" s="164"/>
      <c r="E3" s="212" t="s">
        <v>1443</v>
      </c>
      <c r="F3" s="164" t="s">
        <v>20</v>
      </c>
      <c r="G3" s="212" t="s">
        <v>21</v>
      </c>
      <c r="H3" s="206" t="s">
        <v>1444</v>
      </c>
      <c r="I3" s="204" t="s">
        <v>1445</v>
      </c>
      <c r="J3" s="201" t="s">
        <v>1446</v>
      </c>
      <c r="K3" s="211" t="s">
        <v>1447</v>
      </c>
      <c r="L3" s="204" t="s">
        <v>1445</v>
      </c>
      <c r="M3" s="201" t="s">
        <v>1446</v>
      </c>
      <c r="N3" s="211" t="s">
        <v>1447</v>
      </c>
      <c r="O3" s="204" t="s">
        <v>1445</v>
      </c>
      <c r="P3" s="211" t="s">
        <v>13</v>
      </c>
      <c r="Q3" s="202" t="s">
        <v>28</v>
      </c>
      <c r="R3" s="182" t="s">
        <v>1448</v>
      </c>
      <c r="S3" s="164" t="s">
        <v>30</v>
      </c>
      <c r="T3" s="164"/>
      <c r="U3" s="206" t="s">
        <v>31</v>
      </c>
      <c r="V3" s="206" t="s">
        <v>1449</v>
      </c>
      <c r="W3" s="164" t="s">
        <v>33</v>
      </c>
      <c r="X3" s="164"/>
      <c r="Y3" s="207" t="s">
        <v>1450</v>
      </c>
      <c r="Z3" s="168"/>
      <c r="AA3" s="208" t="s">
        <v>1451</v>
      </c>
      <c r="AB3" s="209"/>
      <c r="AC3" s="207" t="s">
        <v>36</v>
      </c>
      <c r="AD3" s="168"/>
      <c r="AE3" s="201" t="s">
        <v>24</v>
      </c>
      <c r="AF3" s="202" t="s">
        <v>1452</v>
      </c>
      <c r="AG3" s="182" t="s">
        <v>29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1453</v>
      </c>
      <c r="X4" s="4" t="s">
        <v>41</v>
      </c>
      <c r="Y4" s="15" t="s">
        <v>42</v>
      </c>
      <c r="Z4" s="15" t="s">
        <v>43</v>
      </c>
      <c r="AA4" s="210"/>
      <c r="AB4" s="209"/>
      <c r="AC4" s="15" t="s">
        <v>1454</v>
      </c>
      <c r="AD4" s="15" t="s">
        <v>1455</v>
      </c>
      <c r="AE4" s="201"/>
      <c r="AF4" s="202"/>
      <c r="AG4" s="182"/>
    </row>
    <row r="5" spans="1:33">
      <c r="A5" s="203" t="s">
        <v>46</v>
      </c>
      <c r="B5" s="37" t="s">
        <v>78</v>
      </c>
      <c r="C5" s="205" t="s">
        <v>79</v>
      </c>
      <c r="D5" s="205"/>
      <c r="E5" s="37">
        <v>50.67</v>
      </c>
      <c r="F5" s="4">
        <v>1287</v>
      </c>
      <c r="G5" s="4">
        <v>65212.29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9" si="1">F5/V5*60</f>
        <v>1930.4999999999993</v>
      </c>
      <c r="N5" s="17">
        <f t="shared" ref="N5:N68" si="2">M5/L5</f>
        <v>113.55882352941173</v>
      </c>
      <c r="O5" s="19">
        <f t="shared" ref="O5:O68" si="3">L5-I5</f>
        <v>0</v>
      </c>
      <c r="P5" s="20">
        <f t="shared" ref="P5:P68" si="4">N5-K5</f>
        <v>-4.0882352941176805</v>
      </c>
      <c r="Q5" s="21">
        <f t="shared" ref="Q5:Q68" si="5">N5/K5</f>
        <v>0.96524999999999972</v>
      </c>
      <c r="R5" s="172">
        <f>Q10</f>
        <v>0.97411253132832187</v>
      </c>
      <c r="S5" s="28">
        <v>0.70833333333333337</v>
      </c>
      <c r="T5" s="28">
        <v>0.73611111111111116</v>
      </c>
      <c r="U5" s="4"/>
      <c r="V5" s="22">
        <f t="shared" ref="V5:V9" si="6">(T5-S5)*24*60</f>
        <v>40.000000000000014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9" si="7">M5-J5</f>
        <v>-69.500000000000682</v>
      </c>
      <c r="AF5" s="21">
        <f t="shared" ref="AF5:AF68" si="8">M5/J5</f>
        <v>0.96524999999999961</v>
      </c>
      <c r="AG5" s="172">
        <f>AF10</f>
        <v>0.97411253132832187</v>
      </c>
    </row>
    <row r="6" spans="1:33">
      <c r="A6" s="204" t="s">
        <v>46</v>
      </c>
      <c r="B6" s="37" t="s">
        <v>78</v>
      </c>
      <c r="C6" s="205" t="s">
        <v>80</v>
      </c>
      <c r="D6" s="205"/>
      <c r="E6" s="37">
        <v>54.09</v>
      </c>
      <c r="F6" s="4">
        <v>1130</v>
      </c>
      <c r="G6" s="4">
        <v>61121.700000000004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1937.1428571428553</v>
      </c>
      <c r="N6" s="17">
        <f t="shared" si="2"/>
        <v>101.95488721804502</v>
      </c>
      <c r="O6" s="19">
        <f t="shared" si="3"/>
        <v>0</v>
      </c>
      <c r="P6" s="20">
        <f t="shared" si="4"/>
        <v>-3.3082706766918193</v>
      </c>
      <c r="Q6" s="21">
        <f t="shared" si="5"/>
        <v>0.96857142857142775</v>
      </c>
      <c r="R6" s="172"/>
      <c r="S6" s="28">
        <v>0.74097222222222225</v>
      </c>
      <c r="T6" s="28">
        <v>0.76527777777777783</v>
      </c>
      <c r="U6" s="4">
        <f t="shared" ref="U6:U9" si="9">IF(S6=TIME(17,0,0),"",(S6-T5)*24*60)</f>
        <v>6.9999999999999751</v>
      </c>
      <c r="V6" s="22">
        <f t="shared" si="6"/>
        <v>35.000000000000036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-62.857142857144709</v>
      </c>
      <c r="AF6" s="21">
        <f t="shared" si="8"/>
        <v>0.96857142857142764</v>
      </c>
      <c r="AG6" s="172"/>
    </row>
    <row r="7" spans="1:33">
      <c r="A7" s="204" t="s">
        <v>1456</v>
      </c>
      <c r="B7" s="37" t="s">
        <v>78</v>
      </c>
      <c r="C7" s="196" t="s">
        <v>81</v>
      </c>
      <c r="D7" s="197"/>
      <c r="E7" s="37">
        <v>50.29</v>
      </c>
      <c r="F7" s="4">
        <v>587</v>
      </c>
      <c r="G7" s="4">
        <v>29520.23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1956.6666666666738</v>
      </c>
      <c r="N7" s="17">
        <f t="shared" si="2"/>
        <v>122.29166666666711</v>
      </c>
      <c r="O7" s="19">
        <f t="shared" si="3"/>
        <v>0</v>
      </c>
      <c r="P7" s="20">
        <f t="shared" si="4"/>
        <v>-2.7083333333328881</v>
      </c>
      <c r="Q7" s="21">
        <f t="shared" si="5"/>
        <v>0.97833333333333694</v>
      </c>
      <c r="R7" s="172"/>
      <c r="S7" s="28">
        <v>0.77013888888888893</v>
      </c>
      <c r="T7" s="28">
        <v>0.78263888888888888</v>
      </c>
      <c r="U7" s="4">
        <f t="shared" si="9"/>
        <v>6.9999999999999751</v>
      </c>
      <c r="V7" s="22">
        <f t="shared" si="6"/>
        <v>17.999999999999936</v>
      </c>
      <c r="W7" s="23"/>
      <c r="X7" s="23"/>
      <c r="Y7" s="26"/>
      <c r="Z7" s="26"/>
      <c r="AA7" s="175"/>
      <c r="AB7" s="176"/>
      <c r="AC7" s="25"/>
      <c r="AD7" s="27"/>
      <c r="AE7" s="19">
        <f t="shared" si="7"/>
        <v>-43.333333333326209</v>
      </c>
      <c r="AF7" s="21">
        <f t="shared" si="8"/>
        <v>0.97833333333333694</v>
      </c>
      <c r="AG7" s="172"/>
    </row>
    <row r="8" spans="1:33">
      <c r="A8" s="204" t="s">
        <v>1456</v>
      </c>
      <c r="B8" s="37" t="s">
        <v>78</v>
      </c>
      <c r="C8" s="196" t="s">
        <v>82</v>
      </c>
      <c r="D8" s="197"/>
      <c r="E8" s="37">
        <v>57.3</v>
      </c>
      <c r="F8" s="4">
        <v>1287</v>
      </c>
      <c r="G8" s="4">
        <v>73745.099999999991</v>
      </c>
      <c r="H8" s="22" t="s">
        <v>139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1930.4999999999993</v>
      </c>
      <c r="N8" s="17">
        <f t="shared" si="2"/>
        <v>128.69999999999996</v>
      </c>
      <c r="O8" s="19">
        <f t="shared" si="3"/>
        <v>0</v>
      </c>
      <c r="P8" s="20">
        <f t="shared" si="4"/>
        <v>-4.6333333333333826</v>
      </c>
      <c r="Q8" s="21">
        <f t="shared" si="5"/>
        <v>0.96524999999999961</v>
      </c>
      <c r="R8" s="172"/>
      <c r="S8" s="28">
        <v>0.78680555555555554</v>
      </c>
      <c r="T8" s="28">
        <v>0.81458333333333333</v>
      </c>
      <c r="U8" s="4">
        <f t="shared" si="9"/>
        <v>5.9999999999999787</v>
      </c>
      <c r="V8" s="22">
        <f t="shared" si="6"/>
        <v>40.000000000000014</v>
      </c>
      <c r="W8" s="28"/>
      <c r="X8" s="28"/>
      <c r="Y8" s="29"/>
      <c r="Z8" s="29"/>
      <c r="AA8" s="175"/>
      <c r="AB8" s="176"/>
      <c r="AC8" s="25"/>
      <c r="AD8" s="27"/>
      <c r="AE8" s="19">
        <f t="shared" si="7"/>
        <v>-69.500000000000682</v>
      </c>
      <c r="AF8" s="21">
        <f t="shared" si="8"/>
        <v>0.96524999999999961</v>
      </c>
      <c r="AG8" s="172"/>
    </row>
    <row r="9" spans="1:33">
      <c r="A9" s="204" t="s">
        <v>46</v>
      </c>
      <c r="B9" s="37" t="s">
        <v>78</v>
      </c>
      <c r="C9" s="196" t="s">
        <v>83</v>
      </c>
      <c r="D9" s="197"/>
      <c r="E9" s="37">
        <v>50.67</v>
      </c>
      <c r="F9" s="4">
        <v>629</v>
      </c>
      <c r="G9" s="4">
        <v>31871.43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1986.3157894736912</v>
      </c>
      <c r="N9" s="17">
        <f t="shared" si="2"/>
        <v>94.586466165413867</v>
      </c>
      <c r="O9" s="19">
        <f t="shared" si="3"/>
        <v>0</v>
      </c>
      <c r="P9" s="20">
        <f t="shared" si="4"/>
        <v>-0.6516290726813736</v>
      </c>
      <c r="Q9" s="21">
        <f t="shared" si="5"/>
        <v>0.99315789473684557</v>
      </c>
      <c r="R9" s="172"/>
      <c r="S9" s="28">
        <v>0.82013888888888886</v>
      </c>
      <c r="T9" s="28">
        <v>0.83333333333333326</v>
      </c>
      <c r="U9" s="4">
        <f t="shared" si="9"/>
        <v>7.9999999999999716</v>
      </c>
      <c r="V9" s="22">
        <f t="shared" si="6"/>
        <v>18.999999999999932</v>
      </c>
      <c r="W9" s="23"/>
      <c r="X9" s="23"/>
      <c r="Y9" s="26"/>
      <c r="Z9" s="26"/>
      <c r="AA9" s="175"/>
      <c r="AB9" s="176"/>
      <c r="AC9" s="25"/>
      <c r="AD9" s="27"/>
      <c r="AE9" s="19">
        <f t="shared" si="7"/>
        <v>-13.684210526308789</v>
      </c>
      <c r="AF9" s="21">
        <f t="shared" si="8"/>
        <v>0.99315789473684557</v>
      </c>
      <c r="AG9" s="172"/>
    </row>
    <row r="10" spans="1:33">
      <c r="A10" s="204" t="s">
        <v>1456</v>
      </c>
      <c r="B10" s="37" t="s">
        <v>48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0"/>
        <v>113.63636363636363</v>
      </c>
      <c r="L10" s="30">
        <v>17.600000000000001</v>
      </c>
      <c r="M10" s="18">
        <f>AVERAGE(M5:M9)</f>
        <v>1948.2250626566438</v>
      </c>
      <c r="N10" s="17">
        <f t="shared" si="2"/>
        <v>110.69460583276384</v>
      </c>
      <c r="O10" s="19">
        <f t="shared" si="3"/>
        <v>0</v>
      </c>
      <c r="P10" s="20">
        <f t="shared" si="4"/>
        <v>-2.9417578035997849</v>
      </c>
      <c r="Q10" s="21">
        <f t="shared" si="5"/>
        <v>0.97411253132832187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7"/>
        <v>-51.774937343356214</v>
      </c>
      <c r="AF10" s="21">
        <f t="shared" si="8"/>
        <v>0.97411253132832187</v>
      </c>
      <c r="AG10" s="172"/>
    </row>
    <row r="11" spans="1:33" ht="15.75" customHeight="1">
      <c r="A11" s="200" t="s">
        <v>1457</v>
      </c>
      <c r="B11" s="37" t="s">
        <v>84</v>
      </c>
      <c r="C11" s="196" t="s">
        <v>85</v>
      </c>
      <c r="D11" s="197"/>
      <c r="E11" s="37">
        <v>39.619999999999997</v>
      </c>
      <c r="F11" s="4">
        <v>2142</v>
      </c>
      <c r="G11" s="4">
        <v>84866.04</v>
      </c>
      <c r="H11" s="22" t="s">
        <v>139</v>
      </c>
      <c r="I11" s="16">
        <v>19</v>
      </c>
      <c r="J11" s="18">
        <v>1500</v>
      </c>
      <c r="K11" s="17">
        <f t="shared" si="0"/>
        <v>78.94736842105263</v>
      </c>
      <c r="L11" s="16">
        <v>19</v>
      </c>
      <c r="M11" s="18">
        <f t="shared" ref="M11:M12" si="10">F11/V11*60</f>
        <v>1427.9999999999993</v>
      </c>
      <c r="N11" s="17">
        <f t="shared" si="2"/>
        <v>75.157894736842067</v>
      </c>
      <c r="O11" s="19">
        <f t="shared" si="3"/>
        <v>0</v>
      </c>
      <c r="P11" s="20">
        <f t="shared" si="4"/>
        <v>-3.789473684210563</v>
      </c>
      <c r="Q11" s="21">
        <f t="shared" si="5"/>
        <v>0.95199999999999951</v>
      </c>
      <c r="R11" s="172">
        <f>Q13</f>
        <v>0.95304225352112681</v>
      </c>
      <c r="S11" s="28">
        <v>0.20833333333333334</v>
      </c>
      <c r="T11" s="28">
        <v>0.27083333333333337</v>
      </c>
      <c r="U11" s="4"/>
      <c r="V11" s="22">
        <f t="shared" ref="V11:V12" si="11">(T11-S11)*24*60</f>
        <v>90.000000000000043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7"/>
        <v>-72.000000000000682</v>
      </c>
      <c r="AF11" s="21">
        <f t="shared" si="8"/>
        <v>0.95199999999999951</v>
      </c>
      <c r="AG11" s="172">
        <f>AF13</f>
        <v>0.9530422535211267</v>
      </c>
    </row>
    <row r="12" spans="1:33" ht="15.75" customHeight="1">
      <c r="A12" s="200" t="s">
        <v>1458</v>
      </c>
      <c r="B12" s="37" t="s">
        <v>84</v>
      </c>
      <c r="C12" s="196" t="s">
        <v>86</v>
      </c>
      <c r="D12" s="197"/>
      <c r="E12" s="37">
        <v>39.799999999999997</v>
      </c>
      <c r="F12" s="4">
        <v>3387</v>
      </c>
      <c r="G12" s="4">
        <v>134802.59999999998</v>
      </c>
      <c r="H12" s="22" t="s">
        <v>139</v>
      </c>
      <c r="I12" s="16">
        <v>17</v>
      </c>
      <c r="J12" s="18">
        <v>1500</v>
      </c>
      <c r="K12" s="17">
        <f t="shared" si="0"/>
        <v>88.235294117647058</v>
      </c>
      <c r="L12" s="16">
        <v>17</v>
      </c>
      <c r="M12" s="18">
        <f t="shared" si="10"/>
        <v>1431.1267605633807</v>
      </c>
      <c r="N12" s="17">
        <f t="shared" si="2"/>
        <v>84.183927091963568</v>
      </c>
      <c r="O12" s="19">
        <f t="shared" si="3"/>
        <v>0</v>
      </c>
      <c r="P12" s="20">
        <f t="shared" si="4"/>
        <v>-4.0513670256834899</v>
      </c>
      <c r="Q12" s="21">
        <f t="shared" si="5"/>
        <v>0.95408450704225378</v>
      </c>
      <c r="R12" s="172"/>
      <c r="S12" s="28">
        <v>0.27638888888888891</v>
      </c>
      <c r="T12" s="28">
        <v>0.375</v>
      </c>
      <c r="U12" s="4">
        <f t="shared" ref="U12" si="12">IF(S12=TIME(17,0,0),"",(S12-T11)*24*60)</f>
        <v>7.9999999999999716</v>
      </c>
      <c r="V12" s="22">
        <f t="shared" si="11"/>
        <v>141.99999999999997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7"/>
        <v>-68.873239436619315</v>
      </c>
      <c r="AF12" s="21">
        <f t="shared" si="8"/>
        <v>0.95408450704225378</v>
      </c>
      <c r="AG12" s="172"/>
    </row>
    <row r="13" spans="1:33" ht="16.5" customHeight="1">
      <c r="A13" s="200" t="s">
        <v>49</v>
      </c>
      <c r="B13" s="37" t="s">
        <v>1459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0"/>
        <v>83.333333333333329</v>
      </c>
      <c r="L13" s="30">
        <v>18</v>
      </c>
      <c r="M13" s="18">
        <f>AVERAGE(M11:M12)</f>
        <v>1429.5633802816901</v>
      </c>
      <c r="N13" s="17">
        <f t="shared" si="2"/>
        <v>79.420187793427232</v>
      </c>
      <c r="O13" s="19">
        <f t="shared" si="3"/>
        <v>0</v>
      </c>
      <c r="P13" s="20">
        <f t="shared" si="4"/>
        <v>-3.9131455399060968</v>
      </c>
      <c r="Q13" s="21">
        <f t="shared" si="5"/>
        <v>0.95304225352112681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7"/>
        <v>-70.436619718309885</v>
      </c>
      <c r="AF13" s="21">
        <f t="shared" si="8"/>
        <v>0.9530422535211267</v>
      </c>
      <c r="AG13" s="172"/>
    </row>
    <row r="14" spans="1:33" ht="16.5" customHeight="1">
      <c r="A14" s="198" t="s">
        <v>52</v>
      </c>
      <c r="B14" s="4" t="s">
        <v>87</v>
      </c>
      <c r="C14" s="190" t="s">
        <v>88</v>
      </c>
      <c r="D14" s="190"/>
      <c r="E14" s="37">
        <v>41</v>
      </c>
      <c r="F14" s="4">
        <v>2188</v>
      </c>
      <c r="G14" s="4">
        <v>89708</v>
      </c>
      <c r="H14" s="22" t="s">
        <v>139</v>
      </c>
      <c r="I14" s="16">
        <v>26</v>
      </c>
      <c r="J14" s="18">
        <v>1500</v>
      </c>
      <c r="K14" s="17">
        <f t="shared" si="0"/>
        <v>57.692307692307693</v>
      </c>
      <c r="L14" s="16">
        <v>26</v>
      </c>
      <c r="M14" s="18">
        <f t="shared" ref="M14:M19" si="13">F14/V14*60</f>
        <v>1442.637362637362</v>
      </c>
      <c r="N14" s="17">
        <f t="shared" si="2"/>
        <v>55.486052409129307</v>
      </c>
      <c r="O14" s="19">
        <f t="shared" si="3"/>
        <v>0</v>
      </c>
      <c r="P14" s="20">
        <f t="shared" si="4"/>
        <v>-2.2062552831783862</v>
      </c>
      <c r="Q14" s="21">
        <f t="shared" si="5"/>
        <v>0.96175824175824132</v>
      </c>
      <c r="R14" s="172">
        <f>Q20</f>
        <v>0.9625727190314709</v>
      </c>
      <c r="S14" s="28">
        <v>0.20833333333333334</v>
      </c>
      <c r="T14" s="28">
        <v>0.27152777777777781</v>
      </c>
      <c r="U14" s="4"/>
      <c r="V14" s="22">
        <f t="shared" ref="V14:V19" si="14">(T14-S14)*24*60</f>
        <v>91.000000000000043</v>
      </c>
      <c r="W14" s="28"/>
      <c r="X14" s="28"/>
      <c r="Y14" s="28"/>
      <c r="Z14" s="28"/>
      <c r="AA14" s="164"/>
      <c r="AB14" s="164"/>
      <c r="AC14" s="25">
        <v>6</v>
      </c>
      <c r="AD14" s="25"/>
      <c r="AE14" s="19">
        <f t="shared" si="7"/>
        <v>-57.362637362637997</v>
      </c>
      <c r="AF14" s="21">
        <f t="shared" si="8"/>
        <v>0.96175824175824132</v>
      </c>
      <c r="AG14" s="172">
        <f>AF20</f>
        <v>0.96257271903147079</v>
      </c>
    </row>
    <row r="15" spans="1:33" ht="16.5" customHeight="1">
      <c r="A15" s="199" t="s">
        <v>1460</v>
      </c>
      <c r="B15" s="4" t="s">
        <v>89</v>
      </c>
      <c r="C15" s="190" t="s">
        <v>90</v>
      </c>
      <c r="D15" s="190"/>
      <c r="E15" s="37">
        <v>72.400000000000006</v>
      </c>
      <c r="F15" s="4">
        <v>592</v>
      </c>
      <c r="G15" s="4">
        <v>42860.800000000003</v>
      </c>
      <c r="H15" s="22" t="s">
        <v>139</v>
      </c>
      <c r="I15" s="16">
        <v>18</v>
      </c>
      <c r="J15" s="18">
        <v>1500</v>
      </c>
      <c r="K15" s="17">
        <f t="shared" si="0"/>
        <v>83.333333333333329</v>
      </c>
      <c r="L15" s="16">
        <v>18</v>
      </c>
      <c r="M15" s="18">
        <f t="shared" si="13"/>
        <v>1480.0000000000005</v>
      </c>
      <c r="N15" s="17">
        <f t="shared" si="2"/>
        <v>82.222222222222243</v>
      </c>
      <c r="O15" s="19">
        <f t="shared" si="3"/>
        <v>0</v>
      </c>
      <c r="P15" s="20">
        <f t="shared" si="4"/>
        <v>-1.1111111111110858</v>
      </c>
      <c r="Q15" s="21">
        <f t="shared" si="5"/>
        <v>0.98666666666666691</v>
      </c>
      <c r="R15" s="172"/>
      <c r="S15" s="28">
        <v>0.27569444444444446</v>
      </c>
      <c r="T15" s="28">
        <v>0.29236111111111113</v>
      </c>
      <c r="U15" s="4">
        <f t="shared" ref="U15:U19" si="15">IF(S15=TIME(17,0,0),"",(S15-T14)*24*60)</f>
        <v>5.9999999999999787</v>
      </c>
      <c r="V15" s="22">
        <f t="shared" si="14"/>
        <v>23.999999999999993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7"/>
        <v>-19.999999999999545</v>
      </c>
      <c r="AF15" s="21">
        <f t="shared" si="8"/>
        <v>0.98666666666666702</v>
      </c>
      <c r="AG15" s="172"/>
    </row>
    <row r="16" spans="1:33" ht="16.5" customHeight="1">
      <c r="A16" s="199" t="s">
        <v>52</v>
      </c>
      <c r="B16" s="4" t="s">
        <v>78</v>
      </c>
      <c r="C16" s="190" t="s">
        <v>91</v>
      </c>
      <c r="D16" s="190"/>
      <c r="E16" s="37">
        <v>50.98</v>
      </c>
      <c r="F16" s="4">
        <v>2256</v>
      </c>
      <c r="G16" s="4">
        <v>115010.87999999999</v>
      </c>
      <c r="H16" s="22" t="s">
        <v>139</v>
      </c>
      <c r="I16" s="16">
        <v>16</v>
      </c>
      <c r="J16" s="18">
        <v>2000</v>
      </c>
      <c r="K16" s="17">
        <f t="shared" si="0"/>
        <v>125</v>
      </c>
      <c r="L16" s="16">
        <v>16</v>
      </c>
      <c r="M16" s="18">
        <f t="shared" si="13"/>
        <v>1906.4788732394347</v>
      </c>
      <c r="N16" s="17">
        <f t="shared" si="2"/>
        <v>119.15492957746467</v>
      </c>
      <c r="O16" s="19">
        <f t="shared" si="3"/>
        <v>0</v>
      </c>
      <c r="P16" s="20">
        <f t="shared" si="4"/>
        <v>-5.8450704225353292</v>
      </c>
      <c r="Q16" s="21">
        <f t="shared" si="5"/>
        <v>0.95323943661971733</v>
      </c>
      <c r="R16" s="172"/>
      <c r="S16" s="28">
        <v>0.70833333333333337</v>
      </c>
      <c r="T16" s="28">
        <v>0.75763888888888897</v>
      </c>
      <c r="U16" s="4" t="str">
        <f t="shared" si="15"/>
        <v/>
      </c>
      <c r="V16" s="22">
        <f t="shared" si="14"/>
        <v>71.000000000000071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-93.521126760565267</v>
      </c>
      <c r="AF16" s="21">
        <f t="shared" si="8"/>
        <v>0.95323943661971733</v>
      </c>
      <c r="AG16" s="172"/>
    </row>
    <row r="17" spans="1:33" ht="16.5" customHeight="1">
      <c r="A17" s="199" t="s">
        <v>52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v>40736</v>
      </c>
      <c r="H17" s="22">
        <v>2</v>
      </c>
      <c r="I17" s="16">
        <v>15</v>
      </c>
      <c r="J17" s="18">
        <v>2000</v>
      </c>
      <c r="K17" s="17">
        <f t="shared" si="0"/>
        <v>133.33333333333334</v>
      </c>
      <c r="L17" s="16">
        <v>15</v>
      </c>
      <c r="M17" s="18">
        <f t="shared" si="13"/>
        <v>1919.9999999999945</v>
      </c>
      <c r="N17" s="17">
        <f t="shared" si="2"/>
        <v>127.99999999999963</v>
      </c>
      <c r="O17" s="19">
        <f t="shared" si="3"/>
        <v>0</v>
      </c>
      <c r="P17" s="20">
        <f t="shared" si="4"/>
        <v>-5.3333333333337123</v>
      </c>
      <c r="Q17" s="21">
        <f t="shared" si="5"/>
        <v>0.95999999999999719</v>
      </c>
      <c r="R17" s="172"/>
      <c r="S17" s="28">
        <v>0.76250000000000007</v>
      </c>
      <c r="T17" s="28">
        <v>0.77986111111111123</v>
      </c>
      <c r="U17" s="4">
        <f t="shared" si="15"/>
        <v>6.9999999999999751</v>
      </c>
      <c r="V17" s="22">
        <f t="shared" si="14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-80.000000000005457</v>
      </c>
      <c r="AF17" s="21">
        <f t="shared" si="8"/>
        <v>0.9599999999999973</v>
      </c>
      <c r="AG17" s="172"/>
    </row>
    <row r="18" spans="1:33" ht="16.5" customHeight="1">
      <c r="A18" s="199" t="s">
        <v>52</v>
      </c>
      <c r="B18" s="4" t="s">
        <v>78</v>
      </c>
      <c r="C18" s="190" t="s">
        <v>93</v>
      </c>
      <c r="D18" s="190"/>
      <c r="E18" s="37">
        <v>50.67</v>
      </c>
      <c r="F18" s="4">
        <v>1340</v>
      </c>
      <c r="G18" s="4">
        <v>67897.8</v>
      </c>
      <c r="H18" s="22" t="s">
        <v>139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1914.2857142857138</v>
      </c>
      <c r="N18" s="17">
        <f t="shared" si="2"/>
        <v>127.61904761904758</v>
      </c>
      <c r="O18" s="19">
        <f t="shared" si="3"/>
        <v>0</v>
      </c>
      <c r="P18" s="20">
        <f t="shared" si="4"/>
        <v>-5.714285714285765</v>
      </c>
      <c r="Q18" s="21">
        <f t="shared" si="5"/>
        <v>0.95714285714285674</v>
      </c>
      <c r="R18" s="172"/>
      <c r="S18" s="28">
        <v>0.78472222222222232</v>
      </c>
      <c r="T18" s="28">
        <v>0.81388888888888899</v>
      </c>
      <c r="U18" s="4">
        <f t="shared" si="15"/>
        <v>6.9999999999999751</v>
      </c>
      <c r="V18" s="22">
        <f t="shared" si="14"/>
        <v>42.000000000000014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-85.714285714286234</v>
      </c>
      <c r="AF18" s="21">
        <f t="shared" si="8"/>
        <v>0.95714285714285685</v>
      </c>
      <c r="AG18" s="172"/>
    </row>
    <row r="19" spans="1:33" ht="16.5" customHeight="1">
      <c r="A19" s="199" t="s">
        <v>52</v>
      </c>
      <c r="B19" s="4" t="s">
        <v>78</v>
      </c>
      <c r="C19" s="217" t="s">
        <v>94</v>
      </c>
      <c r="D19" s="218"/>
      <c r="E19" s="37">
        <v>57.3</v>
      </c>
      <c r="F19" s="4">
        <v>1572</v>
      </c>
      <c r="G19" s="4">
        <v>90075.599999999991</v>
      </c>
      <c r="H19" s="22" t="s">
        <v>139</v>
      </c>
      <c r="I19" s="16">
        <v>13</v>
      </c>
      <c r="J19" s="18">
        <v>2000</v>
      </c>
      <c r="K19" s="17">
        <f t="shared" si="0"/>
        <v>153.84615384615384</v>
      </c>
      <c r="L19" s="16">
        <v>13</v>
      </c>
      <c r="M19" s="18">
        <f t="shared" si="13"/>
        <v>1924.8979591836742</v>
      </c>
      <c r="N19" s="17">
        <f t="shared" si="2"/>
        <v>148.06907378335956</v>
      </c>
      <c r="O19" s="19">
        <f t="shared" si="3"/>
        <v>0</v>
      </c>
      <c r="P19" s="20">
        <f t="shared" si="4"/>
        <v>-5.7770800627942833</v>
      </c>
      <c r="Q19" s="21">
        <f t="shared" si="5"/>
        <v>0.96244897959183717</v>
      </c>
      <c r="R19" s="172"/>
      <c r="S19" s="28">
        <v>0.81944444444444453</v>
      </c>
      <c r="T19" s="28">
        <v>0.8534722222222223</v>
      </c>
      <c r="U19" s="4">
        <f t="shared" si="15"/>
        <v>7.9999999999999716</v>
      </c>
      <c r="V19" s="22">
        <f t="shared" si="14"/>
        <v>48.999999999999986</v>
      </c>
      <c r="W19" s="23"/>
      <c r="X19" s="23"/>
      <c r="Y19" s="26"/>
      <c r="Z19" s="26"/>
      <c r="AA19" s="175"/>
      <c r="AB19" s="176"/>
      <c r="AC19" s="25"/>
      <c r="AD19" s="25"/>
      <c r="AE19" s="19">
        <f t="shared" si="7"/>
        <v>-75.102040816325825</v>
      </c>
      <c r="AF19" s="21">
        <f t="shared" si="8"/>
        <v>0.96244897959183706</v>
      </c>
      <c r="AG19" s="172"/>
    </row>
    <row r="20" spans="1:33" ht="16.5" customHeight="1">
      <c r="A20" s="199" t="s">
        <v>52</v>
      </c>
      <c r="B20" s="37" t="s">
        <v>48</v>
      </c>
      <c r="C20" s="177"/>
      <c r="D20" s="177"/>
      <c r="E20" s="38"/>
      <c r="F20" s="17"/>
      <c r="G20" s="17"/>
      <c r="H20" s="4"/>
      <c r="I20" s="30">
        <v>17.166666666666668</v>
      </c>
      <c r="J20" s="18">
        <v>1833.3333333333333</v>
      </c>
      <c r="K20" s="17">
        <f t="shared" si="0"/>
        <v>106.79611650485435</v>
      </c>
      <c r="L20" s="30">
        <v>17.166666666666668</v>
      </c>
      <c r="M20" s="18">
        <f>AVERAGE(M14:M19)</f>
        <v>1764.7166515576964</v>
      </c>
      <c r="N20" s="17">
        <f t="shared" si="2"/>
        <v>102.7990282460794</v>
      </c>
      <c r="O20" s="19">
        <f t="shared" si="3"/>
        <v>0</v>
      </c>
      <c r="P20" s="20">
        <f t="shared" si="4"/>
        <v>-3.9970882587749514</v>
      </c>
      <c r="Q20" s="21">
        <f t="shared" si="5"/>
        <v>0.9625727190314709</v>
      </c>
      <c r="R20" s="172"/>
      <c r="S20" s="28"/>
      <c r="T20" s="28"/>
      <c r="U20" s="4"/>
      <c r="V20" s="22"/>
      <c r="W20" s="17"/>
      <c r="X20" s="17"/>
      <c r="Y20" s="31">
        <f>SUM(Y14:Y19)</f>
        <v>0</v>
      </c>
      <c r="Z20" s="31">
        <f>SUM(Z14:Z19)</f>
        <v>0</v>
      </c>
      <c r="AA20" s="168"/>
      <c r="AB20" s="168"/>
      <c r="AC20" s="31">
        <v>6</v>
      </c>
      <c r="AD20" s="31">
        <f>SUM(AD14:AD19)</f>
        <v>0</v>
      </c>
      <c r="AE20" s="19">
        <f t="shared" si="7"/>
        <v>-68.616681775636835</v>
      </c>
      <c r="AF20" s="21">
        <f t="shared" si="8"/>
        <v>0.96257271903147079</v>
      </c>
      <c r="AG20" s="172"/>
    </row>
    <row r="21" spans="1:33" ht="15.75" customHeight="1">
      <c r="A21" s="194" t="s">
        <v>58</v>
      </c>
      <c r="B21" s="37" t="s">
        <v>78</v>
      </c>
      <c r="C21" s="190" t="s">
        <v>95</v>
      </c>
      <c r="D21" s="190"/>
      <c r="E21" s="37">
        <v>57.73</v>
      </c>
      <c r="F21" s="4">
        <v>2023</v>
      </c>
      <c r="G21" s="4">
        <v>116787.79</v>
      </c>
      <c r="H21" s="22" t="s">
        <v>139</v>
      </c>
      <c r="I21" s="16">
        <v>14</v>
      </c>
      <c r="J21" s="18">
        <v>2000</v>
      </c>
      <c r="K21" s="17">
        <f t="shared" si="0"/>
        <v>142.85714285714286</v>
      </c>
      <c r="L21" s="16">
        <v>14</v>
      </c>
      <c r="M21" s="18">
        <f t="shared" ref="M21:M26" si="16">F21/V21*60</f>
        <v>1926.6666666666672</v>
      </c>
      <c r="N21" s="17">
        <f t="shared" si="2"/>
        <v>137.61904761904765</v>
      </c>
      <c r="O21" s="19">
        <f t="shared" si="3"/>
        <v>0</v>
      </c>
      <c r="P21" s="20">
        <f t="shared" si="4"/>
        <v>-5.2380952380952124</v>
      </c>
      <c r="Q21" s="21">
        <f t="shared" si="5"/>
        <v>0.96333333333333349</v>
      </c>
      <c r="R21" s="172">
        <f>Q27</f>
        <v>0.9649463501393335</v>
      </c>
      <c r="S21" s="28">
        <v>0.20833333333333334</v>
      </c>
      <c r="T21" s="28">
        <v>0.25208333333333333</v>
      </c>
      <c r="U21" s="4"/>
      <c r="V21" s="22">
        <f t="shared" ref="V21:V26" si="17">(T21-S21)*24*60</f>
        <v>62.999999999999979</v>
      </c>
      <c r="W21" s="28"/>
      <c r="X21" s="28"/>
      <c r="Y21" s="28"/>
      <c r="Z21" s="28"/>
      <c r="AA21" s="164"/>
      <c r="AB21" s="164"/>
      <c r="AC21" s="25">
        <v>6</v>
      </c>
      <c r="AD21" s="25"/>
      <c r="AE21" s="19">
        <f t="shared" si="7"/>
        <v>-73.333333333332803</v>
      </c>
      <c r="AF21" s="21">
        <f t="shared" si="8"/>
        <v>0.9633333333333336</v>
      </c>
      <c r="AG21" s="172">
        <f>AF27</f>
        <v>0.9649463501393335</v>
      </c>
    </row>
    <row r="22" spans="1:33" ht="15.75" customHeight="1">
      <c r="A22" s="195" t="s">
        <v>1461</v>
      </c>
      <c r="B22" s="37" t="s">
        <v>78</v>
      </c>
      <c r="C22" s="190" t="s">
        <v>96</v>
      </c>
      <c r="D22" s="190"/>
      <c r="E22" s="37">
        <v>53.68</v>
      </c>
      <c r="F22" s="4">
        <v>1194</v>
      </c>
      <c r="G22" s="4">
        <v>64093.919999999998</v>
      </c>
      <c r="H22" s="22" t="s">
        <v>139</v>
      </c>
      <c r="I22" s="16">
        <v>16</v>
      </c>
      <c r="J22" s="18">
        <v>2000</v>
      </c>
      <c r="K22" s="17">
        <f t="shared" si="0"/>
        <v>125</v>
      </c>
      <c r="L22" s="16">
        <v>16</v>
      </c>
      <c r="M22" s="18">
        <f t="shared" si="16"/>
        <v>1936.2162162162147</v>
      </c>
      <c r="N22" s="17">
        <f t="shared" si="2"/>
        <v>121.01351351351342</v>
      </c>
      <c r="O22" s="19">
        <f t="shared" si="3"/>
        <v>0</v>
      </c>
      <c r="P22" s="20">
        <f t="shared" si="4"/>
        <v>-3.9864864864865837</v>
      </c>
      <c r="Q22" s="21">
        <f t="shared" si="5"/>
        <v>0.96810810810810732</v>
      </c>
      <c r="R22" s="172"/>
      <c r="S22" s="28">
        <v>0.25694444444444442</v>
      </c>
      <c r="T22" s="28">
        <v>0.28263888888888888</v>
      </c>
      <c r="U22" s="4">
        <f t="shared" ref="U22:U26" si="18">IF(S22=TIME(17,0,0),"",(S22-T21)*24*60)</f>
        <v>6.9999999999999751</v>
      </c>
      <c r="V22" s="22">
        <f t="shared" si="17"/>
        <v>37.000000000000028</v>
      </c>
      <c r="W22" s="23"/>
      <c r="X22" s="4"/>
      <c r="Y22" s="4"/>
      <c r="Z22" s="4"/>
      <c r="AA22" s="164"/>
      <c r="AB22" s="164"/>
      <c r="AC22" s="25"/>
      <c r="AD22" s="25"/>
      <c r="AE22" s="19">
        <f t="shared" si="7"/>
        <v>-63.783783783785339</v>
      </c>
      <c r="AF22" s="21">
        <f t="shared" si="8"/>
        <v>0.96810810810810732</v>
      </c>
      <c r="AG22" s="172"/>
    </row>
    <row r="23" spans="1:33" ht="15.75" customHeight="1">
      <c r="A23" s="195" t="s">
        <v>58</v>
      </c>
      <c r="B23" s="37" t="s">
        <v>78</v>
      </c>
      <c r="C23" s="190" t="s">
        <v>97</v>
      </c>
      <c r="D23" s="190"/>
      <c r="E23" s="37">
        <v>50.49</v>
      </c>
      <c r="F23" s="4">
        <v>1576</v>
      </c>
      <c r="G23" s="4">
        <v>79572.240000000005</v>
      </c>
      <c r="H23" s="22" t="s">
        <v>139</v>
      </c>
      <c r="I23" s="16">
        <v>15</v>
      </c>
      <c r="J23" s="18">
        <v>2000</v>
      </c>
      <c r="K23" s="17">
        <f t="shared" si="0"/>
        <v>133.33333333333334</v>
      </c>
      <c r="L23" s="16">
        <v>15</v>
      </c>
      <c r="M23" s="18">
        <f t="shared" si="16"/>
        <v>1929.7959183673477</v>
      </c>
      <c r="N23" s="17">
        <f t="shared" si="2"/>
        <v>128.65306122448985</v>
      </c>
      <c r="O23" s="19">
        <f t="shared" si="3"/>
        <v>0</v>
      </c>
      <c r="P23" s="20">
        <f t="shared" si="4"/>
        <v>-4.6802721088434964</v>
      </c>
      <c r="Q23" s="21">
        <f t="shared" si="5"/>
        <v>0.96489795918367383</v>
      </c>
      <c r="R23" s="172"/>
      <c r="S23" s="28">
        <v>0.70833333333333337</v>
      </c>
      <c r="T23" s="28">
        <v>0.74236111111111114</v>
      </c>
      <c r="U23" s="4" t="str">
        <f t="shared" si="18"/>
        <v/>
      </c>
      <c r="V23" s="22">
        <f t="shared" si="17"/>
        <v>48.999999999999986</v>
      </c>
      <c r="W23" s="23"/>
      <c r="X23" s="4"/>
      <c r="Y23" s="4"/>
      <c r="Z23" s="4"/>
      <c r="AA23" s="164"/>
      <c r="AB23" s="164"/>
      <c r="AC23" s="25"/>
      <c r="AD23" s="25"/>
      <c r="AE23" s="19">
        <f t="shared" si="7"/>
        <v>-70.204081632652333</v>
      </c>
      <c r="AF23" s="21">
        <f t="shared" si="8"/>
        <v>0.96489795918367383</v>
      </c>
      <c r="AG23" s="172"/>
    </row>
    <row r="24" spans="1:33" ht="15.75" customHeight="1">
      <c r="A24" s="195" t="s">
        <v>1462</v>
      </c>
      <c r="B24" s="37" t="s">
        <v>78</v>
      </c>
      <c r="C24" s="190" t="s">
        <v>98</v>
      </c>
      <c r="D24" s="190"/>
      <c r="E24" s="37">
        <v>50.67</v>
      </c>
      <c r="F24" s="4">
        <v>815</v>
      </c>
      <c r="G24" s="4">
        <v>41296.050000000003</v>
      </c>
      <c r="H24" s="22" t="s">
        <v>139</v>
      </c>
      <c r="I24" s="16">
        <v>16</v>
      </c>
      <c r="J24" s="18">
        <v>2000</v>
      </c>
      <c r="K24" s="17">
        <f t="shared" si="0"/>
        <v>125</v>
      </c>
      <c r="L24" s="16">
        <v>16</v>
      </c>
      <c r="M24" s="18">
        <f t="shared" si="16"/>
        <v>1955.9999999999945</v>
      </c>
      <c r="N24" s="17">
        <f t="shared" si="2"/>
        <v>122.24999999999966</v>
      </c>
      <c r="O24" s="19">
        <f t="shared" si="3"/>
        <v>0</v>
      </c>
      <c r="P24" s="20">
        <f t="shared" si="4"/>
        <v>-2.7500000000003411</v>
      </c>
      <c r="Q24" s="21">
        <f t="shared" si="5"/>
        <v>0.97799999999999732</v>
      </c>
      <c r="R24" s="172"/>
      <c r="S24" s="28">
        <v>0.74791666666666667</v>
      </c>
      <c r="T24" s="28">
        <v>0.76527777777777783</v>
      </c>
      <c r="U24" s="4">
        <f t="shared" si="18"/>
        <v>7.9999999999999716</v>
      </c>
      <c r="V24" s="22">
        <f t="shared" si="17"/>
        <v>25.000000000000071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-44.000000000005457</v>
      </c>
      <c r="AF24" s="21">
        <f t="shared" si="8"/>
        <v>0.97799999999999732</v>
      </c>
      <c r="AG24" s="172"/>
    </row>
    <row r="25" spans="1:33" ht="15.75" customHeight="1">
      <c r="A25" s="195" t="s">
        <v>1461</v>
      </c>
      <c r="B25" s="37" t="s">
        <v>78</v>
      </c>
      <c r="C25" s="190" t="s">
        <v>99</v>
      </c>
      <c r="D25" s="190"/>
      <c r="E25" s="37">
        <v>53.68</v>
      </c>
      <c r="F25" s="4">
        <v>1693</v>
      </c>
      <c r="G25" s="4">
        <v>90880.24</v>
      </c>
      <c r="H25" s="22" t="s">
        <v>139</v>
      </c>
      <c r="I25" s="16">
        <v>16</v>
      </c>
      <c r="J25" s="18">
        <v>1500</v>
      </c>
      <c r="K25" s="17">
        <f t="shared" si="0"/>
        <v>93.75</v>
      </c>
      <c r="L25" s="16">
        <v>16</v>
      </c>
      <c r="M25" s="18">
        <f t="shared" si="16"/>
        <v>1430.7042253521113</v>
      </c>
      <c r="N25" s="17">
        <f t="shared" si="2"/>
        <v>89.419014084506955</v>
      </c>
      <c r="O25" s="19">
        <f t="shared" si="3"/>
        <v>0</v>
      </c>
      <c r="P25" s="20">
        <f t="shared" si="4"/>
        <v>-4.330985915493045</v>
      </c>
      <c r="Q25" s="21">
        <f t="shared" si="5"/>
        <v>0.95380281690140756</v>
      </c>
      <c r="R25" s="172"/>
      <c r="S25" s="28">
        <v>0.77083333333333337</v>
      </c>
      <c r="T25" s="28">
        <v>0.82013888888888897</v>
      </c>
      <c r="U25" s="4">
        <f t="shared" si="18"/>
        <v>7.9999999999999716</v>
      </c>
      <c r="V25" s="22">
        <f t="shared" si="17"/>
        <v>71.000000000000071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-69.29577464788872</v>
      </c>
      <c r="AF25" s="21">
        <f t="shared" si="8"/>
        <v>0.95380281690140756</v>
      </c>
      <c r="AG25" s="172"/>
    </row>
    <row r="26" spans="1:33" ht="15.75" customHeight="1">
      <c r="A26" s="195" t="s">
        <v>1462</v>
      </c>
      <c r="B26" s="37" t="s">
        <v>78</v>
      </c>
      <c r="C26" s="190" t="s">
        <v>92</v>
      </c>
      <c r="D26" s="190"/>
      <c r="E26" s="37">
        <v>50.92</v>
      </c>
      <c r="F26" s="4">
        <v>1534</v>
      </c>
      <c r="G26" s="4">
        <v>78111.28</v>
      </c>
      <c r="H26" s="22" t="s">
        <v>139</v>
      </c>
      <c r="I26" s="16">
        <v>15</v>
      </c>
      <c r="J26" s="18">
        <v>2000</v>
      </c>
      <c r="K26" s="17">
        <f t="shared" si="0"/>
        <v>133.33333333333334</v>
      </c>
      <c r="L26" s="16">
        <v>15</v>
      </c>
      <c r="M26" s="18">
        <f t="shared" si="16"/>
        <v>1917.5000000000005</v>
      </c>
      <c r="N26" s="17">
        <f t="shared" si="2"/>
        <v>127.83333333333336</v>
      </c>
      <c r="O26" s="19">
        <f t="shared" si="3"/>
        <v>0</v>
      </c>
      <c r="P26" s="20">
        <f t="shared" si="4"/>
        <v>-5.4999999999999858</v>
      </c>
      <c r="Q26" s="21">
        <f t="shared" si="5"/>
        <v>0.9587500000000001</v>
      </c>
      <c r="R26" s="172"/>
      <c r="S26" s="28">
        <v>0.82361111111111118</v>
      </c>
      <c r="T26" s="28">
        <v>0.85694444444444451</v>
      </c>
      <c r="U26" s="4">
        <f t="shared" si="18"/>
        <v>4.9999999999999822</v>
      </c>
      <c r="V26" s="22">
        <f t="shared" si="17"/>
        <v>47.999999999999986</v>
      </c>
      <c r="W26" s="23"/>
      <c r="X26" s="28"/>
      <c r="Y26" s="28"/>
      <c r="Z26" s="28"/>
      <c r="AA26" s="164"/>
      <c r="AB26" s="164"/>
      <c r="AC26" s="25"/>
      <c r="AD26" s="25"/>
      <c r="AE26" s="19">
        <f t="shared" si="7"/>
        <v>-82.499999999999545</v>
      </c>
      <c r="AF26" s="21">
        <f t="shared" si="8"/>
        <v>0.95875000000000021</v>
      </c>
      <c r="AG26" s="172"/>
    </row>
    <row r="27" spans="1:33" ht="15.75" customHeight="1">
      <c r="A27" s="195" t="s">
        <v>58</v>
      </c>
      <c r="B27" s="37" t="s">
        <v>48</v>
      </c>
      <c r="C27" s="177"/>
      <c r="D27" s="177"/>
      <c r="E27" s="38"/>
      <c r="F27" s="4"/>
      <c r="G27" s="4"/>
      <c r="H27" s="4"/>
      <c r="I27" s="30">
        <v>15.333333333333334</v>
      </c>
      <c r="J27" s="18">
        <v>1916.6666666666667</v>
      </c>
      <c r="K27" s="17">
        <f t="shared" si="0"/>
        <v>125</v>
      </c>
      <c r="L27" s="30">
        <v>15.333333333333334</v>
      </c>
      <c r="M27" s="18">
        <f>AVERAGE(M21:M26)</f>
        <v>1849.4805044337227</v>
      </c>
      <c r="N27" s="17">
        <f t="shared" si="2"/>
        <v>120.61829376741669</v>
      </c>
      <c r="O27" s="19">
        <f t="shared" si="3"/>
        <v>0</v>
      </c>
      <c r="P27" s="20">
        <f t="shared" si="4"/>
        <v>-4.381706232583312</v>
      </c>
      <c r="Q27" s="21">
        <f t="shared" si="5"/>
        <v>0.9649463501393335</v>
      </c>
      <c r="R27" s="172"/>
      <c r="S27" s="28"/>
      <c r="T27" s="28"/>
      <c r="U27" s="17"/>
      <c r="V27" s="22"/>
      <c r="W27" s="17"/>
      <c r="X27" s="17"/>
      <c r="Y27" s="31">
        <f>SUM(Y21:Y26)</f>
        <v>0</v>
      </c>
      <c r="Z27" s="31">
        <f>SUM(Z21:Z26)</f>
        <v>0</v>
      </c>
      <c r="AA27" s="168"/>
      <c r="AB27" s="168"/>
      <c r="AC27" s="31">
        <v>6</v>
      </c>
      <c r="AD27" s="31">
        <f>SUM(AD21:AD26)</f>
        <v>0</v>
      </c>
      <c r="AE27" s="19">
        <f t="shared" si="7"/>
        <v>-67.186162232944071</v>
      </c>
      <c r="AF27" s="21">
        <f t="shared" si="8"/>
        <v>0.9649463501393335</v>
      </c>
      <c r="AG27" s="172"/>
    </row>
    <row r="28" spans="1:33" ht="15.75" customHeight="1">
      <c r="A28" s="193" t="s">
        <v>61</v>
      </c>
      <c r="B28" s="37" t="s">
        <v>100</v>
      </c>
      <c r="C28" s="190" t="s">
        <v>101</v>
      </c>
      <c r="D28" s="190"/>
      <c r="E28" s="37">
        <v>31.29</v>
      </c>
      <c r="F28" s="4">
        <v>7493</v>
      </c>
      <c r="G28" s="4">
        <v>234455.97</v>
      </c>
      <c r="H28" s="22" t="s">
        <v>139</v>
      </c>
      <c r="I28" s="16">
        <v>18</v>
      </c>
      <c r="J28" s="18">
        <v>2400</v>
      </c>
      <c r="K28" s="17">
        <f t="shared" si="0"/>
        <v>133.33333333333334</v>
      </c>
      <c r="L28" s="16">
        <v>18</v>
      </c>
      <c r="M28" s="18">
        <f t="shared" ref="M28:M32" si="19">F28/V28*60</f>
        <v>2293.7755102040824</v>
      </c>
      <c r="N28" s="17">
        <f t="shared" si="2"/>
        <v>127.43197278911569</v>
      </c>
      <c r="O28" s="19">
        <f t="shared" si="3"/>
        <v>0</v>
      </c>
      <c r="P28" s="20">
        <f t="shared" si="4"/>
        <v>-5.9013605442176527</v>
      </c>
      <c r="Q28" s="21">
        <f t="shared" si="5"/>
        <v>0.95573979591836766</v>
      </c>
      <c r="R28" s="172">
        <f>Q33</f>
        <v>0.95702864886734418</v>
      </c>
      <c r="S28" s="28">
        <v>0.125</v>
      </c>
      <c r="T28" s="28">
        <v>0.26111111111111107</v>
      </c>
      <c r="U28" s="4"/>
      <c r="V28" s="22">
        <f t="shared" ref="V28:V32" si="20">(T28-S28)*24*60</f>
        <v>195.99999999999994</v>
      </c>
      <c r="W28" s="23">
        <f>T28</f>
        <v>0.26111111111111107</v>
      </c>
      <c r="X28" s="23">
        <f>S29</f>
        <v>0.27986111111111106</v>
      </c>
      <c r="Y28" s="23"/>
      <c r="Z28" s="23"/>
      <c r="AA28" s="164"/>
      <c r="AB28" s="164"/>
      <c r="AC28" s="25">
        <v>5</v>
      </c>
      <c r="AD28" s="25"/>
      <c r="AE28" s="19">
        <f t="shared" si="7"/>
        <v>-106.22448979591763</v>
      </c>
      <c r="AF28" s="21">
        <f t="shared" si="8"/>
        <v>0.95573979591836766</v>
      </c>
      <c r="AG28" s="172">
        <f>AF33</f>
        <v>0.95702864886734418</v>
      </c>
    </row>
    <row r="29" spans="1:33" ht="15.75" customHeight="1">
      <c r="A29" s="193" t="s">
        <v>1463</v>
      </c>
      <c r="B29" s="37" t="s">
        <v>100</v>
      </c>
      <c r="C29" s="190" t="s">
        <v>102</v>
      </c>
      <c r="D29" s="190"/>
      <c r="E29" s="37">
        <v>26.2</v>
      </c>
      <c r="F29" s="4">
        <v>3907</v>
      </c>
      <c r="G29" s="4">
        <v>102363.4</v>
      </c>
      <c r="H29" s="22" t="s">
        <v>139</v>
      </c>
      <c r="I29" s="16">
        <v>20</v>
      </c>
      <c r="J29" s="18">
        <v>2400</v>
      </c>
      <c r="K29" s="17">
        <f t="shared" si="0"/>
        <v>120</v>
      </c>
      <c r="L29" s="16">
        <v>20</v>
      </c>
      <c r="M29" s="18">
        <f t="shared" si="19"/>
        <v>2298.2352941176464</v>
      </c>
      <c r="N29" s="17">
        <f t="shared" si="2"/>
        <v>114.91176470588232</v>
      </c>
      <c r="O29" s="19">
        <f t="shared" si="3"/>
        <v>0</v>
      </c>
      <c r="P29" s="20">
        <f t="shared" si="4"/>
        <v>-5.0882352941176805</v>
      </c>
      <c r="Q29" s="21">
        <f t="shared" si="5"/>
        <v>0.95759803921568598</v>
      </c>
      <c r="R29" s="172"/>
      <c r="S29" s="28">
        <v>0.27986111111111106</v>
      </c>
      <c r="T29" s="28">
        <v>0.35069444444444442</v>
      </c>
      <c r="U29" s="4">
        <f t="shared" ref="U29:U32" si="21">(S29-T28)*24*60</f>
        <v>26.999999999999986</v>
      </c>
      <c r="V29" s="22">
        <f t="shared" si="20"/>
        <v>102.00000000000004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7"/>
        <v>-101.76470588235361</v>
      </c>
      <c r="AF29" s="21">
        <f t="shared" si="8"/>
        <v>0.95759803921568598</v>
      </c>
      <c r="AG29" s="172"/>
    </row>
    <row r="30" spans="1:33" ht="15.75" customHeight="1">
      <c r="A30" s="193" t="s">
        <v>61</v>
      </c>
      <c r="B30" s="37" t="s">
        <v>100</v>
      </c>
      <c r="C30" s="190" t="s">
        <v>103</v>
      </c>
      <c r="D30" s="190"/>
      <c r="E30" s="37">
        <v>25.99</v>
      </c>
      <c r="F30" s="4">
        <v>2979</v>
      </c>
      <c r="G30" s="4">
        <v>77424.209999999992</v>
      </c>
      <c r="H30" s="22" t="s">
        <v>139</v>
      </c>
      <c r="I30" s="16">
        <v>14</v>
      </c>
      <c r="J30" s="18">
        <v>2400</v>
      </c>
      <c r="K30" s="17">
        <f t="shared" si="0"/>
        <v>171.42857142857142</v>
      </c>
      <c r="L30" s="16">
        <v>14</v>
      </c>
      <c r="M30" s="18">
        <f t="shared" si="19"/>
        <v>2291.5384615384605</v>
      </c>
      <c r="N30" s="17">
        <f t="shared" si="2"/>
        <v>163.6813186813186</v>
      </c>
      <c r="O30" s="19">
        <f t="shared" si="3"/>
        <v>0</v>
      </c>
      <c r="P30" s="20">
        <f t="shared" si="4"/>
        <v>-7.7472527472528157</v>
      </c>
      <c r="Q30" s="21">
        <f t="shared" si="5"/>
        <v>0.95480769230769191</v>
      </c>
      <c r="R30" s="172"/>
      <c r="S30" s="28">
        <v>0.35555555555555551</v>
      </c>
      <c r="T30" s="28">
        <v>0.40972222222222221</v>
      </c>
      <c r="U30" s="4">
        <f t="shared" si="21"/>
        <v>6.9999999999999751</v>
      </c>
      <c r="V30" s="22">
        <f t="shared" si="20"/>
        <v>78.000000000000043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7"/>
        <v>-108.46153846153948</v>
      </c>
      <c r="AF30" s="21">
        <f t="shared" si="8"/>
        <v>0.95480769230769191</v>
      </c>
      <c r="AG30" s="172"/>
    </row>
    <row r="31" spans="1:33" ht="15.75" customHeight="1">
      <c r="A31" s="193" t="s">
        <v>1463</v>
      </c>
      <c r="B31" s="37" t="s">
        <v>100</v>
      </c>
      <c r="C31" s="190" t="s">
        <v>105</v>
      </c>
      <c r="D31" s="190"/>
      <c r="E31" s="37">
        <v>25.98</v>
      </c>
      <c r="F31" s="4">
        <v>2306</v>
      </c>
      <c r="G31" s="4">
        <v>59909.88</v>
      </c>
      <c r="H31" s="22" t="s">
        <v>139</v>
      </c>
      <c r="I31" s="16">
        <v>21</v>
      </c>
      <c r="J31" s="18">
        <v>2400</v>
      </c>
      <c r="K31" s="17">
        <f t="shared" si="0"/>
        <v>114.28571428571429</v>
      </c>
      <c r="L31" s="16">
        <v>21</v>
      </c>
      <c r="M31" s="18">
        <f t="shared" si="19"/>
        <v>2305.9999999999991</v>
      </c>
      <c r="N31" s="17">
        <f t="shared" si="2"/>
        <v>109.80952380952377</v>
      </c>
      <c r="O31" s="19">
        <f t="shared" si="3"/>
        <v>0</v>
      </c>
      <c r="P31" s="20">
        <f t="shared" si="4"/>
        <v>-4.4761904761905242</v>
      </c>
      <c r="Q31" s="21">
        <f t="shared" si="5"/>
        <v>0.96083333333333287</v>
      </c>
      <c r="R31" s="172"/>
      <c r="S31" s="28">
        <v>0.41319444444444442</v>
      </c>
      <c r="T31" s="28">
        <v>0.4548611111111111</v>
      </c>
      <c r="U31" s="4">
        <f t="shared" si="21"/>
        <v>4.9999999999999822</v>
      </c>
      <c r="V31" s="22">
        <f t="shared" si="20"/>
        <v>60.000000000000028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-94.000000000000909</v>
      </c>
      <c r="AF31" s="21">
        <f t="shared" si="8"/>
        <v>0.96083333333333298</v>
      </c>
      <c r="AG31" s="172"/>
    </row>
    <row r="32" spans="1:33" ht="15.75" customHeight="1">
      <c r="A32" s="193" t="s">
        <v>61</v>
      </c>
      <c r="B32" s="37" t="s">
        <v>100</v>
      </c>
      <c r="C32" s="190" t="s">
        <v>104</v>
      </c>
      <c r="D32" s="190"/>
      <c r="E32" s="37">
        <v>20.52</v>
      </c>
      <c r="F32" s="4">
        <v>2792</v>
      </c>
      <c r="G32" s="4">
        <v>57291.839999999997</v>
      </c>
      <c r="H32" s="22" t="s">
        <v>139</v>
      </c>
      <c r="I32" s="16">
        <v>18</v>
      </c>
      <c r="J32" s="18">
        <v>2400</v>
      </c>
      <c r="K32" s="17">
        <f t="shared" si="0"/>
        <v>133.33333333333334</v>
      </c>
      <c r="L32" s="16">
        <v>18</v>
      </c>
      <c r="M32" s="18">
        <f t="shared" si="19"/>
        <v>2294.7945205479455</v>
      </c>
      <c r="N32" s="17">
        <f t="shared" si="2"/>
        <v>127.48858447488585</v>
      </c>
      <c r="O32" s="19">
        <f t="shared" si="3"/>
        <v>0</v>
      </c>
      <c r="P32" s="20">
        <f t="shared" si="4"/>
        <v>-5.8447488584474883</v>
      </c>
      <c r="Q32" s="21">
        <f t="shared" si="5"/>
        <v>0.95616438356164379</v>
      </c>
      <c r="R32" s="172"/>
      <c r="S32" s="28">
        <v>0.45902777777777776</v>
      </c>
      <c r="T32" s="28">
        <v>0.50972222222222219</v>
      </c>
      <c r="U32" s="4">
        <f t="shared" si="21"/>
        <v>5.9999999999999787</v>
      </c>
      <c r="V32" s="22">
        <f t="shared" si="20"/>
        <v>72.999999999999986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-105.20547945205453</v>
      </c>
      <c r="AF32" s="21">
        <f t="shared" si="8"/>
        <v>0.9561643835616439</v>
      </c>
      <c r="AG32" s="172"/>
    </row>
    <row r="33" spans="1:33" ht="15.75" customHeight="1">
      <c r="A33" s="193" t="s">
        <v>1464</v>
      </c>
      <c r="B33" s="37" t="s">
        <v>1459</v>
      </c>
      <c r="C33" s="177"/>
      <c r="D33" s="177"/>
      <c r="E33" s="38"/>
      <c r="F33" s="4"/>
      <c r="G33" s="4"/>
      <c r="H33" s="4"/>
      <c r="I33" s="30">
        <v>18.2</v>
      </c>
      <c r="J33" s="18">
        <v>2400</v>
      </c>
      <c r="K33" s="17">
        <f t="shared" si="0"/>
        <v>131.86813186813188</v>
      </c>
      <c r="L33" s="30">
        <v>18.2</v>
      </c>
      <c r="M33" s="18">
        <f>AVERAGE(M28:M32)</f>
        <v>2296.8687572816261</v>
      </c>
      <c r="N33" s="17">
        <f t="shared" si="2"/>
        <v>126.20158007041903</v>
      </c>
      <c r="O33" s="19">
        <f t="shared" si="3"/>
        <v>0</v>
      </c>
      <c r="P33" s="20">
        <f t="shared" si="4"/>
        <v>-5.6665517977128559</v>
      </c>
      <c r="Q33" s="21">
        <f t="shared" si="5"/>
        <v>0.95702864886734418</v>
      </c>
      <c r="R33" s="172"/>
      <c r="S33" s="28"/>
      <c r="T33" s="28"/>
      <c r="U33" s="4"/>
      <c r="V33" s="22"/>
      <c r="W33" s="4"/>
      <c r="X33" s="4"/>
      <c r="Y33" s="31">
        <f>SUM(Y28:Y32)</f>
        <v>0</v>
      </c>
      <c r="Z33" s="31">
        <f>SUM(Z28:Z32)</f>
        <v>0</v>
      </c>
      <c r="AA33" s="168"/>
      <c r="AB33" s="168"/>
      <c r="AC33" s="31">
        <v>5</v>
      </c>
      <c r="AD33" s="31">
        <f>SUM(AD28:AD32)</f>
        <v>0</v>
      </c>
      <c r="AE33" s="19">
        <f t="shared" si="7"/>
        <v>-103.13124271837387</v>
      </c>
      <c r="AF33" s="21">
        <f t="shared" si="8"/>
        <v>0.95702864886734418</v>
      </c>
      <c r="AG33" s="172"/>
    </row>
    <row r="34" spans="1:33" ht="15.75" customHeight="1">
      <c r="A34" s="191" t="s">
        <v>64</v>
      </c>
      <c r="B34" s="37" t="s">
        <v>100</v>
      </c>
      <c r="C34" s="165" t="s">
        <v>106</v>
      </c>
      <c r="D34" s="165"/>
      <c r="E34" s="37">
        <v>26.2</v>
      </c>
      <c r="F34" s="4">
        <v>5124</v>
      </c>
      <c r="G34" s="4">
        <v>134248.79999999999</v>
      </c>
      <c r="H34" s="22" t="s">
        <v>139</v>
      </c>
      <c r="I34" s="16">
        <v>18</v>
      </c>
      <c r="J34" s="18">
        <v>2400</v>
      </c>
      <c r="K34" s="17">
        <f t="shared" si="0"/>
        <v>133.33333333333334</v>
      </c>
      <c r="L34" s="16">
        <v>18</v>
      </c>
      <c r="M34" s="18">
        <f t="shared" ref="M34:M38" si="22">F34/V34*60</f>
        <v>2294.3283582089553</v>
      </c>
      <c r="N34" s="17">
        <f t="shared" si="2"/>
        <v>127.46268656716418</v>
      </c>
      <c r="O34" s="19">
        <f t="shared" si="3"/>
        <v>0</v>
      </c>
      <c r="P34" s="20">
        <f t="shared" si="4"/>
        <v>-5.870646766169159</v>
      </c>
      <c r="Q34" s="21">
        <f t="shared" si="5"/>
        <v>0.95597014925373136</v>
      </c>
      <c r="R34" s="172">
        <f>Q39</f>
        <v>0.95885577581598602</v>
      </c>
      <c r="S34" s="28">
        <v>0.125</v>
      </c>
      <c r="T34" s="28">
        <v>0.21805555555555556</v>
      </c>
      <c r="U34" s="4"/>
      <c r="V34" s="22">
        <f t="shared" ref="V34:V38" si="23">(T34-S34)*24*60</f>
        <v>134</v>
      </c>
      <c r="W34" s="28">
        <f>T34</f>
        <v>0.21805555555555556</v>
      </c>
      <c r="X34" s="28">
        <f>S35</f>
        <v>0.23819444444444446</v>
      </c>
      <c r="Y34" s="28"/>
      <c r="Z34" s="28"/>
      <c r="AA34" s="164"/>
      <c r="AB34" s="164"/>
      <c r="AC34" s="25">
        <v>5</v>
      </c>
      <c r="AD34" s="25"/>
      <c r="AE34" s="19">
        <f t="shared" si="7"/>
        <v>-105.67164179104475</v>
      </c>
      <c r="AF34" s="21">
        <f t="shared" si="8"/>
        <v>0.95597014925373136</v>
      </c>
      <c r="AG34" s="172">
        <f>AF39</f>
        <v>0.95885577581598602</v>
      </c>
    </row>
    <row r="35" spans="1:33" ht="15.75" customHeight="1">
      <c r="A35" s="191" t="s">
        <v>64</v>
      </c>
      <c r="B35" s="37" t="s">
        <v>100</v>
      </c>
      <c r="C35" s="165" t="s">
        <v>107</v>
      </c>
      <c r="D35" s="165"/>
      <c r="E35" s="37">
        <v>26.18</v>
      </c>
      <c r="F35" s="4">
        <v>1469</v>
      </c>
      <c r="G35" s="4">
        <v>38458.42</v>
      </c>
      <c r="H35" s="22" t="s">
        <v>139</v>
      </c>
      <c r="I35" s="16">
        <v>19</v>
      </c>
      <c r="J35" s="18">
        <v>2400</v>
      </c>
      <c r="K35" s="17">
        <f t="shared" si="0"/>
        <v>126.31578947368421</v>
      </c>
      <c r="L35" s="16">
        <v>19</v>
      </c>
      <c r="M35" s="18">
        <f t="shared" si="22"/>
        <v>2319.4736842105272</v>
      </c>
      <c r="N35" s="17">
        <f t="shared" si="2"/>
        <v>122.07756232686985</v>
      </c>
      <c r="O35" s="19">
        <f t="shared" si="3"/>
        <v>0</v>
      </c>
      <c r="P35" s="20">
        <f t="shared" si="4"/>
        <v>-4.2382271468143529</v>
      </c>
      <c r="Q35" s="21">
        <f t="shared" si="5"/>
        <v>0.96644736842105305</v>
      </c>
      <c r="R35" s="172"/>
      <c r="S35" s="28">
        <v>0.23819444444444446</v>
      </c>
      <c r="T35" s="28">
        <v>0.26458333333333334</v>
      </c>
      <c r="U35" s="4">
        <f t="shared" ref="U35:U38" si="24">(S35-T34)*24*60</f>
        <v>29.000000000000018</v>
      </c>
      <c r="V35" s="22">
        <f t="shared" si="23"/>
        <v>37.999999999999986</v>
      </c>
      <c r="W35" s="4"/>
      <c r="X35" s="4"/>
      <c r="Y35" s="4"/>
      <c r="Z35" s="4"/>
      <c r="AA35" s="164"/>
      <c r="AB35" s="164"/>
      <c r="AC35" s="25"/>
      <c r="AD35" s="25"/>
      <c r="AE35" s="19">
        <f t="shared" si="7"/>
        <v>-80.526315789472847</v>
      </c>
      <c r="AF35" s="21">
        <f t="shared" si="8"/>
        <v>0.96644736842105294</v>
      </c>
      <c r="AG35" s="172"/>
    </row>
    <row r="36" spans="1:33">
      <c r="A36" s="192" t="s">
        <v>64</v>
      </c>
      <c r="B36" s="37" t="s">
        <v>100</v>
      </c>
      <c r="C36" s="165" t="s">
        <v>108</v>
      </c>
      <c r="D36" s="165"/>
      <c r="E36" s="37">
        <v>26.39</v>
      </c>
      <c r="F36" s="4">
        <v>4385</v>
      </c>
      <c r="G36" s="4">
        <v>115720.15000000001</v>
      </c>
      <c r="H36" s="22" t="s">
        <v>139</v>
      </c>
      <c r="I36" s="16">
        <v>19</v>
      </c>
      <c r="J36" s="18">
        <v>2400</v>
      </c>
      <c r="K36" s="17">
        <f t="shared" si="0"/>
        <v>126.31578947368421</v>
      </c>
      <c r="L36" s="16">
        <v>19</v>
      </c>
      <c r="M36" s="18">
        <f t="shared" si="22"/>
        <v>2287.826086956522</v>
      </c>
      <c r="N36" s="17">
        <f t="shared" si="2"/>
        <v>120.41189931350115</v>
      </c>
      <c r="O36" s="19">
        <f t="shared" si="3"/>
        <v>0</v>
      </c>
      <c r="P36" s="20">
        <f t="shared" si="4"/>
        <v>-5.9038901601830531</v>
      </c>
      <c r="Q36" s="21">
        <f t="shared" si="5"/>
        <v>0.95326086956521749</v>
      </c>
      <c r="R36" s="172"/>
      <c r="S36" s="28">
        <v>0.26874999999999999</v>
      </c>
      <c r="T36" s="28">
        <v>0.34861111111111109</v>
      </c>
      <c r="U36" s="4">
        <f t="shared" si="24"/>
        <v>5.9999999999999787</v>
      </c>
      <c r="V36" s="22">
        <f t="shared" si="23"/>
        <v>114.99999999999999</v>
      </c>
      <c r="W36" s="4"/>
      <c r="X36" s="4"/>
      <c r="Y36" s="4"/>
      <c r="Z36" s="4"/>
      <c r="AA36" s="164"/>
      <c r="AB36" s="164"/>
      <c r="AC36" s="25"/>
      <c r="AD36" s="25"/>
      <c r="AE36" s="19">
        <f t="shared" si="7"/>
        <v>-112.17391304347802</v>
      </c>
      <c r="AF36" s="21">
        <f t="shared" si="8"/>
        <v>0.95326086956521749</v>
      </c>
      <c r="AG36" s="172"/>
    </row>
    <row r="37" spans="1:33">
      <c r="A37" s="192" t="s">
        <v>1465</v>
      </c>
      <c r="B37" s="37" t="s">
        <v>100</v>
      </c>
      <c r="C37" s="165" t="s">
        <v>137</v>
      </c>
      <c r="D37" s="165"/>
      <c r="E37" s="37">
        <v>20.21</v>
      </c>
      <c r="F37" s="4">
        <v>2708</v>
      </c>
      <c r="G37" s="4">
        <v>54728.68</v>
      </c>
      <c r="H37" s="22" t="s">
        <v>139</v>
      </c>
      <c r="I37" s="16">
        <v>16</v>
      </c>
      <c r="J37" s="18">
        <v>2400</v>
      </c>
      <c r="K37" s="17">
        <f t="shared" si="0"/>
        <v>150</v>
      </c>
      <c r="L37" s="16">
        <v>16</v>
      </c>
      <c r="M37" s="18">
        <f t="shared" si="22"/>
        <v>2288.4507042253526</v>
      </c>
      <c r="N37" s="17">
        <f t="shared" si="2"/>
        <v>143.02816901408454</v>
      </c>
      <c r="O37" s="19">
        <f t="shared" si="3"/>
        <v>0</v>
      </c>
      <c r="P37" s="20">
        <f t="shared" si="4"/>
        <v>-6.9718309859154601</v>
      </c>
      <c r="Q37" s="21">
        <f t="shared" si="5"/>
        <v>0.95352112676056355</v>
      </c>
      <c r="R37" s="172"/>
      <c r="S37" s="28">
        <v>0.35416666666666663</v>
      </c>
      <c r="T37" s="28">
        <v>0.40347222222222218</v>
      </c>
      <c r="U37" s="4">
        <f t="shared" si="24"/>
        <v>7.9999999999999716</v>
      </c>
      <c r="V37" s="22">
        <f t="shared" si="23"/>
        <v>70.999999999999986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7"/>
        <v>-111.54929577464736</v>
      </c>
      <c r="AF37" s="21">
        <f t="shared" si="8"/>
        <v>0.95352112676056355</v>
      </c>
      <c r="AG37" s="172"/>
    </row>
    <row r="38" spans="1:33">
      <c r="A38" s="192" t="s">
        <v>64</v>
      </c>
      <c r="B38" s="37" t="s">
        <v>100</v>
      </c>
      <c r="C38" s="165" t="s">
        <v>134</v>
      </c>
      <c r="D38" s="165"/>
      <c r="E38" s="37">
        <v>20.52</v>
      </c>
      <c r="F38" s="4">
        <v>2432</v>
      </c>
      <c r="G38" s="4">
        <v>49904.639999999999</v>
      </c>
      <c r="H38" s="22" t="s">
        <v>139</v>
      </c>
      <c r="I38" s="16">
        <v>18</v>
      </c>
      <c r="J38" s="18">
        <v>2400</v>
      </c>
      <c r="K38" s="17">
        <f t="shared" si="0"/>
        <v>133.33333333333334</v>
      </c>
      <c r="L38" s="16">
        <v>18</v>
      </c>
      <c r="M38" s="18">
        <f t="shared" si="22"/>
        <v>2316.1904761904757</v>
      </c>
      <c r="N38" s="17">
        <f t="shared" si="2"/>
        <v>128.67724867724866</v>
      </c>
      <c r="O38" s="19">
        <f t="shared" si="3"/>
        <v>0</v>
      </c>
      <c r="P38" s="20">
        <f t="shared" si="4"/>
        <v>-4.6560846560846869</v>
      </c>
      <c r="Q38" s="21">
        <f t="shared" si="5"/>
        <v>0.96507936507936487</v>
      </c>
      <c r="R38" s="172"/>
      <c r="S38" s="28">
        <v>0.40833333333333327</v>
      </c>
      <c r="T38" s="28">
        <v>0.45208333333333328</v>
      </c>
      <c r="U38" s="4">
        <f t="shared" si="24"/>
        <v>6.9999999999999751</v>
      </c>
      <c r="V38" s="22">
        <f t="shared" si="23"/>
        <v>63.000000000000014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7"/>
        <v>-83.809523809524308</v>
      </c>
      <c r="AF38" s="21">
        <f t="shared" si="8"/>
        <v>0.96507936507936487</v>
      </c>
      <c r="AG38" s="172"/>
    </row>
    <row r="39" spans="1:33">
      <c r="A39" s="192" t="s">
        <v>1465</v>
      </c>
      <c r="B39" s="17" t="s">
        <v>48</v>
      </c>
      <c r="C39" s="177"/>
      <c r="D39" s="177"/>
      <c r="E39" s="38"/>
      <c r="F39" s="17"/>
      <c r="G39" s="17"/>
      <c r="H39" s="4"/>
      <c r="I39" s="30">
        <v>18</v>
      </c>
      <c r="J39" s="18">
        <v>2400</v>
      </c>
      <c r="K39" s="17">
        <f t="shared" si="0"/>
        <v>133.33333333333334</v>
      </c>
      <c r="L39" s="30">
        <v>18</v>
      </c>
      <c r="M39" s="18">
        <f>AVERAGE(M34:M38)</f>
        <v>2301.2538619583665</v>
      </c>
      <c r="N39" s="17">
        <f t="shared" si="2"/>
        <v>127.84743677546481</v>
      </c>
      <c r="O39" s="19">
        <f t="shared" si="3"/>
        <v>0</v>
      </c>
      <c r="P39" s="20">
        <f t="shared" si="4"/>
        <v>-5.4858965578685286</v>
      </c>
      <c r="Q39" s="21">
        <f t="shared" si="5"/>
        <v>0.95885577581598602</v>
      </c>
      <c r="R39" s="172"/>
      <c r="S39" s="28"/>
      <c r="T39" s="28"/>
      <c r="U39" s="17"/>
      <c r="V39" s="22"/>
      <c r="W39" s="17"/>
      <c r="X39" s="17"/>
      <c r="Y39" s="31">
        <f>SUM(Y34:Y38)</f>
        <v>0</v>
      </c>
      <c r="Z39" s="31">
        <f>SUM(Z34:Z38)</f>
        <v>0</v>
      </c>
      <c r="AA39" s="168"/>
      <c r="AB39" s="168"/>
      <c r="AC39" s="31">
        <v>5</v>
      </c>
      <c r="AD39" s="31">
        <f>SUM(AD34:AD38)</f>
        <v>0</v>
      </c>
      <c r="AE39" s="19">
        <f t="shared" si="7"/>
        <v>-98.746138041633458</v>
      </c>
      <c r="AF39" s="21">
        <f t="shared" si="8"/>
        <v>0.95885577581598602</v>
      </c>
      <c r="AG39" s="172"/>
    </row>
    <row r="40" spans="1:33" ht="15.75" customHeight="1">
      <c r="A40" s="184" t="s">
        <v>66</v>
      </c>
      <c r="B40" s="37" t="s">
        <v>111</v>
      </c>
      <c r="C40" s="173" t="s">
        <v>403</v>
      </c>
      <c r="D40" s="174"/>
      <c r="E40" s="37">
        <v>34.36</v>
      </c>
      <c r="F40" s="4">
        <v>2909</v>
      </c>
      <c r="G40" s="4">
        <v>99953.24</v>
      </c>
      <c r="H40" s="22" t="s">
        <v>139</v>
      </c>
      <c r="I40" s="16">
        <v>10</v>
      </c>
      <c r="J40" s="18">
        <v>3000</v>
      </c>
      <c r="K40" s="17">
        <f t="shared" si="0"/>
        <v>300</v>
      </c>
      <c r="L40" s="16">
        <v>10</v>
      </c>
      <c r="M40" s="18">
        <f t="shared" ref="M40:M49" si="25">F40/V40*60</f>
        <v>2861.3114754098365</v>
      </c>
      <c r="N40" s="18">
        <f t="shared" si="2"/>
        <v>286.13114754098365</v>
      </c>
      <c r="O40" s="19">
        <f t="shared" si="3"/>
        <v>0</v>
      </c>
      <c r="P40" s="20">
        <f t="shared" si="4"/>
        <v>-13.868852459016352</v>
      </c>
      <c r="Q40" s="21">
        <f t="shared" si="5"/>
        <v>0.95377049180327877</v>
      </c>
      <c r="R40" s="187">
        <f>Q50</f>
        <v>0.96177517212693364</v>
      </c>
      <c r="S40" s="28">
        <v>0.20833333333333334</v>
      </c>
      <c r="T40" s="28">
        <v>0.25069444444444444</v>
      </c>
      <c r="U40" s="28"/>
      <c r="V40" s="22">
        <f t="shared" ref="V40:V49" si="26">(T40-S40)*24*60</f>
        <v>60.999999999999986</v>
      </c>
      <c r="W40" s="23"/>
      <c r="X40" s="23"/>
      <c r="Y40" s="26"/>
      <c r="Z40" s="26"/>
      <c r="AA40" s="175"/>
      <c r="AB40" s="176"/>
      <c r="AC40" s="25">
        <v>10</v>
      </c>
      <c r="AD40" s="25"/>
      <c r="AE40" s="19">
        <f t="shared" si="7"/>
        <v>-138.68852459016352</v>
      </c>
      <c r="AF40" s="21">
        <f t="shared" si="8"/>
        <v>0.95377049180327877</v>
      </c>
      <c r="AG40" s="187">
        <f>AF50</f>
        <v>0.96177517212693364</v>
      </c>
    </row>
    <row r="41" spans="1:33" ht="15.75" customHeight="1">
      <c r="A41" s="185" t="s">
        <v>1466</v>
      </c>
      <c r="B41" s="37" t="s">
        <v>111</v>
      </c>
      <c r="C41" s="173" t="s">
        <v>114</v>
      </c>
      <c r="D41" s="174"/>
      <c r="E41" s="37">
        <v>35.119999999999997</v>
      </c>
      <c r="F41" s="4">
        <v>3100</v>
      </c>
      <c r="G41" s="4">
        <v>108871.99999999999</v>
      </c>
      <c r="H41" s="22">
        <v>2</v>
      </c>
      <c r="I41" s="16">
        <v>10</v>
      </c>
      <c r="J41" s="18">
        <v>3000</v>
      </c>
      <c r="K41" s="17">
        <f t="shared" si="0"/>
        <v>300</v>
      </c>
      <c r="L41" s="16">
        <v>10</v>
      </c>
      <c r="M41" s="18">
        <f t="shared" si="25"/>
        <v>2861.538461538461</v>
      </c>
      <c r="N41" s="18">
        <f t="shared" si="2"/>
        <v>286.15384615384608</v>
      </c>
      <c r="O41" s="19">
        <f t="shared" si="3"/>
        <v>0</v>
      </c>
      <c r="P41" s="20">
        <f t="shared" si="4"/>
        <v>-13.846153846153925</v>
      </c>
      <c r="Q41" s="21">
        <f t="shared" si="5"/>
        <v>0.95384615384615357</v>
      </c>
      <c r="R41" s="188"/>
      <c r="S41" s="28">
        <v>0.25624999999999998</v>
      </c>
      <c r="T41" s="28">
        <v>0.30138888888888887</v>
      </c>
      <c r="U41" s="4">
        <f t="shared" ref="U41:U49" si="27">(S41-T40)*24*60</f>
        <v>7.9999999999999716</v>
      </c>
      <c r="V41" s="22">
        <f t="shared" si="26"/>
        <v>65.000000000000014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7"/>
        <v>-138.46153846153902</v>
      </c>
      <c r="AF41" s="21">
        <f t="shared" si="8"/>
        <v>0.95384615384615368</v>
      </c>
      <c r="AG41" s="188"/>
    </row>
    <row r="42" spans="1:33" ht="15.75" customHeight="1">
      <c r="A42" s="185" t="s">
        <v>1466</v>
      </c>
      <c r="B42" s="37" t="s">
        <v>111</v>
      </c>
      <c r="C42" s="173" t="s">
        <v>115</v>
      </c>
      <c r="D42" s="174"/>
      <c r="E42" s="37">
        <v>26.78</v>
      </c>
      <c r="F42" s="4">
        <v>2396</v>
      </c>
      <c r="G42" s="4">
        <v>64164.880000000005</v>
      </c>
      <c r="H42" s="22" t="s">
        <v>139</v>
      </c>
      <c r="I42" s="16">
        <v>10</v>
      </c>
      <c r="J42" s="18">
        <v>3000</v>
      </c>
      <c r="K42" s="17">
        <f t="shared" si="0"/>
        <v>300</v>
      </c>
      <c r="L42" s="16">
        <v>10</v>
      </c>
      <c r="M42" s="18">
        <f t="shared" si="25"/>
        <v>2875.2000000000007</v>
      </c>
      <c r="N42" s="18">
        <f t="shared" si="2"/>
        <v>287.5200000000001</v>
      </c>
      <c r="O42" s="19">
        <f t="shared" si="3"/>
        <v>0</v>
      </c>
      <c r="P42" s="20">
        <f t="shared" si="4"/>
        <v>-12.479999999999905</v>
      </c>
      <c r="Q42" s="21">
        <f t="shared" si="5"/>
        <v>0.95840000000000036</v>
      </c>
      <c r="R42" s="188"/>
      <c r="S42" s="28">
        <v>0.30694444444444441</v>
      </c>
      <c r="T42" s="28">
        <v>0.34166666666666662</v>
      </c>
      <c r="U42" s="4">
        <f t="shared" si="27"/>
        <v>7.9999999999999716</v>
      </c>
      <c r="V42" s="22">
        <f t="shared" si="26"/>
        <v>49.999999999999986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7"/>
        <v>-124.79999999999927</v>
      </c>
      <c r="AF42" s="21">
        <f t="shared" si="8"/>
        <v>0.95840000000000025</v>
      </c>
      <c r="AG42" s="188"/>
    </row>
    <row r="43" spans="1:33" ht="15.75" customHeight="1">
      <c r="A43" s="185" t="s">
        <v>66</v>
      </c>
      <c r="B43" s="37" t="s">
        <v>111</v>
      </c>
      <c r="C43" s="173" t="s">
        <v>117</v>
      </c>
      <c r="D43" s="174"/>
      <c r="E43" s="37">
        <v>44.03</v>
      </c>
      <c r="F43" s="4">
        <v>1184</v>
      </c>
      <c r="G43" s="4">
        <v>52131.520000000004</v>
      </c>
      <c r="H43" s="22" t="s">
        <v>139</v>
      </c>
      <c r="I43" s="16">
        <v>10</v>
      </c>
      <c r="J43" s="18">
        <v>3000</v>
      </c>
      <c r="K43" s="17">
        <f t="shared" si="0"/>
        <v>300</v>
      </c>
      <c r="L43" s="16">
        <v>10</v>
      </c>
      <c r="M43" s="18">
        <f t="shared" si="25"/>
        <v>2960.0000000000009</v>
      </c>
      <c r="N43" s="18">
        <f t="shared" si="2"/>
        <v>296.00000000000011</v>
      </c>
      <c r="O43" s="19">
        <f t="shared" si="3"/>
        <v>0</v>
      </c>
      <c r="P43" s="20">
        <f t="shared" si="4"/>
        <v>-3.9999999999998863</v>
      </c>
      <c r="Q43" s="21">
        <f t="shared" si="5"/>
        <v>0.98666666666666702</v>
      </c>
      <c r="R43" s="188"/>
      <c r="S43" s="28">
        <v>0.34722222222222215</v>
      </c>
      <c r="T43" s="28">
        <v>0.36388888888888882</v>
      </c>
      <c r="U43" s="4">
        <f t="shared" si="27"/>
        <v>7.9999999999999716</v>
      </c>
      <c r="V43" s="22">
        <f t="shared" si="26"/>
        <v>23.999999999999993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7"/>
        <v>-39.999999999999091</v>
      </c>
      <c r="AF43" s="21">
        <f t="shared" si="8"/>
        <v>0.98666666666666702</v>
      </c>
      <c r="AG43" s="188"/>
    </row>
    <row r="44" spans="1:33" ht="15.75" customHeight="1">
      <c r="A44" s="185" t="s">
        <v>1466</v>
      </c>
      <c r="B44" s="37" t="s">
        <v>111</v>
      </c>
      <c r="C44" s="173" t="s">
        <v>112</v>
      </c>
      <c r="D44" s="174"/>
      <c r="E44" s="37">
        <v>21.13</v>
      </c>
      <c r="F44" s="4">
        <v>2200</v>
      </c>
      <c r="G44" s="4">
        <v>46486</v>
      </c>
      <c r="H44" s="22">
        <v>2</v>
      </c>
      <c r="I44" s="16">
        <v>10</v>
      </c>
      <c r="J44" s="18">
        <v>3000</v>
      </c>
      <c r="K44" s="17">
        <f t="shared" si="0"/>
        <v>300</v>
      </c>
      <c r="L44" s="16">
        <v>10</v>
      </c>
      <c r="M44" s="18">
        <f t="shared" si="25"/>
        <v>2869.5652173913045</v>
      </c>
      <c r="N44" s="18">
        <f t="shared" si="2"/>
        <v>286.95652173913044</v>
      </c>
      <c r="O44" s="19">
        <f t="shared" si="3"/>
        <v>0</v>
      </c>
      <c r="P44" s="20">
        <f t="shared" si="4"/>
        <v>-13.043478260869563</v>
      </c>
      <c r="Q44" s="21">
        <f t="shared" si="5"/>
        <v>0.95652173913043481</v>
      </c>
      <c r="R44" s="188"/>
      <c r="S44" s="28">
        <v>0.36944444444444435</v>
      </c>
      <c r="T44" s="28">
        <v>0.4013888888888888</v>
      </c>
      <c r="U44" s="4">
        <f t="shared" si="27"/>
        <v>7.9999999999999716</v>
      </c>
      <c r="V44" s="22">
        <f t="shared" si="26"/>
        <v>46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7"/>
        <v>-130.43478260869551</v>
      </c>
      <c r="AF44" s="21">
        <f t="shared" si="8"/>
        <v>0.95652173913043481</v>
      </c>
      <c r="AG44" s="188"/>
    </row>
    <row r="45" spans="1:33" ht="15.75" customHeight="1">
      <c r="A45" s="185" t="s">
        <v>1466</v>
      </c>
      <c r="B45" s="37" t="s">
        <v>111</v>
      </c>
      <c r="C45" s="173" t="s">
        <v>113</v>
      </c>
      <c r="D45" s="174"/>
      <c r="E45" s="37">
        <v>27.17</v>
      </c>
      <c r="F45" s="4">
        <v>3650</v>
      </c>
      <c r="G45" s="4">
        <v>99170.5</v>
      </c>
      <c r="H45" s="22">
        <v>2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2881.5789473684217</v>
      </c>
      <c r="N45" s="18">
        <f t="shared" si="2"/>
        <v>288.1578947368422</v>
      </c>
      <c r="O45" s="19">
        <f t="shared" si="3"/>
        <v>0</v>
      </c>
      <c r="P45" s="20">
        <f t="shared" si="4"/>
        <v>-11.842105263157805</v>
      </c>
      <c r="Q45" s="21">
        <f t="shared" si="5"/>
        <v>0.96052631578947401</v>
      </c>
      <c r="R45" s="188"/>
      <c r="S45" s="28">
        <v>0.40486111111111101</v>
      </c>
      <c r="T45" s="28">
        <v>0.45763888888888876</v>
      </c>
      <c r="U45" s="4">
        <f t="shared" si="27"/>
        <v>4.9999999999999822</v>
      </c>
      <c r="V45" s="22">
        <f t="shared" si="26"/>
        <v>75.999999999999972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7"/>
        <v>-118.42105263157828</v>
      </c>
      <c r="AF45" s="21">
        <f t="shared" si="8"/>
        <v>0.96052631578947389</v>
      </c>
      <c r="AG45" s="188"/>
    </row>
    <row r="46" spans="1:33" ht="15.75" customHeight="1">
      <c r="A46" s="185" t="s">
        <v>1466</v>
      </c>
      <c r="B46" s="37" t="s">
        <v>111</v>
      </c>
      <c r="C46" s="173" t="s">
        <v>116</v>
      </c>
      <c r="D46" s="174"/>
      <c r="E46" s="37">
        <v>35.869999999999997</v>
      </c>
      <c r="F46" s="4">
        <v>3629</v>
      </c>
      <c r="G46" s="4">
        <v>130172.23</v>
      </c>
      <c r="H46" s="22" t="s">
        <v>139</v>
      </c>
      <c r="I46" s="16">
        <v>9</v>
      </c>
      <c r="J46" s="18">
        <v>3000</v>
      </c>
      <c r="K46" s="17">
        <f t="shared" si="0"/>
        <v>333.33333333333331</v>
      </c>
      <c r="L46" s="16">
        <v>9</v>
      </c>
      <c r="M46" s="18">
        <f t="shared" si="25"/>
        <v>2865.0000000000014</v>
      </c>
      <c r="N46" s="18">
        <f t="shared" si="2"/>
        <v>318.33333333333348</v>
      </c>
      <c r="O46" s="19">
        <f t="shared" si="3"/>
        <v>0</v>
      </c>
      <c r="P46" s="20">
        <f t="shared" si="4"/>
        <v>-14.999999999999829</v>
      </c>
      <c r="Q46" s="21">
        <f t="shared" si="5"/>
        <v>0.95500000000000052</v>
      </c>
      <c r="R46" s="188"/>
      <c r="S46" s="28">
        <v>0.46249999999999986</v>
      </c>
      <c r="T46" s="28">
        <v>0.51527777777777761</v>
      </c>
      <c r="U46" s="4">
        <f t="shared" si="27"/>
        <v>6.9999999999999751</v>
      </c>
      <c r="V46" s="22">
        <f t="shared" si="26"/>
        <v>75.999999999999972</v>
      </c>
      <c r="W46" s="23">
        <f>T46</f>
        <v>0.51527777777777761</v>
      </c>
      <c r="X46" s="23">
        <f>S47</f>
        <v>0.55555555555555536</v>
      </c>
      <c r="Y46" s="26"/>
      <c r="Z46" s="26"/>
      <c r="AA46" s="175"/>
      <c r="AB46" s="176"/>
      <c r="AC46" s="25"/>
      <c r="AD46" s="25"/>
      <c r="AE46" s="19">
        <f t="shared" si="7"/>
        <v>-134.99999999999864</v>
      </c>
      <c r="AF46" s="21">
        <f t="shared" si="8"/>
        <v>0.9550000000000004</v>
      </c>
      <c r="AG46" s="188"/>
    </row>
    <row r="47" spans="1:33" ht="15.75" customHeight="1">
      <c r="A47" s="185" t="s">
        <v>66</v>
      </c>
      <c r="B47" s="37" t="s">
        <v>111</v>
      </c>
      <c r="C47" s="173" t="s">
        <v>112</v>
      </c>
      <c r="D47" s="174"/>
      <c r="E47" s="37">
        <v>21.13</v>
      </c>
      <c r="F47" s="4">
        <v>2174</v>
      </c>
      <c r="G47" s="4">
        <v>45936.619999999995</v>
      </c>
      <c r="H47" s="22" t="s">
        <v>139</v>
      </c>
      <c r="I47" s="16">
        <v>10</v>
      </c>
      <c r="J47" s="18">
        <v>3000</v>
      </c>
      <c r="K47" s="17">
        <f t="shared" si="0"/>
        <v>300</v>
      </c>
      <c r="L47" s="16">
        <v>10</v>
      </c>
      <c r="M47" s="18">
        <f t="shared" si="25"/>
        <v>2898.6666666666665</v>
      </c>
      <c r="N47" s="18">
        <f t="shared" si="2"/>
        <v>289.86666666666667</v>
      </c>
      <c r="O47" s="19">
        <f t="shared" si="3"/>
        <v>0</v>
      </c>
      <c r="P47" s="20">
        <f t="shared" si="4"/>
        <v>-10.133333333333326</v>
      </c>
      <c r="Q47" s="21">
        <f t="shared" si="5"/>
        <v>0.9662222222222222</v>
      </c>
      <c r="R47" s="188"/>
      <c r="S47" s="28">
        <v>0.55555555555555536</v>
      </c>
      <c r="T47" s="28">
        <v>0.58680555555555536</v>
      </c>
      <c r="U47" s="4">
        <f t="shared" si="27"/>
        <v>57.999999999999957</v>
      </c>
      <c r="V47" s="22">
        <f t="shared" si="26"/>
        <v>45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7"/>
        <v>-101.33333333333348</v>
      </c>
      <c r="AF47" s="21">
        <f t="shared" si="8"/>
        <v>0.9662222222222222</v>
      </c>
      <c r="AG47" s="188"/>
    </row>
    <row r="48" spans="1:33" ht="15.75" customHeight="1">
      <c r="A48" s="185" t="s">
        <v>66</v>
      </c>
      <c r="B48" s="37" t="s">
        <v>111</v>
      </c>
      <c r="C48" s="173" t="s">
        <v>113</v>
      </c>
      <c r="D48" s="174"/>
      <c r="E48" s="37">
        <v>27.17</v>
      </c>
      <c r="F48" s="4">
        <v>2280</v>
      </c>
      <c r="G48" s="4">
        <v>61947.600000000006</v>
      </c>
      <c r="H48" s="22" t="s">
        <v>139</v>
      </c>
      <c r="I48" s="16">
        <v>10</v>
      </c>
      <c r="J48" s="18">
        <v>3000</v>
      </c>
      <c r="K48" s="17">
        <f t="shared" si="0"/>
        <v>300</v>
      </c>
      <c r="L48" s="16">
        <v>10</v>
      </c>
      <c r="M48" s="18">
        <f t="shared" si="25"/>
        <v>2910.6382978723409</v>
      </c>
      <c r="N48" s="18">
        <f t="shared" si="2"/>
        <v>291.06382978723411</v>
      </c>
      <c r="O48" s="19">
        <f t="shared" si="3"/>
        <v>0</v>
      </c>
      <c r="P48" s="20">
        <f t="shared" si="4"/>
        <v>-8.9361702127658873</v>
      </c>
      <c r="Q48" s="21">
        <f t="shared" si="5"/>
        <v>0.97021276595744699</v>
      </c>
      <c r="R48" s="188"/>
      <c r="S48" s="28">
        <v>0.59097222222222201</v>
      </c>
      <c r="T48" s="28">
        <v>0.62361111111111089</v>
      </c>
      <c r="U48" s="4">
        <f t="shared" si="27"/>
        <v>5.9999999999999787</v>
      </c>
      <c r="V48" s="22">
        <f t="shared" si="26"/>
        <v>46.999999999999993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7"/>
        <v>-89.3617021276591</v>
      </c>
      <c r="AF48" s="21">
        <f t="shared" si="8"/>
        <v>0.97021276595744699</v>
      </c>
      <c r="AG48" s="188"/>
    </row>
    <row r="49" spans="1:33" ht="15.75" customHeight="1">
      <c r="A49" s="185" t="s">
        <v>66</v>
      </c>
      <c r="B49" s="37" t="s">
        <v>111</v>
      </c>
      <c r="C49" s="173" t="s">
        <v>114</v>
      </c>
      <c r="D49" s="174"/>
      <c r="E49" s="37">
        <v>35.119999999999997</v>
      </c>
      <c r="F49" s="4">
        <v>1961</v>
      </c>
      <c r="G49" s="4">
        <v>68870.319999999992</v>
      </c>
      <c r="H49" s="22" t="s">
        <v>139</v>
      </c>
      <c r="I49" s="16">
        <v>10</v>
      </c>
      <c r="J49" s="18">
        <v>3000</v>
      </c>
      <c r="K49" s="17">
        <f t="shared" si="0"/>
        <v>300</v>
      </c>
      <c r="L49" s="16">
        <v>10</v>
      </c>
      <c r="M49" s="18">
        <f t="shared" si="25"/>
        <v>2869.7560975609749</v>
      </c>
      <c r="N49" s="18">
        <f t="shared" si="2"/>
        <v>286.97560975609747</v>
      </c>
      <c r="O49" s="19">
        <f t="shared" si="3"/>
        <v>0</v>
      </c>
      <c r="P49" s="20">
        <f t="shared" si="4"/>
        <v>-13.024390243902531</v>
      </c>
      <c r="Q49" s="21">
        <f t="shared" si="5"/>
        <v>0.95658536585365828</v>
      </c>
      <c r="R49" s="188"/>
      <c r="S49" s="28">
        <v>0.6270833333333331</v>
      </c>
      <c r="T49" s="28">
        <v>0.65555555555555534</v>
      </c>
      <c r="U49" s="4">
        <f t="shared" si="27"/>
        <v>4.9999999999999822</v>
      </c>
      <c r="V49" s="22">
        <f t="shared" si="26"/>
        <v>41.000000000000014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7"/>
        <v>-130.24390243902508</v>
      </c>
      <c r="AF49" s="21">
        <f t="shared" si="8"/>
        <v>0.95658536585365828</v>
      </c>
      <c r="AG49" s="188"/>
    </row>
    <row r="50" spans="1:33" ht="15.75" customHeight="1">
      <c r="A50" s="186" t="s">
        <v>66</v>
      </c>
      <c r="B50" s="37" t="s">
        <v>48</v>
      </c>
      <c r="C50" s="166"/>
      <c r="D50" s="167"/>
      <c r="E50" s="41"/>
      <c r="F50" s="4"/>
      <c r="G50" s="4"/>
      <c r="H50" s="4"/>
      <c r="I50" s="30">
        <v>9.9</v>
      </c>
      <c r="J50" s="18">
        <v>3000</v>
      </c>
      <c r="K50" s="17">
        <f t="shared" si="0"/>
        <v>303.030303030303</v>
      </c>
      <c r="L50" s="30">
        <v>9.9</v>
      </c>
      <c r="M50" s="18">
        <f>AVERAGE(M40:M49)</f>
        <v>2885.3255163808008</v>
      </c>
      <c r="N50" s="17">
        <f t="shared" si="2"/>
        <v>291.44702185664653</v>
      </c>
      <c r="O50" s="19">
        <f t="shared" si="3"/>
        <v>0</v>
      </c>
      <c r="P50" s="20">
        <f t="shared" si="4"/>
        <v>-11.583281173656474</v>
      </c>
      <c r="Q50" s="21">
        <f t="shared" si="5"/>
        <v>0.96177517212693364</v>
      </c>
      <c r="R50" s="189"/>
      <c r="S50" s="28"/>
      <c r="T50" s="28"/>
      <c r="U50" s="4"/>
      <c r="V50" s="22"/>
      <c r="W50" s="23"/>
      <c r="X50" s="23"/>
      <c r="Y50" s="31">
        <f>SUM(Y40:Y49)</f>
        <v>0</v>
      </c>
      <c r="Z50" s="31">
        <f>SUM(Z40:Z49)</f>
        <v>0</v>
      </c>
      <c r="AA50" s="180"/>
      <c r="AB50" s="181"/>
      <c r="AC50" s="31">
        <v>10</v>
      </c>
      <c r="AD50" s="31">
        <f>SUM(AD40:AD49)</f>
        <v>0</v>
      </c>
      <c r="AE50" s="19">
        <f t="shared" si="7"/>
        <v>-114.67448361919924</v>
      </c>
      <c r="AF50" s="21">
        <f t="shared" si="8"/>
        <v>0.96177517212693364</v>
      </c>
      <c r="AG50" s="189"/>
    </row>
    <row r="51" spans="1:33" ht="15.75" customHeight="1">
      <c r="A51" s="182" t="s">
        <v>1467</v>
      </c>
      <c r="B51" s="37" t="s">
        <v>84</v>
      </c>
      <c r="C51" s="165" t="s">
        <v>118</v>
      </c>
      <c r="D51" s="165"/>
      <c r="E51" s="37">
        <v>46</v>
      </c>
      <c r="F51" s="42">
        <v>840</v>
      </c>
      <c r="G51" s="4">
        <v>38640</v>
      </c>
      <c r="H51" s="22" t="s">
        <v>139</v>
      </c>
      <c r="I51" s="16">
        <v>17</v>
      </c>
      <c r="J51" s="18">
        <v>2000</v>
      </c>
      <c r="K51" s="17">
        <f t="shared" si="0"/>
        <v>117.64705882352941</v>
      </c>
      <c r="L51" s="16">
        <v>17</v>
      </c>
      <c r="M51" s="18">
        <f t="shared" ref="M51:M59" si="28">F51/V51*60</f>
        <v>1938.4615384615397</v>
      </c>
      <c r="N51" s="18">
        <f t="shared" si="2"/>
        <v>114.02714932126705</v>
      </c>
      <c r="O51" s="19">
        <f t="shared" si="3"/>
        <v>0</v>
      </c>
      <c r="P51" s="20">
        <f t="shared" si="4"/>
        <v>-3.6199095022623595</v>
      </c>
      <c r="Q51" s="21">
        <f t="shared" si="5"/>
        <v>0.9692307692307699</v>
      </c>
      <c r="R51" s="172">
        <f>Q60</f>
        <v>0.93971323859270584</v>
      </c>
      <c r="S51" s="28">
        <v>0.20833333333333334</v>
      </c>
      <c r="T51" s="28">
        <v>0.22638888888888889</v>
      </c>
      <c r="U51" s="28"/>
      <c r="V51" s="22">
        <f t="shared" ref="V51:V59" si="29">(T51-S51)*24*60</f>
        <v>25.999999999999986</v>
      </c>
      <c r="W51" s="28"/>
      <c r="X51" s="28"/>
      <c r="Y51" s="28"/>
      <c r="Z51" s="28"/>
      <c r="AA51" s="164"/>
      <c r="AB51" s="164"/>
      <c r="AC51" s="25">
        <v>9</v>
      </c>
      <c r="AD51" s="25"/>
      <c r="AE51" s="19">
        <f t="shared" si="7"/>
        <v>-61.538461538460297</v>
      </c>
      <c r="AF51" s="21">
        <f t="shared" si="8"/>
        <v>0.9692307692307699</v>
      </c>
      <c r="AG51" s="172">
        <f>AF60</f>
        <v>0.93971323859270595</v>
      </c>
    </row>
    <row r="52" spans="1:33" ht="15.75" customHeight="1">
      <c r="A52" s="182" t="s">
        <v>70</v>
      </c>
      <c r="B52" s="37" t="s">
        <v>84</v>
      </c>
      <c r="C52" s="165" t="s">
        <v>119</v>
      </c>
      <c r="D52" s="165"/>
      <c r="E52" s="37">
        <v>46</v>
      </c>
      <c r="F52" s="42">
        <v>967</v>
      </c>
      <c r="G52" s="4">
        <v>44482</v>
      </c>
      <c r="H52" s="22" t="s">
        <v>139</v>
      </c>
      <c r="I52" s="16">
        <v>17</v>
      </c>
      <c r="J52" s="18">
        <v>2000</v>
      </c>
      <c r="K52" s="17">
        <f t="shared" si="0"/>
        <v>117.64705882352941</v>
      </c>
      <c r="L52" s="16">
        <v>17</v>
      </c>
      <c r="M52" s="18">
        <f t="shared" si="28"/>
        <v>1934.0000000000018</v>
      </c>
      <c r="N52" s="18">
        <f t="shared" si="2"/>
        <v>113.76470588235304</v>
      </c>
      <c r="O52" s="19">
        <f t="shared" si="3"/>
        <v>0</v>
      </c>
      <c r="P52" s="20">
        <f t="shared" si="4"/>
        <v>-3.8823529411763644</v>
      </c>
      <c r="Q52" s="21">
        <f t="shared" si="5"/>
        <v>0.96700000000000086</v>
      </c>
      <c r="R52" s="172"/>
      <c r="S52" s="28">
        <v>0.23055555555555557</v>
      </c>
      <c r="T52" s="28">
        <v>0.25138888888888888</v>
      </c>
      <c r="U52" s="4">
        <f t="shared" ref="U52:U59" si="30">IF(S52=TIME(17,0,0),"",(S52-T51)*24*60)</f>
        <v>6.0000000000000187</v>
      </c>
      <c r="V52" s="22">
        <f t="shared" si="29"/>
        <v>29.999999999999972</v>
      </c>
      <c r="W52" s="23"/>
      <c r="X52" s="23"/>
      <c r="Y52" s="23"/>
      <c r="Z52" s="23"/>
      <c r="AA52" s="164"/>
      <c r="AB52" s="164"/>
      <c r="AC52" s="25"/>
      <c r="AD52" s="25"/>
      <c r="AE52" s="19">
        <f t="shared" si="7"/>
        <v>-65.999999999998181</v>
      </c>
      <c r="AF52" s="21">
        <f t="shared" si="8"/>
        <v>0.96700000000000086</v>
      </c>
      <c r="AG52" s="172"/>
    </row>
    <row r="53" spans="1:33" ht="15.75" customHeight="1">
      <c r="A53" s="182" t="s">
        <v>1467</v>
      </c>
      <c r="B53" s="37" t="s">
        <v>78</v>
      </c>
      <c r="C53" s="173" t="s">
        <v>120</v>
      </c>
      <c r="D53" s="174"/>
      <c r="E53" s="37">
        <v>56.43</v>
      </c>
      <c r="F53" s="42">
        <v>1626</v>
      </c>
      <c r="G53" s="4">
        <v>91755.18</v>
      </c>
      <c r="H53" s="22" t="s">
        <v>139</v>
      </c>
      <c r="I53" s="16">
        <v>22</v>
      </c>
      <c r="J53" s="18">
        <v>2000</v>
      </c>
      <c r="K53" s="17">
        <f t="shared" si="0"/>
        <v>90.909090909090907</v>
      </c>
      <c r="L53" s="16">
        <v>22</v>
      </c>
      <c r="M53" s="18">
        <f t="shared" si="28"/>
        <v>1773.8181818181831</v>
      </c>
      <c r="N53" s="18">
        <f t="shared" si="2"/>
        <v>80.628099173553778</v>
      </c>
      <c r="O53" s="19">
        <f t="shared" si="3"/>
        <v>0</v>
      </c>
      <c r="P53" s="20">
        <f t="shared" si="4"/>
        <v>-10.280991735537128</v>
      </c>
      <c r="Q53" s="21">
        <f t="shared" si="5"/>
        <v>0.88690909090909154</v>
      </c>
      <c r="R53" s="172"/>
      <c r="S53" s="28">
        <v>0.25624999999999998</v>
      </c>
      <c r="T53" s="28">
        <v>0.2944444444444444</v>
      </c>
      <c r="U53" s="4">
        <f t="shared" si="30"/>
        <v>6.9999999999999751</v>
      </c>
      <c r="V53" s="22">
        <f t="shared" si="29"/>
        <v>54.999999999999964</v>
      </c>
      <c r="W53" s="23"/>
      <c r="X53" s="23"/>
      <c r="Y53" s="26"/>
      <c r="Z53" s="26"/>
      <c r="AA53" s="164"/>
      <c r="AB53" s="164"/>
      <c r="AC53" s="25"/>
      <c r="AD53" s="25"/>
      <c r="AE53" s="19">
        <f t="shared" si="7"/>
        <v>-226.18181818181688</v>
      </c>
      <c r="AF53" s="21">
        <f t="shared" si="8"/>
        <v>0.88690909090909154</v>
      </c>
      <c r="AG53" s="172"/>
    </row>
    <row r="54" spans="1:33" ht="15.75" customHeight="1">
      <c r="A54" s="182" t="s">
        <v>1467</v>
      </c>
      <c r="B54" s="37" t="s">
        <v>78</v>
      </c>
      <c r="C54" s="43" t="s">
        <v>121</v>
      </c>
      <c r="D54" s="44"/>
      <c r="E54" s="37">
        <v>51.75</v>
      </c>
      <c r="F54" s="42">
        <v>1423</v>
      </c>
      <c r="G54" s="4">
        <v>73640.25</v>
      </c>
      <c r="H54" s="22" t="s">
        <v>139</v>
      </c>
      <c r="I54" s="16">
        <v>25</v>
      </c>
      <c r="J54" s="18">
        <v>2000</v>
      </c>
      <c r="K54" s="17">
        <f t="shared" si="0"/>
        <v>80</v>
      </c>
      <c r="L54" s="16">
        <v>25</v>
      </c>
      <c r="M54" s="18">
        <f t="shared" si="28"/>
        <v>1674.1176470588241</v>
      </c>
      <c r="N54" s="18">
        <f t="shared" si="2"/>
        <v>66.964705882352959</v>
      </c>
      <c r="O54" s="19">
        <f t="shared" si="3"/>
        <v>0</v>
      </c>
      <c r="P54" s="20">
        <f t="shared" si="4"/>
        <v>-13.035294117647041</v>
      </c>
      <c r="Q54" s="21">
        <f t="shared" si="5"/>
        <v>0.83705882352941197</v>
      </c>
      <c r="R54" s="172"/>
      <c r="S54" s="28">
        <v>0.29791666666666661</v>
      </c>
      <c r="T54" s="28">
        <v>0.33333333333333326</v>
      </c>
      <c r="U54" s="4">
        <f t="shared" si="30"/>
        <v>4.9999999999999822</v>
      </c>
      <c r="V54" s="22">
        <f t="shared" si="29"/>
        <v>50.999999999999979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7"/>
        <v>-325.8823529411759</v>
      </c>
      <c r="AF54" s="21">
        <f t="shared" si="8"/>
        <v>0.83705882352941208</v>
      </c>
      <c r="AG54" s="172"/>
    </row>
    <row r="55" spans="1:33" ht="15.75" customHeight="1">
      <c r="A55" s="182" t="s">
        <v>70</v>
      </c>
      <c r="B55" s="37" t="s">
        <v>78</v>
      </c>
      <c r="C55" s="43" t="s">
        <v>122</v>
      </c>
      <c r="D55" s="44"/>
      <c r="E55" s="37">
        <v>54.09</v>
      </c>
      <c r="F55" s="42">
        <v>1225</v>
      </c>
      <c r="G55" s="4">
        <v>66260.25</v>
      </c>
      <c r="H55" s="22" t="s">
        <v>139</v>
      </c>
      <c r="I55" s="16">
        <v>19</v>
      </c>
      <c r="J55" s="18">
        <v>2000</v>
      </c>
      <c r="K55" s="17">
        <f t="shared" si="0"/>
        <v>105.26315789473684</v>
      </c>
      <c r="L55" s="16">
        <v>19</v>
      </c>
      <c r="M55" s="18">
        <f t="shared" si="28"/>
        <v>1884.6153846153836</v>
      </c>
      <c r="N55" s="18">
        <f t="shared" si="2"/>
        <v>99.190283400809662</v>
      </c>
      <c r="O55" s="19">
        <f t="shared" si="3"/>
        <v>0</v>
      </c>
      <c r="P55" s="20">
        <f t="shared" si="4"/>
        <v>-6.0728744939271735</v>
      </c>
      <c r="Q55" s="21">
        <f t="shared" si="5"/>
        <v>0.94230769230769185</v>
      </c>
      <c r="R55" s="172"/>
      <c r="S55" s="28">
        <v>0.33680555555555547</v>
      </c>
      <c r="T55" s="28">
        <v>0.36388888888888882</v>
      </c>
      <c r="U55" s="4">
        <f t="shared" si="30"/>
        <v>4.9999999999999822</v>
      </c>
      <c r="V55" s="22">
        <f t="shared" si="29"/>
        <v>39.000000000000021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7"/>
        <v>-115.38461538461638</v>
      </c>
      <c r="AF55" s="21">
        <f t="shared" si="8"/>
        <v>0.94230769230769185</v>
      </c>
      <c r="AG55" s="172"/>
    </row>
    <row r="56" spans="1:33" ht="15.75" customHeight="1">
      <c r="A56" s="182" t="s">
        <v>70</v>
      </c>
      <c r="B56" s="37" t="s">
        <v>78</v>
      </c>
      <c r="C56" s="173" t="s">
        <v>123</v>
      </c>
      <c r="D56" s="174"/>
      <c r="E56" s="37">
        <v>55.56</v>
      </c>
      <c r="F56" s="42">
        <v>1702</v>
      </c>
      <c r="G56" s="4">
        <v>94563.12000000001</v>
      </c>
      <c r="H56" s="22" t="s">
        <v>139</v>
      </c>
      <c r="I56" s="16">
        <v>17</v>
      </c>
      <c r="J56" s="18">
        <v>2000</v>
      </c>
      <c r="K56" s="17">
        <f t="shared" si="0"/>
        <v>117.64705882352941</v>
      </c>
      <c r="L56" s="16">
        <v>17</v>
      </c>
      <c r="M56" s="18">
        <f t="shared" si="28"/>
        <v>1926.7924528301896</v>
      </c>
      <c r="N56" s="18">
        <f t="shared" si="2"/>
        <v>113.34073251942291</v>
      </c>
      <c r="O56" s="19">
        <f t="shared" si="3"/>
        <v>0</v>
      </c>
      <c r="P56" s="20">
        <f t="shared" si="4"/>
        <v>-4.3063263041064914</v>
      </c>
      <c r="Q56" s="21">
        <f t="shared" si="5"/>
        <v>0.96339622641509481</v>
      </c>
      <c r="R56" s="172"/>
      <c r="S56" s="28">
        <v>0.70833333333333337</v>
      </c>
      <c r="T56" s="28">
        <v>0.74513888888888891</v>
      </c>
      <c r="U56" s="4" t="str">
        <f t="shared" si="30"/>
        <v/>
      </c>
      <c r="V56" s="22">
        <f t="shared" si="29"/>
        <v>52.999999999999972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7"/>
        <v>-73.207547169810368</v>
      </c>
      <c r="AF56" s="21">
        <f t="shared" si="8"/>
        <v>0.96339622641509481</v>
      </c>
      <c r="AG56" s="172"/>
    </row>
    <row r="57" spans="1:33" ht="15.75" customHeight="1">
      <c r="A57" s="182" t="s">
        <v>1467</v>
      </c>
      <c r="B57" s="37" t="s">
        <v>78</v>
      </c>
      <c r="C57" s="173" t="s">
        <v>124</v>
      </c>
      <c r="D57" s="174"/>
      <c r="E57" s="37">
        <v>55.32</v>
      </c>
      <c r="F57" s="42">
        <v>1100</v>
      </c>
      <c r="G57" s="4">
        <v>60852</v>
      </c>
      <c r="H57" s="22" t="s">
        <v>139</v>
      </c>
      <c r="I57" s="16">
        <v>15</v>
      </c>
      <c r="J57" s="18">
        <v>2000</v>
      </c>
      <c r="K57" s="17">
        <f t="shared" si="0"/>
        <v>133.33333333333334</v>
      </c>
      <c r="L57" s="16">
        <v>15</v>
      </c>
      <c r="M57" s="18">
        <f t="shared" si="28"/>
        <v>1941.1764705882326</v>
      </c>
      <c r="N57" s="18">
        <f t="shared" si="2"/>
        <v>129.41176470588218</v>
      </c>
      <c r="O57" s="19">
        <f t="shared" si="3"/>
        <v>0</v>
      </c>
      <c r="P57" s="20">
        <f t="shared" si="4"/>
        <v>-3.9215686274511654</v>
      </c>
      <c r="Q57" s="21">
        <f t="shared" si="5"/>
        <v>0.97058823529411631</v>
      </c>
      <c r="R57" s="172"/>
      <c r="S57" s="28">
        <v>0.75069444444444444</v>
      </c>
      <c r="T57" s="28">
        <v>0.77430555555555558</v>
      </c>
      <c r="U57" s="4">
        <f t="shared" si="30"/>
        <v>7.9999999999999716</v>
      </c>
      <c r="V57" s="22">
        <f t="shared" si="29"/>
        <v>34.000000000000043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7"/>
        <v>-58.823529411767367</v>
      </c>
      <c r="AF57" s="21">
        <f t="shared" si="8"/>
        <v>0.97058823529411631</v>
      </c>
      <c r="AG57" s="172"/>
    </row>
    <row r="58" spans="1:33" ht="15.75" customHeight="1">
      <c r="A58" s="182" t="s">
        <v>1467</v>
      </c>
      <c r="B58" s="37" t="s">
        <v>78</v>
      </c>
      <c r="C58" s="173" t="s">
        <v>125</v>
      </c>
      <c r="D58" s="174"/>
      <c r="E58" s="37">
        <v>54.29</v>
      </c>
      <c r="F58" s="42">
        <v>1449</v>
      </c>
      <c r="G58" s="4">
        <v>78666.209999999992</v>
      </c>
      <c r="H58" s="22" t="s">
        <v>139</v>
      </c>
      <c r="I58" s="16">
        <v>20</v>
      </c>
      <c r="J58" s="18">
        <v>2000</v>
      </c>
      <c r="K58" s="17">
        <f t="shared" si="0"/>
        <v>100</v>
      </c>
      <c r="L58" s="16">
        <v>20</v>
      </c>
      <c r="M58" s="18">
        <f t="shared" si="28"/>
        <v>1932.0000000000002</v>
      </c>
      <c r="N58" s="18">
        <f t="shared" si="2"/>
        <v>96.600000000000009</v>
      </c>
      <c r="O58" s="19">
        <f t="shared" si="3"/>
        <v>0</v>
      </c>
      <c r="P58" s="20">
        <f t="shared" si="4"/>
        <v>-3.3999999999999915</v>
      </c>
      <c r="Q58" s="21">
        <f t="shared" si="5"/>
        <v>0.96600000000000008</v>
      </c>
      <c r="R58" s="172"/>
      <c r="S58" s="28">
        <v>0.77916666666666667</v>
      </c>
      <c r="T58" s="28">
        <v>0.81041666666666667</v>
      </c>
      <c r="U58" s="4">
        <f t="shared" si="30"/>
        <v>6.9999999999999751</v>
      </c>
      <c r="V58" s="22">
        <f t="shared" si="29"/>
        <v>45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7"/>
        <v>-67.999999999999773</v>
      </c>
      <c r="AF58" s="21">
        <f t="shared" si="8"/>
        <v>0.96600000000000008</v>
      </c>
      <c r="AG58" s="172"/>
    </row>
    <row r="59" spans="1:33">
      <c r="A59" s="182" t="s">
        <v>70</v>
      </c>
      <c r="B59" s="37" t="s">
        <v>78</v>
      </c>
      <c r="C59" s="173" t="s">
        <v>126</v>
      </c>
      <c r="D59" s="174"/>
      <c r="E59" s="37">
        <v>57.73</v>
      </c>
      <c r="F59" s="42">
        <v>1008</v>
      </c>
      <c r="G59" s="4">
        <v>58191.839999999997</v>
      </c>
      <c r="H59" s="22" t="s">
        <v>139</v>
      </c>
      <c r="I59" s="16">
        <v>16</v>
      </c>
      <c r="J59" s="18">
        <v>1500</v>
      </c>
      <c r="K59" s="17">
        <f t="shared" si="0"/>
        <v>93.75</v>
      </c>
      <c r="L59" s="16">
        <v>16</v>
      </c>
      <c r="M59" s="18">
        <f t="shared" si="28"/>
        <v>1439.9999999999995</v>
      </c>
      <c r="N59" s="18">
        <f t="shared" si="2"/>
        <v>89.999999999999972</v>
      </c>
      <c r="O59" s="19">
        <f t="shared" si="3"/>
        <v>0</v>
      </c>
      <c r="P59" s="20">
        <f t="shared" si="4"/>
        <v>-3.7500000000000284</v>
      </c>
      <c r="Q59" s="21">
        <f t="shared" si="5"/>
        <v>0.95999999999999974</v>
      </c>
      <c r="R59" s="172"/>
      <c r="S59" s="28">
        <v>0.81527777777777777</v>
      </c>
      <c r="T59" s="28">
        <v>0.84444444444444444</v>
      </c>
      <c r="U59" s="4">
        <f t="shared" si="30"/>
        <v>6.9999999999999751</v>
      </c>
      <c r="V59" s="22">
        <f t="shared" si="29"/>
        <v>42.000000000000014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7"/>
        <v>-60.000000000000455</v>
      </c>
      <c r="AF59" s="21">
        <f t="shared" si="8"/>
        <v>0.95999999999999974</v>
      </c>
      <c r="AG59" s="172"/>
    </row>
    <row r="60" spans="1:33">
      <c r="A60" s="183" t="s">
        <v>1467</v>
      </c>
      <c r="B60" s="37" t="s">
        <v>48</v>
      </c>
      <c r="C60" s="177"/>
      <c r="D60" s="177"/>
      <c r="E60" s="38"/>
      <c r="F60" s="17"/>
      <c r="G60" s="17"/>
      <c r="H60" s="4"/>
      <c r="I60" s="30">
        <v>18.666666666666668</v>
      </c>
      <c r="J60" s="18">
        <v>1944.4444444444443</v>
      </c>
      <c r="K60" s="17">
        <f t="shared" si="0"/>
        <v>104.16666666666666</v>
      </c>
      <c r="L60" s="30">
        <v>18.666666666666668</v>
      </c>
      <c r="M60" s="18">
        <f>AVERAGE(M51:M59)</f>
        <v>1827.2201861524836</v>
      </c>
      <c r="N60" s="17">
        <f t="shared" si="2"/>
        <v>97.886795686740186</v>
      </c>
      <c r="O60" s="19">
        <f t="shared" si="3"/>
        <v>0</v>
      </c>
      <c r="P60" s="20">
        <f t="shared" si="4"/>
        <v>-6.2798709799264714</v>
      </c>
      <c r="Q60" s="21">
        <f t="shared" si="5"/>
        <v>0.93971323859270584</v>
      </c>
      <c r="R60" s="172"/>
      <c r="S60" s="28"/>
      <c r="T60" s="28"/>
      <c r="U60" s="4"/>
      <c r="V60" s="22"/>
      <c r="W60" s="17"/>
      <c r="X60" s="17"/>
      <c r="Y60" s="31">
        <f>SUM(Y51:Y59)</f>
        <v>0</v>
      </c>
      <c r="Z60" s="31">
        <f>SUM(Z51:Z59)</f>
        <v>0</v>
      </c>
      <c r="AA60" s="168"/>
      <c r="AB60" s="168"/>
      <c r="AC60" s="31">
        <v>9</v>
      </c>
      <c r="AD60" s="31">
        <f>SUM(AD51:AD59)</f>
        <v>0</v>
      </c>
      <c r="AE60" s="19">
        <f>M60-J60</f>
        <v>-117.22425829196072</v>
      </c>
      <c r="AF60" s="21">
        <f t="shared" si="8"/>
        <v>0.93971323859270595</v>
      </c>
      <c r="AG60" s="172"/>
    </row>
    <row r="61" spans="1:33" ht="15.75" customHeight="1">
      <c r="A61" s="178" t="s">
        <v>73</v>
      </c>
      <c r="B61" s="4" t="s">
        <v>84</v>
      </c>
      <c r="C61" s="165" t="s">
        <v>127</v>
      </c>
      <c r="D61" s="165"/>
      <c r="E61" s="37">
        <v>26.97</v>
      </c>
      <c r="F61" s="42">
        <v>1591</v>
      </c>
      <c r="G61" s="4">
        <v>42909.27</v>
      </c>
      <c r="H61" s="22" t="s">
        <v>139</v>
      </c>
      <c r="I61" s="16">
        <v>8</v>
      </c>
      <c r="J61" s="18">
        <v>1500</v>
      </c>
      <c r="K61" s="17">
        <f t="shared" si="0"/>
        <v>187.5</v>
      </c>
      <c r="L61" s="16">
        <v>8</v>
      </c>
      <c r="M61" s="18">
        <f t="shared" ref="M61:M65" si="31">F61/V61*60</f>
        <v>1446.3636363636369</v>
      </c>
      <c r="N61" s="17">
        <f t="shared" si="2"/>
        <v>180.79545454545462</v>
      </c>
      <c r="O61" s="19">
        <f t="shared" si="3"/>
        <v>0</v>
      </c>
      <c r="P61" s="20">
        <f t="shared" si="4"/>
        <v>-6.7045454545453822</v>
      </c>
      <c r="Q61" s="21">
        <f t="shared" si="5"/>
        <v>0.96424242424242468</v>
      </c>
      <c r="R61" s="172">
        <f>Q66</f>
        <v>0.96669413113767988</v>
      </c>
      <c r="S61" s="28">
        <v>0.20833333333333334</v>
      </c>
      <c r="T61" s="28">
        <v>0.25416666666666665</v>
      </c>
      <c r="U61" s="4"/>
      <c r="V61" s="22">
        <f t="shared" ref="V61:V65" si="32">(T61-S61)*24*60</f>
        <v>65.999999999999972</v>
      </c>
      <c r="W61" s="28"/>
      <c r="X61" s="28"/>
      <c r="Y61" s="28"/>
      <c r="Z61" s="28"/>
      <c r="AA61" s="164"/>
      <c r="AB61" s="164"/>
      <c r="AC61" s="25">
        <v>5</v>
      </c>
      <c r="AD61" s="25"/>
      <c r="AE61" s="19">
        <f t="shared" ref="AE61:AE72" si="33">M61-J61</f>
        <v>-53.636363636363058</v>
      </c>
      <c r="AF61" s="21">
        <f t="shared" si="8"/>
        <v>0.96424242424242468</v>
      </c>
      <c r="AG61" s="172">
        <f>AF66</f>
        <v>0.96669413113767988</v>
      </c>
    </row>
    <row r="62" spans="1:33" ht="15.75" customHeight="1">
      <c r="A62" s="178" t="s">
        <v>73</v>
      </c>
      <c r="B62" s="4" t="s">
        <v>84</v>
      </c>
      <c r="C62" s="165" t="s">
        <v>128</v>
      </c>
      <c r="D62" s="165"/>
      <c r="E62" s="37">
        <v>27.4</v>
      </c>
      <c r="F62" s="42">
        <v>745</v>
      </c>
      <c r="G62" s="4">
        <v>20413</v>
      </c>
      <c r="H62" s="22" t="s">
        <v>139</v>
      </c>
      <c r="I62" s="16">
        <v>10</v>
      </c>
      <c r="J62" s="18">
        <v>1500</v>
      </c>
      <c r="K62" s="17">
        <f t="shared" si="0"/>
        <v>150</v>
      </c>
      <c r="L62" s="16">
        <v>10</v>
      </c>
      <c r="M62" s="18">
        <f t="shared" si="31"/>
        <v>1441.9354838709689</v>
      </c>
      <c r="N62" s="17">
        <f t="shared" si="2"/>
        <v>144.19354838709688</v>
      </c>
      <c r="O62" s="19">
        <f t="shared" si="3"/>
        <v>0</v>
      </c>
      <c r="P62" s="20">
        <f t="shared" si="4"/>
        <v>-5.8064516129031176</v>
      </c>
      <c r="Q62" s="21">
        <f t="shared" si="5"/>
        <v>0.96129032258064584</v>
      </c>
      <c r="R62" s="172"/>
      <c r="S62" s="28">
        <v>0.25902777777777775</v>
      </c>
      <c r="T62" s="28">
        <v>0.2805555555555555</v>
      </c>
      <c r="U62" s="4">
        <f t="shared" ref="U62:U65" si="34">(S62-T61)*24*60</f>
        <v>6.9999999999999751</v>
      </c>
      <c r="V62" s="22">
        <f t="shared" si="32"/>
        <v>30.999999999999972</v>
      </c>
      <c r="W62" s="4"/>
      <c r="X62" s="4"/>
      <c r="Y62" s="4"/>
      <c r="Z62" s="4"/>
      <c r="AA62" s="164"/>
      <c r="AB62" s="164"/>
      <c r="AC62" s="25"/>
      <c r="AD62" s="25"/>
      <c r="AE62" s="19">
        <f t="shared" si="33"/>
        <v>-58.064516129031063</v>
      </c>
      <c r="AF62" s="21">
        <f t="shared" si="8"/>
        <v>0.96129032258064595</v>
      </c>
      <c r="AG62" s="172"/>
    </row>
    <row r="63" spans="1:33" ht="15.75" customHeight="1">
      <c r="A63" s="178" t="s">
        <v>73</v>
      </c>
      <c r="B63" s="4" t="s">
        <v>111</v>
      </c>
      <c r="C63" s="165" t="s">
        <v>129</v>
      </c>
      <c r="D63" s="165"/>
      <c r="E63" s="37">
        <v>31</v>
      </c>
      <c r="F63" s="42">
        <v>722</v>
      </c>
      <c r="G63" s="4">
        <v>22382</v>
      </c>
      <c r="H63" s="22" t="s">
        <v>139</v>
      </c>
      <c r="I63" s="16">
        <v>13</v>
      </c>
      <c r="J63" s="18">
        <v>2000</v>
      </c>
      <c r="K63" s="17">
        <f t="shared" si="0"/>
        <v>153.84615384615384</v>
      </c>
      <c r="L63" s="16">
        <v>13</v>
      </c>
      <c r="M63" s="18">
        <f t="shared" si="31"/>
        <v>1969.0909090909092</v>
      </c>
      <c r="N63" s="17">
        <f t="shared" si="2"/>
        <v>151.46853146853147</v>
      </c>
      <c r="O63" s="19">
        <f t="shared" si="3"/>
        <v>0</v>
      </c>
      <c r="P63" s="20">
        <f t="shared" si="4"/>
        <v>-2.3776223776223731</v>
      </c>
      <c r="Q63" s="21">
        <f t="shared" si="5"/>
        <v>0.98454545454545461</v>
      </c>
      <c r="R63" s="172"/>
      <c r="S63" s="28">
        <v>0.28611111111111104</v>
      </c>
      <c r="T63" s="28">
        <v>0.30138888888888882</v>
      </c>
      <c r="U63" s="4">
        <f t="shared" si="34"/>
        <v>7.9999999999999716</v>
      </c>
      <c r="V63" s="22">
        <f t="shared" si="32"/>
        <v>22</v>
      </c>
      <c r="W63" s="4"/>
      <c r="X63" s="4"/>
      <c r="Y63" s="4"/>
      <c r="Z63" s="4"/>
      <c r="AA63" s="164"/>
      <c r="AB63" s="164"/>
      <c r="AC63" s="25"/>
      <c r="AD63" s="25"/>
      <c r="AE63" s="19">
        <f t="shared" si="33"/>
        <v>-30.909090909090764</v>
      </c>
      <c r="AF63" s="21">
        <f t="shared" si="8"/>
        <v>0.98454545454545461</v>
      </c>
      <c r="AG63" s="172"/>
    </row>
    <row r="64" spans="1:33" ht="15.75" customHeight="1">
      <c r="A64" s="178" t="s">
        <v>1468</v>
      </c>
      <c r="B64" s="4" t="s">
        <v>111</v>
      </c>
      <c r="C64" s="165" t="s">
        <v>130</v>
      </c>
      <c r="D64" s="165"/>
      <c r="E64" s="37">
        <v>37.85</v>
      </c>
      <c r="F64" s="42">
        <v>2285</v>
      </c>
      <c r="G64" s="4">
        <v>86487.25</v>
      </c>
      <c r="H64" s="22" t="s">
        <v>139</v>
      </c>
      <c r="I64" s="16">
        <v>12</v>
      </c>
      <c r="J64" s="18">
        <v>2000</v>
      </c>
      <c r="K64" s="17">
        <f t="shared" si="0"/>
        <v>166.66666666666666</v>
      </c>
      <c r="L64" s="16">
        <v>12</v>
      </c>
      <c r="M64" s="18">
        <f t="shared" si="31"/>
        <v>1904.166666666667</v>
      </c>
      <c r="N64" s="17">
        <f t="shared" si="2"/>
        <v>158.68055555555557</v>
      </c>
      <c r="O64" s="19">
        <f t="shared" si="3"/>
        <v>0</v>
      </c>
      <c r="P64" s="20">
        <f t="shared" si="4"/>
        <v>-7.9861111111110858</v>
      </c>
      <c r="Q64" s="21">
        <f t="shared" si="5"/>
        <v>0.9520833333333335</v>
      </c>
      <c r="R64" s="172"/>
      <c r="S64" s="28">
        <v>0.30624999999999991</v>
      </c>
      <c r="T64" s="28">
        <v>0.3562499999999999</v>
      </c>
      <c r="U64" s="4">
        <f t="shared" si="34"/>
        <v>6.9999999999999751</v>
      </c>
      <c r="V64" s="22">
        <f t="shared" si="32"/>
        <v>71.999999999999986</v>
      </c>
      <c r="W64" s="4"/>
      <c r="X64" s="4"/>
      <c r="Y64" s="4"/>
      <c r="Z64" s="4"/>
      <c r="AA64" s="164"/>
      <c r="AB64" s="164"/>
      <c r="AC64" s="25"/>
      <c r="AD64" s="25"/>
      <c r="AE64" s="19">
        <f t="shared" si="33"/>
        <v>-95.83333333333303</v>
      </c>
      <c r="AF64" s="21">
        <f t="shared" si="8"/>
        <v>0.9520833333333335</v>
      </c>
      <c r="AG64" s="172"/>
    </row>
    <row r="65" spans="1:33">
      <c r="A65" s="179" t="s">
        <v>73</v>
      </c>
      <c r="B65" s="4" t="s">
        <v>111</v>
      </c>
      <c r="C65" s="165" t="s">
        <v>131</v>
      </c>
      <c r="D65" s="165"/>
      <c r="E65" s="37">
        <v>34.36</v>
      </c>
      <c r="F65" s="42">
        <v>1259</v>
      </c>
      <c r="G65" s="4">
        <v>43259.24</v>
      </c>
      <c r="H65" s="22" t="s">
        <v>139</v>
      </c>
      <c r="I65" s="16">
        <v>10</v>
      </c>
      <c r="J65" s="18">
        <v>3000</v>
      </c>
      <c r="K65" s="17">
        <f t="shared" si="0"/>
        <v>300</v>
      </c>
      <c r="L65" s="16">
        <v>10</v>
      </c>
      <c r="M65" s="18">
        <f t="shared" si="31"/>
        <v>2905.3846153846171</v>
      </c>
      <c r="N65" s="17">
        <f t="shared" si="2"/>
        <v>290.53846153846172</v>
      </c>
      <c r="O65" s="19">
        <f t="shared" si="3"/>
        <v>0</v>
      </c>
      <c r="P65" s="20">
        <f t="shared" si="4"/>
        <v>-9.4615384615382823</v>
      </c>
      <c r="Q65" s="21">
        <f t="shared" si="5"/>
        <v>0.96846153846153904</v>
      </c>
      <c r="R65" s="172"/>
      <c r="S65" s="28">
        <v>0.36111111111111099</v>
      </c>
      <c r="T65" s="28">
        <v>0.37916666666666654</v>
      </c>
      <c r="U65" s="4">
        <f t="shared" si="34"/>
        <v>6.9999999999999751</v>
      </c>
      <c r="V65" s="22">
        <f t="shared" si="32"/>
        <v>25.999999999999986</v>
      </c>
      <c r="W65" s="23"/>
      <c r="X65" s="23"/>
      <c r="Y65" s="23"/>
      <c r="Z65" s="23"/>
      <c r="AA65" s="164"/>
      <c r="AB65" s="164"/>
      <c r="AC65" s="25"/>
      <c r="AD65" s="25"/>
      <c r="AE65" s="19">
        <f t="shared" si="33"/>
        <v>-94.615384615382936</v>
      </c>
      <c r="AF65" s="21">
        <f t="shared" si="8"/>
        <v>0.96846153846153904</v>
      </c>
      <c r="AG65" s="172"/>
    </row>
    <row r="66" spans="1:33">
      <c r="A66" s="179" t="s">
        <v>1468</v>
      </c>
      <c r="B66" s="37" t="s">
        <v>1459</v>
      </c>
      <c r="C66" s="177"/>
      <c r="D66" s="177"/>
      <c r="E66" s="38"/>
      <c r="F66" s="17"/>
      <c r="G66" s="17"/>
      <c r="H66" s="4"/>
      <c r="I66" s="30">
        <v>10.6</v>
      </c>
      <c r="J66" s="18">
        <v>2000</v>
      </c>
      <c r="K66" s="17">
        <f t="shared" si="0"/>
        <v>188.67924528301887</v>
      </c>
      <c r="L66" s="30">
        <v>10.6</v>
      </c>
      <c r="M66" s="18">
        <f>AVERAGE(M61:M65)</f>
        <v>1933.3882622753597</v>
      </c>
      <c r="N66" s="17">
        <f t="shared" si="2"/>
        <v>182.39511908258112</v>
      </c>
      <c r="O66" s="19">
        <f t="shared" si="3"/>
        <v>0</v>
      </c>
      <c r="P66" s="20">
        <f t="shared" si="4"/>
        <v>-6.2841262004377541</v>
      </c>
      <c r="Q66" s="21">
        <f t="shared" si="5"/>
        <v>0.96669413113767988</v>
      </c>
      <c r="R66" s="172"/>
      <c r="S66" s="28"/>
      <c r="T66" s="28"/>
      <c r="U66" s="17"/>
      <c r="V66" s="22"/>
      <c r="W66" s="17"/>
      <c r="X66" s="17"/>
      <c r="Y66" s="31">
        <f>SUM(Y61:Y65)</f>
        <v>0</v>
      </c>
      <c r="Z66" s="31">
        <f>SUM(Z61:Z65)</f>
        <v>0</v>
      </c>
      <c r="AA66" s="168"/>
      <c r="AB66" s="168"/>
      <c r="AC66" s="31">
        <v>5</v>
      </c>
      <c r="AD66" s="31">
        <f>SUM(AD61:AD65)</f>
        <v>0</v>
      </c>
      <c r="AE66" s="19">
        <f t="shared" si="33"/>
        <v>-66.611737724640307</v>
      </c>
      <c r="AF66" s="21">
        <f t="shared" si="8"/>
        <v>0.96669413113767988</v>
      </c>
      <c r="AG66" s="172"/>
    </row>
    <row r="67" spans="1:33" ht="15.75" customHeight="1">
      <c r="A67" s="169" t="s">
        <v>1469</v>
      </c>
      <c r="B67" s="4" t="s">
        <v>100</v>
      </c>
      <c r="C67" s="165" t="s">
        <v>133</v>
      </c>
      <c r="D67" s="165"/>
      <c r="E67" s="37">
        <v>20.2</v>
      </c>
      <c r="F67" s="4">
        <v>1378</v>
      </c>
      <c r="G67" s="4">
        <v>27835.599999999999</v>
      </c>
      <c r="H67" s="22" t="s">
        <v>139</v>
      </c>
      <c r="I67" s="16">
        <v>19</v>
      </c>
      <c r="J67" s="18">
        <v>2400</v>
      </c>
      <c r="K67" s="17">
        <f t="shared" si="0"/>
        <v>126.31578947368421</v>
      </c>
      <c r="L67" s="16">
        <v>19</v>
      </c>
      <c r="M67" s="18">
        <f t="shared" ref="M67:M71" si="35">F67/V67*60</f>
        <v>2296.666666666667</v>
      </c>
      <c r="N67" s="17">
        <f t="shared" si="2"/>
        <v>120.87719298245615</v>
      </c>
      <c r="O67" s="19">
        <f t="shared" si="3"/>
        <v>0</v>
      </c>
      <c r="P67" s="20">
        <f t="shared" si="4"/>
        <v>-5.4385964912280542</v>
      </c>
      <c r="Q67" s="21">
        <f t="shared" si="5"/>
        <v>0.9569444444444446</v>
      </c>
      <c r="R67" s="172">
        <f>Q72</f>
        <v>0.96341291892536729</v>
      </c>
      <c r="S67" s="28">
        <v>0.125</v>
      </c>
      <c r="T67" s="28">
        <v>0.15</v>
      </c>
      <c r="U67" s="28"/>
      <c r="V67" s="22">
        <f t="shared" ref="V67:V71" si="36">(T67-S67)*24*60</f>
        <v>35.999999999999993</v>
      </c>
      <c r="W67" s="23">
        <f>T67</f>
        <v>0.15</v>
      </c>
      <c r="X67" s="23">
        <f>S68</f>
        <v>0.17152777777777778</v>
      </c>
      <c r="Y67" s="23"/>
      <c r="Z67" s="23"/>
      <c r="AA67" s="164"/>
      <c r="AB67" s="164"/>
      <c r="AC67" s="25">
        <v>5</v>
      </c>
      <c r="AD67" s="25"/>
      <c r="AE67" s="19">
        <f t="shared" si="33"/>
        <v>-103.33333333333303</v>
      </c>
      <c r="AF67" s="21">
        <f t="shared" si="8"/>
        <v>0.9569444444444446</v>
      </c>
      <c r="AG67" s="172">
        <f>AF72</f>
        <v>0.96341291892536729</v>
      </c>
    </row>
    <row r="68" spans="1:33" ht="15.75" customHeight="1">
      <c r="A68" s="170" t="s">
        <v>75</v>
      </c>
      <c r="B68" s="4" t="s">
        <v>100</v>
      </c>
      <c r="C68" s="165" t="s">
        <v>109</v>
      </c>
      <c r="D68" s="165"/>
      <c r="E68" s="37">
        <v>24.45</v>
      </c>
      <c r="F68" s="4">
        <v>2019</v>
      </c>
      <c r="G68" s="4">
        <v>49364.549999999996</v>
      </c>
      <c r="H68" s="22" t="s">
        <v>139</v>
      </c>
      <c r="I68" s="16">
        <v>20</v>
      </c>
      <c r="J68" s="18">
        <v>2400</v>
      </c>
      <c r="K68" s="17">
        <f t="shared" si="0"/>
        <v>120</v>
      </c>
      <c r="L68" s="16">
        <v>20</v>
      </c>
      <c r="M68" s="18">
        <f t="shared" si="35"/>
        <v>2285.6603773584898</v>
      </c>
      <c r="N68" s="17">
        <f t="shared" si="2"/>
        <v>114.28301886792448</v>
      </c>
      <c r="O68" s="19">
        <f t="shared" si="3"/>
        <v>0</v>
      </c>
      <c r="P68" s="20">
        <f t="shared" si="4"/>
        <v>-5.7169811320755173</v>
      </c>
      <c r="Q68" s="21">
        <f t="shared" si="5"/>
        <v>0.95235849056603739</v>
      </c>
      <c r="R68" s="172"/>
      <c r="S68" s="28">
        <v>0.17152777777777778</v>
      </c>
      <c r="T68" s="28">
        <v>0.20833333333333334</v>
      </c>
      <c r="U68" s="4">
        <f t="shared" ref="U68:U71" si="37">(S68-T67)*24*60</f>
        <v>31.000000000000011</v>
      </c>
      <c r="V68" s="22">
        <f t="shared" si="36"/>
        <v>53.000000000000014</v>
      </c>
      <c r="W68" s="23"/>
      <c r="X68" s="23"/>
      <c r="Y68" s="23"/>
      <c r="Z68" s="23"/>
      <c r="AA68" s="164"/>
      <c r="AB68" s="164"/>
      <c r="AC68" s="25"/>
      <c r="AD68" s="25"/>
      <c r="AE68" s="19">
        <f t="shared" si="33"/>
        <v>-114.33962264151023</v>
      </c>
      <c r="AF68" s="21">
        <f t="shared" si="8"/>
        <v>0.95235849056603739</v>
      </c>
      <c r="AG68" s="172"/>
    </row>
    <row r="69" spans="1:33" ht="15.75" customHeight="1">
      <c r="A69" s="170" t="s">
        <v>1469</v>
      </c>
      <c r="B69" s="4" t="s">
        <v>100</v>
      </c>
      <c r="C69" s="165" t="s">
        <v>136</v>
      </c>
      <c r="D69" s="165"/>
      <c r="E69" s="37">
        <v>24.43</v>
      </c>
      <c r="F69" s="4">
        <v>5109</v>
      </c>
      <c r="G69" s="4">
        <v>124812.87</v>
      </c>
      <c r="H69" s="22" t="s">
        <v>139</v>
      </c>
      <c r="I69" s="16">
        <v>14</v>
      </c>
      <c r="J69" s="18">
        <v>2400</v>
      </c>
      <c r="K69" s="17">
        <f t="shared" ref="K69:K72" si="38">J69/I69</f>
        <v>171.42857142857142</v>
      </c>
      <c r="L69" s="16">
        <v>14</v>
      </c>
      <c r="M69" s="18">
        <f t="shared" si="35"/>
        <v>2287.6119402985073</v>
      </c>
      <c r="N69" s="17">
        <f t="shared" ref="N69:N72" si="39">M69/L69</f>
        <v>163.4008528784648</v>
      </c>
      <c r="O69" s="19">
        <f t="shared" ref="O69:O72" si="40">L69-I69</f>
        <v>0</v>
      </c>
      <c r="P69" s="20">
        <f t="shared" ref="P69:P72" si="41">N69-K69</f>
        <v>-8.0277185501066128</v>
      </c>
      <c r="Q69" s="21">
        <f t="shared" ref="Q69:Q72" si="42">N69/K69</f>
        <v>0.95317164179104474</v>
      </c>
      <c r="R69" s="172"/>
      <c r="S69" s="28">
        <v>0.21319444444444446</v>
      </c>
      <c r="T69" s="28">
        <v>0.30625000000000002</v>
      </c>
      <c r="U69" s="4">
        <f t="shared" si="37"/>
        <v>7.0000000000000151</v>
      </c>
      <c r="V69" s="22">
        <f t="shared" si="36"/>
        <v>134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33"/>
        <v>-112.38805970149269</v>
      </c>
      <c r="AF69" s="21">
        <f t="shared" ref="AF69:AF72" si="43">M69/J69</f>
        <v>0.95317164179104474</v>
      </c>
      <c r="AG69" s="172"/>
    </row>
    <row r="70" spans="1:33" ht="15.75" customHeight="1">
      <c r="A70" s="170" t="s">
        <v>75</v>
      </c>
      <c r="B70" s="4" t="s">
        <v>100</v>
      </c>
      <c r="C70" s="165" t="s">
        <v>138</v>
      </c>
      <c r="D70" s="165"/>
      <c r="E70" s="37">
        <v>22.69</v>
      </c>
      <c r="F70" s="4">
        <v>679</v>
      </c>
      <c r="G70" s="4">
        <v>15406.51</v>
      </c>
      <c r="H70" s="22" t="s">
        <v>139</v>
      </c>
      <c r="I70" s="16">
        <v>15</v>
      </c>
      <c r="J70" s="18">
        <v>2400</v>
      </c>
      <c r="K70" s="17">
        <f t="shared" si="38"/>
        <v>160</v>
      </c>
      <c r="L70" s="16">
        <v>15</v>
      </c>
      <c r="M70" s="18">
        <f t="shared" si="35"/>
        <v>2396.470588235291</v>
      </c>
      <c r="N70" s="17">
        <f t="shared" si="39"/>
        <v>159.76470588235273</v>
      </c>
      <c r="O70" s="19">
        <f t="shared" si="40"/>
        <v>0</v>
      </c>
      <c r="P70" s="20">
        <f t="shared" si="41"/>
        <v>-0.23529411764727115</v>
      </c>
      <c r="Q70" s="21">
        <f t="shared" si="42"/>
        <v>0.99852941176470456</v>
      </c>
      <c r="R70" s="172"/>
      <c r="S70" s="28">
        <v>0.31111111111111112</v>
      </c>
      <c r="T70" s="28">
        <v>0.32291666666666669</v>
      </c>
      <c r="U70" s="4">
        <f t="shared" si="37"/>
        <v>6.9999999999999751</v>
      </c>
      <c r="V70" s="22">
        <f t="shared" si="36"/>
        <v>17.000000000000021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33"/>
        <v>-3.5294117647090388</v>
      </c>
      <c r="AF70" s="21">
        <f t="shared" si="43"/>
        <v>0.99852941176470456</v>
      </c>
      <c r="AG70" s="172"/>
    </row>
    <row r="71" spans="1:33" ht="15.75" customHeight="1">
      <c r="A71" s="170" t="s">
        <v>1469</v>
      </c>
      <c r="B71" s="4" t="s">
        <v>100</v>
      </c>
      <c r="C71" s="165" t="s">
        <v>135</v>
      </c>
      <c r="D71" s="165"/>
      <c r="E71" s="37">
        <v>19.02</v>
      </c>
      <c r="F71" s="4">
        <v>7572</v>
      </c>
      <c r="G71" s="4">
        <v>144019.44</v>
      </c>
      <c r="H71" s="22" t="s">
        <v>139</v>
      </c>
      <c r="I71" s="16">
        <v>15</v>
      </c>
      <c r="J71" s="18">
        <v>2400</v>
      </c>
      <c r="K71" s="17">
        <f t="shared" si="38"/>
        <v>160</v>
      </c>
      <c r="L71" s="16">
        <v>15</v>
      </c>
      <c r="M71" s="18">
        <f t="shared" si="35"/>
        <v>2294.545454545454</v>
      </c>
      <c r="N71" s="17">
        <f t="shared" si="39"/>
        <v>152.96969696969694</v>
      </c>
      <c r="O71" s="19">
        <f t="shared" si="40"/>
        <v>0</v>
      </c>
      <c r="P71" s="20">
        <f t="shared" si="41"/>
        <v>-7.0303030303030596</v>
      </c>
      <c r="Q71" s="21">
        <f t="shared" si="42"/>
        <v>0.95606060606060583</v>
      </c>
      <c r="R71" s="172"/>
      <c r="S71" s="28">
        <v>0.32708333333333334</v>
      </c>
      <c r="T71" s="28">
        <v>0.46458333333333335</v>
      </c>
      <c r="U71" s="4">
        <f t="shared" si="37"/>
        <v>5.9999999999999787</v>
      </c>
      <c r="V71" s="22">
        <f t="shared" si="36"/>
        <v>198.00000000000003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33"/>
        <v>-105.45454545454595</v>
      </c>
      <c r="AF71" s="21">
        <f t="shared" si="43"/>
        <v>0.95606060606060583</v>
      </c>
      <c r="AG71" s="172"/>
    </row>
    <row r="72" spans="1:33" ht="16.5" customHeight="1">
      <c r="A72" s="171" t="s">
        <v>1469</v>
      </c>
      <c r="B72" s="37" t="s">
        <v>1459</v>
      </c>
      <c r="C72" s="166"/>
      <c r="D72" s="167"/>
      <c r="E72" s="38"/>
      <c r="F72" s="17"/>
      <c r="G72" s="17"/>
      <c r="H72" s="4"/>
      <c r="I72" s="30">
        <v>16.600000000000001</v>
      </c>
      <c r="J72" s="18">
        <v>2400</v>
      </c>
      <c r="K72" s="17">
        <f t="shared" si="38"/>
        <v>144.57831325301203</v>
      </c>
      <c r="L72" s="30">
        <v>16.600000000000001</v>
      </c>
      <c r="M72" s="18">
        <f>AVERAGE(M67:M71)</f>
        <v>2312.1910054208815</v>
      </c>
      <c r="N72" s="17">
        <f t="shared" si="39"/>
        <v>139.28861478439043</v>
      </c>
      <c r="O72" s="19">
        <f t="shared" si="40"/>
        <v>0</v>
      </c>
      <c r="P72" s="20">
        <f t="shared" si="41"/>
        <v>-5.2896984686215944</v>
      </c>
      <c r="Q72" s="21">
        <f t="shared" si="42"/>
        <v>0.96341291892536729</v>
      </c>
      <c r="R72" s="172"/>
      <c r="S72" s="28"/>
      <c r="T72" s="28"/>
      <c r="U72" s="17"/>
      <c r="V72" s="22"/>
      <c r="W72" s="17"/>
      <c r="X72" s="17"/>
      <c r="Y72" s="31">
        <f>SUM(Y67:Y71)</f>
        <v>0</v>
      </c>
      <c r="Z72" s="31">
        <f>SUM(Z67:Z71)</f>
        <v>0</v>
      </c>
      <c r="AA72" s="168"/>
      <c r="AB72" s="168"/>
      <c r="AC72" s="31">
        <v>5</v>
      </c>
      <c r="AD72" s="31">
        <f>SUM(AD67:AD71)</f>
        <v>0</v>
      </c>
      <c r="AE72" s="19">
        <f t="shared" si="33"/>
        <v>-87.808994579118462</v>
      </c>
      <c r="AF72" s="21">
        <f t="shared" si="43"/>
        <v>0.96341291892536729</v>
      </c>
      <c r="AG72" s="172"/>
    </row>
    <row r="73" spans="1:33">
      <c r="D73" s="33"/>
      <c r="E73" s="33"/>
    </row>
  </sheetData>
  <mergeCells count="197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14:A20"/>
    <mergeCell ref="C14:D14"/>
    <mergeCell ref="R14:R20"/>
    <mergeCell ref="AA14:AB14"/>
    <mergeCell ref="AG14:AG20"/>
    <mergeCell ref="C18:D18"/>
    <mergeCell ref="AA18:AB18"/>
    <mergeCell ref="C19:D19"/>
    <mergeCell ref="AA19:AB19"/>
    <mergeCell ref="C20:D20"/>
    <mergeCell ref="AA20:AB20"/>
    <mergeCell ref="C15:D15"/>
    <mergeCell ref="AA15:AB15"/>
    <mergeCell ref="C16:D16"/>
    <mergeCell ref="AA16:AB16"/>
    <mergeCell ref="C17:D17"/>
    <mergeCell ref="AA17:AB17"/>
    <mergeCell ref="A11:A13"/>
    <mergeCell ref="C11:D11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G28:AG33"/>
    <mergeCell ref="C29:D29"/>
    <mergeCell ref="AA29:AB29"/>
    <mergeCell ref="C30:D30"/>
    <mergeCell ref="AA30:AB30"/>
    <mergeCell ref="C31:D31"/>
    <mergeCell ref="AA24:AB24"/>
    <mergeCell ref="C25:D25"/>
    <mergeCell ref="AA25:AB25"/>
    <mergeCell ref="C26:D26"/>
    <mergeCell ref="AA26:AB26"/>
    <mergeCell ref="C27:D27"/>
    <mergeCell ref="AA27:AB27"/>
    <mergeCell ref="AA31:AB31"/>
    <mergeCell ref="C32:D32"/>
    <mergeCell ref="AA32:AB32"/>
    <mergeCell ref="C33:D33"/>
    <mergeCell ref="AA33:AB33"/>
    <mergeCell ref="A34:A39"/>
    <mergeCell ref="C34:D34"/>
    <mergeCell ref="R34:R39"/>
    <mergeCell ref="AA34:AB34"/>
    <mergeCell ref="AA39:AB39"/>
    <mergeCell ref="A28:A33"/>
    <mergeCell ref="C28:D28"/>
    <mergeCell ref="R28:R33"/>
    <mergeCell ref="AA28:AB28"/>
    <mergeCell ref="AG40:AG50"/>
    <mergeCell ref="C41:D41"/>
    <mergeCell ref="AA41:AB41"/>
    <mergeCell ref="C42:D42"/>
    <mergeCell ref="AA42:AB42"/>
    <mergeCell ref="C43:D43"/>
    <mergeCell ref="AG34:AG39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C47:D47"/>
    <mergeCell ref="AA47:AB47"/>
    <mergeCell ref="C48:D48"/>
    <mergeCell ref="AA48:AB48"/>
    <mergeCell ref="C49:D49"/>
    <mergeCell ref="AA49:AB49"/>
    <mergeCell ref="AA43:AB43"/>
    <mergeCell ref="C44:D44"/>
    <mergeCell ref="A40:A50"/>
    <mergeCell ref="C40:D40"/>
    <mergeCell ref="AA59:AB59"/>
    <mergeCell ref="C60:D60"/>
    <mergeCell ref="AA60:AB60"/>
    <mergeCell ref="AA44:AB44"/>
    <mergeCell ref="C45:D45"/>
    <mergeCell ref="AA45:AB45"/>
    <mergeCell ref="C46:D46"/>
    <mergeCell ref="AA46:AB46"/>
    <mergeCell ref="R40:R50"/>
    <mergeCell ref="AA40:AB40"/>
    <mergeCell ref="C50:D50"/>
    <mergeCell ref="AA50:AB50"/>
    <mergeCell ref="A61:A66"/>
    <mergeCell ref="C61:D61"/>
    <mergeCell ref="R61:R66"/>
    <mergeCell ref="AA61:AB61"/>
    <mergeCell ref="AA66:AB66"/>
    <mergeCell ref="AG51:AG60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51:A60"/>
    <mergeCell ref="C51:D51"/>
    <mergeCell ref="R51:R60"/>
    <mergeCell ref="AA51:AB51"/>
    <mergeCell ref="AA57:AB57"/>
    <mergeCell ref="C58:D58"/>
    <mergeCell ref="AA58:AB58"/>
    <mergeCell ref="C59:D59"/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7:A72"/>
    <mergeCell ref="C67:D67"/>
    <mergeCell ref="R67:R72"/>
    <mergeCell ref="AA67:AB67"/>
    <mergeCell ref="AG67:AG72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  <mergeCell ref="AA72:AB72"/>
  </mergeCells>
  <phoneticPr fontId="3" type="noConversion"/>
  <conditionalFormatting sqref="O5:O72">
    <cfRule type="cellIs" dxfId="158" priority="1" operator="greaterThan">
      <formula>0</formula>
    </cfRule>
  </conditionalFormatting>
  <conditionalFormatting sqref="P5:P72">
    <cfRule type="cellIs" dxfId="157" priority="4" operator="lessThan">
      <formula>0</formula>
    </cfRule>
  </conditionalFormatting>
  <conditionalFormatting sqref="Q5:Q72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R5:R11 AG5:AG11">
    <cfRule type="cellIs" dxfId="154" priority="81" operator="lessThan">
      <formula>0.8</formula>
    </cfRule>
  </conditionalFormatting>
  <conditionalFormatting sqref="AE5:AE72">
    <cfRule type="cellIs" dxfId="153" priority="17" operator="lessThan">
      <formula>0</formula>
    </cfRule>
  </conditionalFormatting>
  <conditionalFormatting sqref="AF5:AF72">
    <cfRule type="cellIs" dxfId="152" priority="15" operator="greaterThan">
      <formula>1</formula>
    </cfRule>
    <cfRule type="cellIs" dxfId="151" priority="16" operator="lessThan">
      <formula>0.8</formula>
    </cfRule>
  </conditionalFormatting>
  <conditionalFormatting sqref="AG14:AG64 R14:R72">
    <cfRule type="cellIs" dxfId="150" priority="5" operator="lessThan">
      <formula>0.8</formula>
    </cfRule>
  </conditionalFormatting>
  <dataValidations count="1">
    <dataValidation type="list" allowBlank="1" showInputMessage="1" showErrorMessage="1" sqref="AB10 AA5:AB9 AB65 AA10:AA65 AB12:AB61 AA66:AB72" xr:uid="{00000000-0002-0000-19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Q32"/>
  <sheetViews>
    <sheetView zoomScale="85" zoomScaleNormal="85" workbookViewId="0">
      <selection activeCell="C7" sqref="C7:D7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1319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1320</v>
      </c>
      <c r="C3" s="153" t="str">
        <f>TEXT('0215 4度C'!A2,"yyyy.mm.ddaaaa")</f>
        <v>2026.02.15星期日</v>
      </c>
      <c r="D3" s="154"/>
      <c r="E3" s="47" t="s">
        <v>1321</v>
      </c>
      <c r="F3" s="155">
        <f>'0215 4度C'!D1</f>
        <v>121322</v>
      </c>
      <c r="G3" s="156"/>
      <c r="H3" s="47" t="s">
        <v>1322</v>
      </c>
      <c r="I3" s="157">
        <f>'0215 4度C'!F1</f>
        <v>4241179.74</v>
      </c>
      <c r="J3" s="158"/>
      <c r="K3" s="48"/>
      <c r="L3" s="49"/>
      <c r="M3" s="49"/>
      <c r="N3" s="49"/>
    </row>
    <row r="4" spans="2:17" ht="28.5" customHeight="1">
      <c r="B4" s="159" t="s">
        <v>1323</v>
      </c>
      <c r="C4" s="145" t="s">
        <v>145</v>
      </c>
      <c r="D4" s="146"/>
      <c r="E4" s="162" t="s">
        <v>146</v>
      </c>
      <c r="F4" s="163"/>
      <c r="G4" s="162" t="s">
        <v>1324</v>
      </c>
      <c r="H4" s="163"/>
      <c r="I4" s="162" t="s">
        <v>1325</v>
      </c>
      <c r="J4" s="163"/>
      <c r="K4" s="143" t="s">
        <v>1326</v>
      </c>
      <c r="L4" s="144"/>
      <c r="M4" s="144" t="s">
        <v>1327</v>
      </c>
      <c r="N4" s="144"/>
    </row>
    <row r="5" spans="2:17" ht="28.5" customHeight="1">
      <c r="B5" s="160"/>
      <c r="C5" s="145" t="s">
        <v>1328</v>
      </c>
      <c r="D5" s="146"/>
      <c r="E5" s="145" t="s">
        <v>1329</v>
      </c>
      <c r="F5" s="146"/>
      <c r="G5" s="147" t="s">
        <v>1330</v>
      </c>
      <c r="H5" s="148"/>
      <c r="I5" s="149" t="s">
        <v>1331</v>
      </c>
      <c r="J5" s="150"/>
      <c r="K5" s="50" t="s">
        <v>217</v>
      </c>
      <c r="L5" s="51" t="s">
        <v>156</v>
      </c>
      <c r="M5" s="50" t="s">
        <v>1332</v>
      </c>
      <c r="N5" s="51" t="s">
        <v>1333</v>
      </c>
    </row>
    <row r="6" spans="2:17" ht="28.5" customHeight="1">
      <c r="B6" s="160"/>
      <c r="C6" s="145" t="s">
        <v>158</v>
      </c>
      <c r="D6" s="146"/>
      <c r="E6" s="137">
        <f>AVERAGE(D13:M13)</f>
        <v>143.44218069090169</v>
      </c>
      <c r="F6" s="138">
        <f>AVERAGE(D31:O31,D13:J13)</f>
        <v>146.37743263636281</v>
      </c>
      <c r="G6" s="139">
        <f>AVERAGE(D13:J13)</f>
        <v>146.37743263636281</v>
      </c>
      <c r="H6" s="140"/>
      <c r="I6" s="139">
        <f>AVERAGE(K13:M13)</f>
        <v>136.59325948482575</v>
      </c>
      <c r="J6" s="140"/>
      <c r="K6" s="141">
        <f>'0215 4度C'!Y2</f>
        <v>0</v>
      </c>
      <c r="L6" s="126">
        <f>'0215 4度C'!Z2</f>
        <v>0</v>
      </c>
      <c r="M6" s="142">
        <f>'0215 4度C'!AC2</f>
        <v>58</v>
      </c>
      <c r="N6" s="126">
        <f>'0215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137.95900437323812</v>
      </c>
      <c r="F7" s="130">
        <f>AVERAGE(D32:O32,D14:J14)</f>
        <v>140.77078933210743</v>
      </c>
      <c r="G7" s="131">
        <f>AVERAGE(D14:J14)</f>
        <v>140.77078933210743</v>
      </c>
      <c r="H7" s="132"/>
      <c r="I7" s="131">
        <f>AVERAGE(K14:M14)</f>
        <v>131.39817280254303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0.96054518573450198</v>
      </c>
      <c r="F8" s="134">
        <f>AVERAGE(D15:J15,D33:O33)</f>
        <v>0.96002313648529403</v>
      </c>
      <c r="G8" s="135">
        <f>AVERAGE(D15:J15)</f>
        <v>0.96002313648529403</v>
      </c>
      <c r="H8" s="136"/>
      <c r="I8" s="135">
        <f>AVERAGE(K15:M15)</f>
        <v>0.96176330064932058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161</v>
      </c>
      <c r="N9" s="49"/>
      <c r="O9" s="49"/>
      <c r="P9" s="49"/>
      <c r="Q9" s="49"/>
    </row>
    <row r="10" spans="2:17" ht="30" customHeight="1">
      <c r="B10" s="109" t="s">
        <v>162</v>
      </c>
      <c r="C10" s="110"/>
      <c r="D10" s="111" t="s">
        <v>1334</v>
      </c>
      <c r="E10" s="112"/>
      <c r="F10" s="112"/>
      <c r="G10" s="112"/>
      <c r="H10" s="112"/>
      <c r="I10" s="112"/>
      <c r="J10" s="113"/>
      <c r="K10" s="114" t="s">
        <v>164</v>
      </c>
      <c r="L10" s="115"/>
      <c r="M10" s="116"/>
      <c r="P10" s="55"/>
      <c r="Q10" s="55"/>
    </row>
    <row r="11" spans="2:17" ht="17.25" customHeight="1">
      <c r="B11" s="117" t="s">
        <v>165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1335</v>
      </c>
      <c r="C13" s="62" t="s">
        <v>1336</v>
      </c>
      <c r="D13" s="63">
        <f>SUMIFS('0215 4度C'!$K:$K,'0215 4度C'!$A:$A,"新豐6線",'0215 4度C'!$B:$B,"平均")</f>
        <v>113.63636363636363</v>
      </c>
      <c r="E13" s="64">
        <f>SUMIFS('0215 4度C'!$K:$K,'0215 4度C'!$A:$A,"新豐2線",'0215 4度C'!$B:$B,"平均")</f>
        <v>83.333333333333329</v>
      </c>
      <c r="F13" s="65">
        <f>SUMIFS('0215 4度C'!$K:$K,'0215 4度C'!$A:$A,"新豐5線",'0215 4度C'!$B:$B,"平均")</f>
        <v>106.79611650485435</v>
      </c>
      <c r="G13" s="65">
        <f>SUMIFS('0215 4度C'!$K:$K,'0215 4度C'!$A:$A,"新豐7線",'0215 4度C'!$B:$B,"平均")</f>
        <v>125</v>
      </c>
      <c r="H13" s="65">
        <f>SUMIFS('0215 4度C'!$K:$K,'0215 4度C'!$A:$A,"新豐3線",'0215 4度C'!$B:$B,"平均")</f>
        <v>303.030303030303</v>
      </c>
      <c r="I13" s="65">
        <f>SUMIFS('0215 4度C'!$K:$K,'0215 4度C'!$A:$A,"新豐1線",'0215 4度C'!$B:$B,"平均")</f>
        <v>104.16666666666666</v>
      </c>
      <c r="J13" s="66">
        <f>SUMIFS('0215 4度C'!$K:$K,'0215 4度C'!$A:$A,"新豐10線",'0215 4度C'!$B:$B,"平均")</f>
        <v>188.67924528301887</v>
      </c>
      <c r="K13" s="67">
        <f>SUMIFS('0215 4度C'!$K:$K,'0215 4度C'!$A:$A,"新豐8線",'0215 4度C'!$B:$B,"平均")</f>
        <v>131.86813186813188</v>
      </c>
      <c r="L13" s="68">
        <f>SUMIFS('0215 4度C'!$K:$K,'0215 4度C'!$A:$A,"新豐9線",'0215 4度C'!$B:$B,"平均")</f>
        <v>133.33333333333334</v>
      </c>
      <c r="M13" s="66">
        <f>SUMIFS('0215 4度C'!$K:$K,'0215 4度C'!$A:$A,"新豐4線",'0215 4度C'!$B:$B,"平均")</f>
        <v>144.57831325301203</v>
      </c>
    </row>
    <row r="14" spans="2:17" ht="39.6" customHeight="1">
      <c r="B14" s="122"/>
      <c r="C14" s="69" t="s">
        <v>1337</v>
      </c>
      <c r="D14" s="70">
        <f>SUMIFS('0215 4度C'!$N:$N,'0215 4度C'!$A:$A,"新豐6線",'0215 4度C'!$B:$B,"平均")</f>
        <v>110.29691464383389</v>
      </c>
      <c r="E14" s="71">
        <f>SUMIFS('0215 4度C'!$N:$N,'0215 4度C'!$A:$A,"新豐2線",'0215 4度C'!$B:$B,"平均")</f>
        <v>79.778960804458137</v>
      </c>
      <c r="F14" s="71">
        <f>SUMIFS('0215 4度C'!$N:$N,'0215 4度C'!$A:$A,"新豐5線",'0215 4度C'!$B:$B,"平均")</f>
        <v>102.41973324772776</v>
      </c>
      <c r="G14" s="71">
        <f>SUMIFS('0215 4度C'!$N:$N,'0215 4度C'!$A:$A,"新豐7線",'0215 4度C'!$B:$B,"平均")</f>
        <v>120.15444366152254</v>
      </c>
      <c r="H14" s="71">
        <f>SUMIFS('0215 4度C'!$N:$N,'0215 4度C'!$A:$A,"新豐3線",'0215 4度C'!$B:$B,"平均")</f>
        <v>292.06173179384291</v>
      </c>
      <c r="I14" s="71">
        <f>SUMIFS('0215 4度C'!$N:$N,'0215 4度C'!$A:$A,"新豐1線",'0215 4度C'!$B:$B,"平均")</f>
        <v>97.794731594129246</v>
      </c>
      <c r="J14" s="72">
        <f>SUMIFS('0215 4度C'!$N:$N,'0215 4度C'!$A:$A,"新豐10線",'0215 4度C'!$B:$B,"平均")</f>
        <v>182.88900957923767</v>
      </c>
      <c r="K14" s="73">
        <f>SUMIFS('0215 4度C'!$N:$N,'0215 4度C'!$A:$A,"新豐8線",'0215 4度C'!$B:$B,"平均")</f>
        <v>126.1936503980067</v>
      </c>
      <c r="L14" s="74">
        <f>SUMIFS('0215 4度C'!$N:$N,'0215 4度C'!$A:$A,"新豐9線",'0215 4度C'!$B:$B,"平均")</f>
        <v>127.96922747975367</v>
      </c>
      <c r="M14" s="72">
        <f>SUMIFS('0215 4度C'!$N:$N,'0215 4度C'!$A:$A,"新豐4線",'0215 4度C'!$B:$B,"平均")</f>
        <v>140.0316405298687</v>
      </c>
    </row>
    <row r="15" spans="2:17" ht="40.15" customHeight="1">
      <c r="B15" s="123"/>
      <c r="C15" s="75" t="s">
        <v>1338</v>
      </c>
      <c r="D15" s="76">
        <f t="shared" ref="D15:M15" si="0">D14/D13</f>
        <v>0.97061284886573829</v>
      </c>
      <c r="E15" s="77">
        <f t="shared" si="0"/>
        <v>0.95734752965349768</v>
      </c>
      <c r="F15" s="77">
        <f t="shared" si="0"/>
        <v>0.95902113859236005</v>
      </c>
      <c r="G15" s="77">
        <f t="shared" si="0"/>
        <v>0.96123554929218025</v>
      </c>
      <c r="H15" s="77">
        <f t="shared" si="0"/>
        <v>0.96380371491968164</v>
      </c>
      <c r="I15" s="77">
        <f t="shared" si="0"/>
        <v>0.93882942330364083</v>
      </c>
      <c r="J15" s="78">
        <f t="shared" si="0"/>
        <v>0.96931175076995957</v>
      </c>
      <c r="K15" s="76">
        <f t="shared" si="0"/>
        <v>0.95696851551821738</v>
      </c>
      <c r="L15" s="77">
        <f t="shared" si="0"/>
        <v>0.95976920609815242</v>
      </c>
      <c r="M15" s="78">
        <f t="shared" si="0"/>
        <v>0.96855218033159196</v>
      </c>
    </row>
    <row r="16" spans="2:17" ht="17.25" customHeight="1">
      <c r="B16" s="124" t="s">
        <v>1339</v>
      </c>
      <c r="C16" s="79" t="s">
        <v>181</v>
      </c>
      <c r="D16" s="80">
        <f>VLOOKUP("新豐6線",'0215 4度C'!$A:$T,19,0)</f>
        <v>0.70833333333333337</v>
      </c>
      <c r="E16" s="81">
        <f>VLOOKUP("新豐2線",'0215 4度C'!$A:$T,19,0)</f>
        <v>0.20833333333333334</v>
      </c>
      <c r="F16" s="81">
        <f>VLOOKUP("新豐5線",'0215 4度C'!$A:$T,19,0)</f>
        <v>0.20833333333333334</v>
      </c>
      <c r="G16" s="81">
        <f>VLOOKUP("新豐7線",'0215 4度C'!$A:$T,19,0)</f>
        <v>0.20833333333333334</v>
      </c>
      <c r="H16" s="81">
        <f>VLOOKUP("新豐3線",'0215 4度C'!$A:$T,19,0)</f>
        <v>0.20833333333333334</v>
      </c>
      <c r="I16" s="81">
        <f>VLOOKUP("新豐1線",'0215 4度C'!$A:$T,19,0)</f>
        <v>0.20833333333333334</v>
      </c>
      <c r="J16" s="82">
        <f>VLOOKUP("新豐10線",'0215 4度C'!$A:$T,19,0)</f>
        <v>0.20833333333333334</v>
      </c>
      <c r="K16" s="83">
        <f>VLOOKUP("新豐8線",'0215 4度C'!$A:$T,19,0)</f>
        <v>0.125</v>
      </c>
      <c r="L16" s="84">
        <f>VLOOKUP("新豐9線",'0215 4度C'!$A:$T,19,0)</f>
        <v>0.125</v>
      </c>
      <c r="M16" s="85">
        <f>VLOOKUP("新豐4線",'0215 4度C'!$A:$T,19,0)</f>
        <v>0.125</v>
      </c>
    </row>
    <row r="17" spans="2:13" ht="17.25" customHeight="1">
      <c r="B17" s="125"/>
      <c r="C17" s="79" t="s">
        <v>1340</v>
      </c>
      <c r="D17" s="83">
        <f>LOOKUP(2,1/(('0215 4度C'!$A:$A="新豐6線")*('0215 4度C'!$T:$T&lt;&gt;"")),'0215 4度C'!$T:$T)</f>
        <v>0.8340277777777777</v>
      </c>
      <c r="E17" s="81">
        <f>LOOKUP(2,1/(('0215 4度C'!$A:$A="新豐2線")*('0215 4度C'!$T:$T&lt;&gt;"")),'0215 4度C'!$T:$T)</f>
        <v>0.36041666666666666</v>
      </c>
      <c r="F17" s="81">
        <f>LOOKUP(2,1/(('0215 4度C'!$A:$A="新豐5線")*('0215 4度C'!$T:$T&lt;&gt;"")),'0215 4度C'!$T:$T)</f>
        <v>0.85277777777777786</v>
      </c>
      <c r="G17" s="81">
        <f>LOOKUP(2,1/(('0215 4度C'!$A:$A="新豐7線")*('0215 4度C'!$T:$T&lt;&gt;"")),'0215 4度C'!$T:$T)</f>
        <v>0.85902777777777783</v>
      </c>
      <c r="H17" s="81">
        <f>LOOKUP(2,1/(('0215 4度C'!$A:$A="新豐3線")*('0215 4度C'!$T:$T&lt;&gt;"")),'0215 4度C'!$T:$T)</f>
        <v>0.64861111111111092</v>
      </c>
      <c r="I17" s="81">
        <f>LOOKUP(2,1/(('0215 4度C'!$A:$A="新豐1線")*('0215 4度C'!$T:$T&lt;&gt;"")),'0215 4度C'!$T:$T)</f>
        <v>0.84236111111111112</v>
      </c>
      <c r="J17" s="82">
        <f>LOOKUP(2,1/(('0215 4度C'!$A:$A="新豐10線")*('0215 4度C'!$T:$T&lt;&gt;"")),'0215 4度C'!$T:$T)</f>
        <v>0.38124999999999992</v>
      </c>
      <c r="K17" s="80">
        <f>LOOKUP(2,1/(('0215 4度C'!$A:$A="新豐8線")*('0215 4度C'!$T:$T&lt;&gt;"")),'0215 4度C'!$T:$T)</f>
        <v>0.48333333333333323</v>
      </c>
      <c r="L17" s="81">
        <f>LOOKUP(2,1/(('0215 4度C'!$A:$A="新豐9線")*('0215 4度C'!$T:$T&lt;&gt;"")),'0215 4度C'!$T:$T)</f>
        <v>0.44097222222222221</v>
      </c>
      <c r="M17" s="82">
        <f>LOOKUP(2,1/(('0215 4度C'!$A:$A="新豐4線")*('0215 4度C'!$T:$T&lt;&gt;"")),'0215 4度C'!$T:$T)</f>
        <v>0.44097222222222221</v>
      </c>
    </row>
    <row r="18" spans="2:13" ht="17.25" customHeight="1">
      <c r="B18" s="103" t="s">
        <v>183</v>
      </c>
      <c r="C18" s="86" t="s">
        <v>1341</v>
      </c>
      <c r="D18" s="87">
        <f>SUMIFS('0215 4度C'!$Y:$Y,'0215 4度C'!$A:$A,"新豐6線",'0215 4度C'!$B:$B,"平均")</f>
        <v>0</v>
      </c>
      <c r="E18" s="88">
        <f>SUMIFS('0215 4度C'!$Y:$Y,'0215 4度C'!$A:$A,"新豐2線",'0215 4度C'!$B:$B,"平均")</f>
        <v>0</v>
      </c>
      <c r="F18" s="88">
        <f>SUMIFS('0215 4度C'!$Y:$Y,'0215 4度C'!$A:$A,"新豐5線",'0215 4度C'!$B:$B,"平均")</f>
        <v>0</v>
      </c>
      <c r="G18" s="88">
        <f>SUMIFS('0215 4度C'!$Y:$Y,'0215 4度C'!$A:$A,"新豐7線",'0215 4度C'!$B:$B,"平均")</f>
        <v>0</v>
      </c>
      <c r="H18" s="88">
        <f>SUMIFS('0215 4度C'!$Y:$Y,'0215 4度C'!$A:$A,"新豐3線",'0215 4度C'!$B:$B,"平均")</f>
        <v>0</v>
      </c>
      <c r="I18" s="88">
        <f>SUMIFS('0215 4度C'!$Y:$Y,'0215 4度C'!$A:$A,"新豐1線",'0215 4度C'!$B:$B,"平均")</f>
        <v>0</v>
      </c>
      <c r="J18" s="89">
        <f>SUMIFS('0215 4度C'!$Y:$Y,'0215 4度C'!$A:$A,"新豐10線",'0215 4度C'!$B:$B,"平均")</f>
        <v>0</v>
      </c>
      <c r="K18" s="90">
        <f>SUMIFS('0215 4度C'!$Y:$Y,'0215 4度C'!$A:$A,"新豐8線",'0215 4度C'!$B:$B,"平均")</f>
        <v>0</v>
      </c>
      <c r="L18" s="88">
        <f>SUMIFS('0215 4度C'!$Y:$Y,'0215 4度C'!$A:$A,"新豐9線",'0215 4度C'!$B:$B,"平均")</f>
        <v>0</v>
      </c>
      <c r="M18" s="89">
        <f>SUMIFS('0215 4度C'!$Y:$Y,'0215 4度C'!$A:$A,"新豐4線",'0215 4度C'!$B:$B,"平均")</f>
        <v>0</v>
      </c>
    </row>
    <row r="19" spans="2:13" ht="17.25" customHeight="1">
      <c r="B19" s="104"/>
      <c r="C19" s="86" t="s">
        <v>1342</v>
      </c>
      <c r="D19" s="87">
        <f>SUMIFS('0215 4度C'!$Z:$Z,'0215 4度C'!$A:$A,"新豐6線",'0215 4度C'!$B:$B,"平均")</f>
        <v>0</v>
      </c>
      <c r="E19" s="88">
        <f>SUMIFS('0215 4度C'!$Z:$Z,'0215 4度C'!$A:$A,"新豐2線",'0215 4度C'!$B:$B,"平均")</f>
        <v>0</v>
      </c>
      <c r="F19" s="88">
        <f>SUMIFS('0215 4度C'!$Z:$Z,'0215 4度C'!$A:$A,"新豐5線",'0215 4度C'!$B:$B,"平均")</f>
        <v>0</v>
      </c>
      <c r="G19" s="88">
        <f>SUMIFS('0215 4度C'!$Z:$Z,'0215 4度C'!$A:$A,"新豐7線",'0215 4度C'!$B:$B,"平均")</f>
        <v>0</v>
      </c>
      <c r="H19" s="88">
        <f>SUMIFS('0215 4度C'!$Z:$Z,'0215 4度C'!$A:$A,"新豐3線",'0215 4度C'!$B:$B,"平均")</f>
        <v>0</v>
      </c>
      <c r="I19" s="88">
        <f>SUMIFS('0215 4度C'!$Z:$Z,'0215 4度C'!$A:$A,"新豐1線",'0215 4度C'!$B:$B,"平均")</f>
        <v>0</v>
      </c>
      <c r="J19" s="89">
        <f>SUMIFS('0215 4度C'!$Z:$Z,'0215 4度C'!$A:$A,"新豐10線",'0215 4度C'!$B:$B,"平均")</f>
        <v>0</v>
      </c>
      <c r="K19" s="90">
        <f>SUMIFS('0215 4度C'!$Z:$Z,'0215 4度C'!$A:$A,"新豐8線",'0215 4度C'!$B:$B,"平均")</f>
        <v>0</v>
      </c>
      <c r="L19" s="88">
        <f>SUMIFS('0215 4度C'!$Z:$Z,'0215 4度C'!$A:$A,"新豐9線",'0215 4度C'!$B:$B,"平均")</f>
        <v>0</v>
      </c>
      <c r="M19" s="89">
        <f>SUMIFS('0215 4度C'!$Z:$Z,'0215 4度C'!$A:$A,"新豐4線",'0215 4度C'!$B:$B,"平均")</f>
        <v>0</v>
      </c>
    </row>
    <row r="20" spans="2:13" ht="17.25" customHeight="1">
      <c r="B20" s="103" t="s">
        <v>186</v>
      </c>
      <c r="C20" s="86" t="s">
        <v>1343</v>
      </c>
      <c r="D20" s="87">
        <f>SUMIFS('0215 4度C'!$AC:$AC,'0215 4度C'!$A:$A,"新豐6線",'0215 4度C'!$B:$B,"平均")</f>
        <v>5</v>
      </c>
      <c r="E20" s="88">
        <f>SUMIFS('0215 4度C'!$AC:$AC,'0215 4度C'!$A:$A,"新豐2線",'0215 4度C'!$B:$B,"平均")</f>
        <v>2</v>
      </c>
      <c r="F20" s="88">
        <f>SUMIFS('0215 4度C'!$AC:$AC,'0215 4度C'!$A:$A,"新豐5線",'0215 4度C'!$B:$B,"平均")</f>
        <v>6</v>
      </c>
      <c r="G20" s="88">
        <f>SUMIFS('0215 4度C'!$AC:$AC,'0215 4度C'!$A:$A,"新豐7線",'0215 4度C'!$B:$B,"平均")</f>
        <v>6</v>
      </c>
      <c r="H20" s="88">
        <f>SUMIFS('0215 4度C'!$AC:$AC,'0215 4度C'!$A:$A,"新豐3線",'0215 4度C'!$B:$B,"平均")</f>
        <v>10</v>
      </c>
      <c r="I20" s="88">
        <f>SUMIFS('0215 4度C'!$AC:$AC,'0215 4度C'!$A:$A,"新豐1線",'0215 4度C'!$B:$B,"平均")</f>
        <v>9</v>
      </c>
      <c r="J20" s="89">
        <f>SUMIFS('0215 4度C'!$AC:$AC,'0215 4度C'!$A:$A,"新豐10線",'0215 4度C'!$B:$B,"平均")</f>
        <v>5</v>
      </c>
      <c r="K20" s="90">
        <f>SUMIFS('0215 4度C'!$AC:$AC,'0215 4度C'!$A:$A,"新豐8線",'0215 4度C'!$B:$B,"平均")</f>
        <v>5</v>
      </c>
      <c r="L20" s="88">
        <f>SUMIFS('0215 4度C'!$AC:$AC,'0215 4度C'!$A:$A,"新豐9線",'0215 4度C'!$B:$B,"平均")</f>
        <v>5</v>
      </c>
      <c r="M20" s="89">
        <f>SUMIFS('0215 4度C'!$AC:$AC,'0215 4度C'!$A:$A,"新豐4線",'0215 4度C'!$B:$B,"平均")</f>
        <v>5</v>
      </c>
    </row>
    <row r="21" spans="2:13" ht="17.25" customHeight="1">
      <c r="B21" s="104"/>
      <c r="C21" s="86" t="s">
        <v>1344</v>
      </c>
      <c r="D21" s="87">
        <f>SUMIFS('0215 4度C'!$AD:$AD,'0215 4度C'!$A:$A,"新豐6線",'0215 4度C'!$B:$B,"平均")</f>
        <v>0</v>
      </c>
      <c r="E21" s="88">
        <f>SUMIFS('0215 4度C'!$AD:$AD,'0215 4度C'!$A:$A,"新豐2線",'0215 4度C'!$B:$B,"平均")</f>
        <v>0</v>
      </c>
      <c r="F21" s="88">
        <f>SUMIFS('0215 4度C'!$AD:$AD,'0215 4度C'!$A:$A,"新豐5線",'0215 4度C'!$B:$B,"平均")</f>
        <v>0</v>
      </c>
      <c r="G21" s="88">
        <f>SUMIFS('0215 4度C'!$AD:$AD,'0215 4度C'!$A:$A,"新豐7線",'0215 4度C'!$B:$B,"平均")</f>
        <v>0</v>
      </c>
      <c r="H21" s="88">
        <f>SUMIFS('0215 4度C'!$AD:$AD,'0215 4度C'!$A:$A,"新豐3線",'0215 4度C'!$B:$B,"平均")</f>
        <v>0</v>
      </c>
      <c r="I21" s="88">
        <f>SUMIFS('0215 4度C'!$AD:$AD,'0215 4度C'!$A:$A,"新豐1線",'0215 4度C'!$B:$B,"平均")</f>
        <v>0</v>
      </c>
      <c r="J21" s="89">
        <f>SUMIFS('0215 4度C'!$AD:$AD,'0215 4度C'!$A:$A,"新豐10線",'0215 4度C'!$B:$B,"平均")</f>
        <v>0</v>
      </c>
      <c r="K21" s="90">
        <f>SUMIFS('0215 4度C'!$AD:$AD,'0215 4度C'!$A:$A,"新豐8線",'0215 4度C'!$B:$B,"平均")</f>
        <v>0</v>
      </c>
      <c r="L21" s="88">
        <f>SUMIFS('0215 4度C'!$AD:$AD,'0215 4度C'!$A:$A,"新豐9線",'0215 4度C'!$B:$B,"平均")</f>
        <v>0</v>
      </c>
      <c r="M21" s="89">
        <f>SUMIFS('0215 4度C'!$AD:$AD,'0215 4度C'!$A:$A,"新豐4線",'0215 4度C'!$B:$B,"平均")</f>
        <v>0</v>
      </c>
    </row>
    <row r="22" spans="2:13" ht="17.25" customHeight="1">
      <c r="B22" s="105" t="s">
        <v>1345</v>
      </c>
      <c r="C22" s="106"/>
      <c r="D22" s="91">
        <f>SUMIFS('0215 4度C'!$I:$I,'0215 4度C'!$A:$A,"新豐6線",'0215 4度C'!$B:$B,"平均")</f>
        <v>17.600000000000001</v>
      </c>
      <c r="E22" s="92">
        <f>SUMIFS('0215 4度C'!$I:$I,'0215 4度C'!$A:$A,"新豐2線",'0215 4度C'!$B:$B,"平均")</f>
        <v>18</v>
      </c>
      <c r="F22" s="92">
        <f>SUMIFS('0215 4度C'!$I:$I,'0215 4度C'!$A:$A,"新豐5線",'0215 4度C'!$B:$B,"平均")</f>
        <v>17.166666666666668</v>
      </c>
      <c r="G22" s="92">
        <f>SUMIFS('0215 4度C'!$I:$I,'0215 4度C'!$A:$A,"新豐7線",'0215 4度C'!$B:$B,"平均")</f>
        <v>15.333333333333334</v>
      </c>
      <c r="H22" s="92">
        <f>SUMIFS('0215 4度C'!$I:$I,'0215 4度C'!$A:$A,"新豐3線",'0215 4度C'!$B:$B,"平均")</f>
        <v>9.9</v>
      </c>
      <c r="I22" s="92">
        <f>SUMIFS('0215 4度C'!$I:$I,'0215 4度C'!$A:$A,"新豐1線",'0215 4度C'!$B:$B,"平均")</f>
        <v>18.666666666666668</v>
      </c>
      <c r="J22" s="93">
        <f>SUMIFS('0215 4度C'!$I:$I,'0215 4度C'!$A:$A,"新豐10線",'0215 4度C'!$B:$B,"平均")</f>
        <v>10.6</v>
      </c>
      <c r="K22" s="91">
        <f>SUMIFS('0215 4度C'!$I:$I,'0215 4度C'!$A:$A,"新豐8線",'0215 4度C'!$B:$B,"平均")</f>
        <v>18.2</v>
      </c>
      <c r="L22" s="92">
        <f>SUMIFS('0215 4度C'!$I:$I,'0215 4度C'!$A:$A,"新豐9線",'0215 4度C'!$B:$B,"平均")</f>
        <v>18</v>
      </c>
      <c r="M22" s="93">
        <f>SUMIFS('0215 4度C'!$I:$I,'0215 4度C'!$A:$A,"新豐4線",'0215 4度C'!$B:$B,"平均")</f>
        <v>16.600000000000001</v>
      </c>
    </row>
    <row r="23" spans="2:13" ht="17.25" customHeight="1">
      <c r="B23" s="105" t="s">
        <v>1346</v>
      </c>
      <c r="C23" s="106"/>
      <c r="D23" s="94" t="s">
        <v>191</v>
      </c>
      <c r="E23" s="95" t="s">
        <v>192</v>
      </c>
      <c r="F23" s="95" t="s">
        <v>1347</v>
      </c>
      <c r="G23" s="95" t="s">
        <v>1347</v>
      </c>
      <c r="H23" s="95" t="s">
        <v>194</v>
      </c>
      <c r="I23" s="95" t="s">
        <v>191</v>
      </c>
      <c r="J23" s="96" t="s">
        <v>194</v>
      </c>
      <c r="K23" s="94" t="s">
        <v>1348</v>
      </c>
      <c r="L23" s="95" t="s">
        <v>195</v>
      </c>
      <c r="M23" s="96" t="s">
        <v>1348</v>
      </c>
    </row>
    <row r="24" spans="2:13" ht="17.25" customHeight="1">
      <c r="B24" s="105" t="s">
        <v>1349</v>
      </c>
      <c r="C24" s="106"/>
      <c r="D24" s="94"/>
      <c r="E24" s="95"/>
      <c r="F24" s="95" t="s">
        <v>1350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1351</v>
      </c>
      <c r="C25" s="108"/>
      <c r="D25" s="97"/>
      <c r="E25" s="98" t="s">
        <v>1352</v>
      </c>
      <c r="F25" s="101" t="s">
        <v>200</v>
      </c>
      <c r="G25" s="102"/>
      <c r="H25" s="98" t="s">
        <v>201</v>
      </c>
      <c r="I25" s="98" t="s">
        <v>1353</v>
      </c>
      <c r="J25" s="99" t="s">
        <v>201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4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13">
    <pageSetUpPr fitToPage="1"/>
  </sheetPr>
  <dimension ref="A1:AG73"/>
  <sheetViews>
    <sheetView zoomScale="80" zoomScaleNormal="80" workbookViewId="0">
      <pane ySplit="4" topLeftCell="A5" activePane="bottomLeft" state="frozen"/>
      <selection activeCell="J13" sqref="J13"/>
      <selection pane="bottomLeft" activeCell="AC5" sqref="AC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1354</v>
      </c>
      <c r="B1" s="1"/>
      <c r="C1" s="2" t="s">
        <v>1355</v>
      </c>
      <c r="D1" s="3">
        <f>SUM(F5:F72)</f>
        <v>121322</v>
      </c>
      <c r="E1" s="4" t="s">
        <v>1356</v>
      </c>
      <c r="F1" s="1">
        <f>SUM(G5:G72)</f>
        <v>4241179.74</v>
      </c>
      <c r="G1" s="1" t="s">
        <v>1357</v>
      </c>
      <c r="H1" s="5">
        <f>L10+L13+L50+L60+L20+L66+L33+L39+L27+L72</f>
        <v>160.06666666666666</v>
      </c>
      <c r="I1" s="214" t="s">
        <v>1358</v>
      </c>
      <c r="J1" s="214"/>
      <c r="K1" s="214"/>
      <c r="L1" s="214" t="s">
        <v>1359</v>
      </c>
      <c r="M1" s="214"/>
      <c r="N1" s="214"/>
      <c r="O1" s="214" t="s">
        <v>1360</v>
      </c>
      <c r="P1" s="214"/>
      <c r="Q1" s="214"/>
      <c r="R1" s="214"/>
      <c r="S1" s="214" t="s">
        <v>1361</v>
      </c>
      <c r="T1" s="214"/>
      <c r="U1" s="214"/>
      <c r="V1" s="214"/>
      <c r="W1" s="214"/>
      <c r="X1" s="214"/>
      <c r="Y1" s="6" t="s">
        <v>1362</v>
      </c>
      <c r="Z1" s="7" t="s">
        <v>1363</v>
      </c>
      <c r="AA1" s="215" t="s">
        <v>1364</v>
      </c>
      <c r="AB1" s="215"/>
      <c r="AC1" s="8" t="s">
        <v>1362</v>
      </c>
      <c r="AD1" s="7" t="s">
        <v>1365</v>
      </c>
      <c r="AE1" s="214" t="s">
        <v>1366</v>
      </c>
      <c r="AF1" s="216"/>
      <c r="AG1" s="216"/>
    </row>
    <row r="2" spans="1:33" ht="26.25" customHeight="1">
      <c r="A2" s="35">
        <v>46068</v>
      </c>
      <c r="B2" s="36" t="s">
        <v>77</v>
      </c>
      <c r="C2" s="2" t="s">
        <v>1367</v>
      </c>
      <c r="D2" s="10">
        <f>AVERAGE(N10,N13,N50,N60,N20,N66,N27,N33,N39,N72)</f>
        <v>137.95900437323812</v>
      </c>
      <c r="E2" s="11" t="s">
        <v>14</v>
      </c>
      <c r="F2" s="12">
        <f>F1/D1</f>
        <v>34.958043388668173</v>
      </c>
      <c r="G2" s="1" t="s">
        <v>1368</v>
      </c>
      <c r="H2" s="13">
        <f>COUNT(H5:H72)</f>
        <v>4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SUM(Y10+Y13+Y20+Y27+Y33+Y39+Y50+Y60+Y66+Y72)</f>
        <v>0</v>
      </c>
      <c r="Z2" s="14">
        <f>SUM(Z10+Z13+Z20+Z27+Z33+Z39+Z50+Z60+Z66+Z72)</f>
        <v>0</v>
      </c>
      <c r="AA2" s="215"/>
      <c r="AB2" s="215"/>
      <c r="AC2" s="14">
        <v>58</v>
      </c>
      <c r="AD2" s="14">
        <f>SUM(AD10+AD13+AD20+AD27+AD33+AD39+AD50+AD60+AD66+AD72)</f>
        <v>0</v>
      </c>
      <c r="AE2" s="216"/>
      <c r="AF2" s="216"/>
      <c r="AG2" s="216"/>
    </row>
    <row r="3" spans="1:33" ht="40.5" customHeight="1">
      <c r="A3" s="164" t="s">
        <v>1369</v>
      </c>
      <c r="B3" s="164" t="s">
        <v>1370</v>
      </c>
      <c r="C3" s="164" t="s">
        <v>1371</v>
      </c>
      <c r="D3" s="164"/>
      <c r="E3" s="212" t="s">
        <v>1372</v>
      </c>
      <c r="F3" s="164" t="s">
        <v>1373</v>
      </c>
      <c r="G3" s="212" t="s">
        <v>1374</v>
      </c>
      <c r="H3" s="206" t="s">
        <v>1375</v>
      </c>
      <c r="I3" s="204" t="s">
        <v>1376</v>
      </c>
      <c r="J3" s="201" t="s">
        <v>1377</v>
      </c>
      <c r="K3" s="211" t="s">
        <v>1367</v>
      </c>
      <c r="L3" s="204" t="s">
        <v>1376</v>
      </c>
      <c r="M3" s="201" t="s">
        <v>1377</v>
      </c>
      <c r="N3" s="211" t="s">
        <v>1367</v>
      </c>
      <c r="O3" s="204" t="s">
        <v>1376</v>
      </c>
      <c r="P3" s="211" t="s">
        <v>1367</v>
      </c>
      <c r="Q3" s="202" t="s">
        <v>1378</v>
      </c>
      <c r="R3" s="182" t="s">
        <v>1379</v>
      </c>
      <c r="S3" s="164" t="s">
        <v>30</v>
      </c>
      <c r="T3" s="164"/>
      <c r="U3" s="206" t="s">
        <v>31</v>
      </c>
      <c r="V3" s="206" t="s">
        <v>1380</v>
      </c>
      <c r="W3" s="164" t="s">
        <v>1381</v>
      </c>
      <c r="X3" s="164"/>
      <c r="Y3" s="207" t="s">
        <v>1382</v>
      </c>
      <c r="Z3" s="168"/>
      <c r="AA3" s="208" t="s">
        <v>1383</v>
      </c>
      <c r="AB3" s="209"/>
      <c r="AC3" s="207" t="s">
        <v>1384</v>
      </c>
      <c r="AD3" s="168"/>
      <c r="AE3" s="201" t="s">
        <v>1377</v>
      </c>
      <c r="AF3" s="202" t="s">
        <v>1378</v>
      </c>
      <c r="AG3" s="182" t="s">
        <v>1379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1385</v>
      </c>
      <c r="X4" s="4" t="s">
        <v>1386</v>
      </c>
      <c r="Y4" s="15" t="s">
        <v>1387</v>
      </c>
      <c r="Z4" s="15" t="s">
        <v>1388</v>
      </c>
      <c r="AA4" s="210"/>
      <c r="AB4" s="209"/>
      <c r="AC4" s="15" t="s">
        <v>1389</v>
      </c>
      <c r="AD4" s="15" t="s">
        <v>1390</v>
      </c>
      <c r="AE4" s="201"/>
      <c r="AF4" s="202"/>
      <c r="AG4" s="182"/>
    </row>
    <row r="5" spans="1:33">
      <c r="A5" s="203" t="s">
        <v>1391</v>
      </c>
      <c r="B5" s="37" t="s">
        <v>78</v>
      </c>
      <c r="C5" s="205" t="s">
        <v>79</v>
      </c>
      <c r="D5" s="205"/>
      <c r="E5" s="37">
        <v>50.67</v>
      </c>
      <c r="F5" s="4">
        <v>1304</v>
      </c>
      <c r="G5" s="4">
        <v>66073.680000000008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9" si="1">F5/V5*60</f>
        <v>1908.2926829268285</v>
      </c>
      <c r="N5" s="17">
        <f t="shared" ref="N5:N68" si="2">M5/L5</f>
        <v>112.25251076040168</v>
      </c>
      <c r="O5" s="19">
        <f t="shared" ref="O5:O68" si="3">L5-I5</f>
        <v>0</v>
      </c>
      <c r="P5" s="20">
        <f t="shared" ref="P5:P68" si="4">N5-K5</f>
        <v>-5.3945480631277292</v>
      </c>
      <c r="Q5" s="21">
        <f t="shared" ref="Q5:Q68" si="5">N5/K5</f>
        <v>0.95414634146341426</v>
      </c>
      <c r="R5" s="172">
        <f>Q10</f>
        <v>0.97061284886573829</v>
      </c>
      <c r="S5" s="28">
        <v>0.70833333333333337</v>
      </c>
      <c r="T5" s="28">
        <v>0.7368055555555556</v>
      </c>
      <c r="U5" s="4"/>
      <c r="V5" s="22">
        <f t="shared" ref="V5:V9" si="6">(T5-S5)*24*60</f>
        <v>41.000000000000014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9" si="7">M5-J5</f>
        <v>-91.707317073171453</v>
      </c>
      <c r="AF5" s="21">
        <f t="shared" ref="AF5:AF68" si="8">M5/J5</f>
        <v>0.95414634146341426</v>
      </c>
      <c r="AG5" s="172">
        <f>AF10</f>
        <v>0.97061284886573829</v>
      </c>
    </row>
    <row r="6" spans="1:33">
      <c r="A6" s="204" t="s">
        <v>46</v>
      </c>
      <c r="B6" s="37" t="s">
        <v>78</v>
      </c>
      <c r="C6" s="205" t="s">
        <v>80</v>
      </c>
      <c r="D6" s="205"/>
      <c r="E6" s="37">
        <v>54.09</v>
      </c>
      <c r="F6" s="4">
        <v>1202</v>
      </c>
      <c r="G6" s="4">
        <v>65016.180000000008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1949.1891891891878</v>
      </c>
      <c r="N6" s="17">
        <f t="shared" si="2"/>
        <v>102.58890469416778</v>
      </c>
      <c r="O6" s="19">
        <f t="shared" si="3"/>
        <v>0</v>
      </c>
      <c r="P6" s="20">
        <f t="shared" si="4"/>
        <v>-2.6742532005690549</v>
      </c>
      <c r="Q6" s="21">
        <f t="shared" si="5"/>
        <v>0.97459459459459397</v>
      </c>
      <c r="R6" s="172"/>
      <c r="S6" s="28">
        <v>0.7416666666666667</v>
      </c>
      <c r="T6" s="28">
        <v>0.76736111111111116</v>
      </c>
      <c r="U6" s="4">
        <f t="shared" ref="U6:U9" si="9">IF(S6=TIME(17,0,0),"",(S6-T5)*24*60)</f>
        <v>6.9999999999999751</v>
      </c>
      <c r="V6" s="22">
        <f t="shared" si="6"/>
        <v>37.000000000000028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-50.8108108108122</v>
      </c>
      <c r="AF6" s="21">
        <f t="shared" si="8"/>
        <v>0.97459459459459385</v>
      </c>
      <c r="AG6" s="172"/>
    </row>
    <row r="7" spans="1:33">
      <c r="A7" s="204" t="s">
        <v>46</v>
      </c>
      <c r="B7" s="37" t="s">
        <v>78</v>
      </c>
      <c r="C7" s="196" t="s">
        <v>81</v>
      </c>
      <c r="D7" s="197"/>
      <c r="E7" s="37">
        <v>50.29</v>
      </c>
      <c r="F7" s="4">
        <v>582</v>
      </c>
      <c r="G7" s="4">
        <v>29268.78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1940.000000000007</v>
      </c>
      <c r="N7" s="17">
        <f t="shared" si="2"/>
        <v>121.25000000000044</v>
      </c>
      <c r="O7" s="19">
        <f t="shared" si="3"/>
        <v>0</v>
      </c>
      <c r="P7" s="20">
        <f t="shared" si="4"/>
        <v>-3.7499999999995595</v>
      </c>
      <c r="Q7" s="21">
        <f t="shared" si="5"/>
        <v>0.97000000000000353</v>
      </c>
      <c r="R7" s="172"/>
      <c r="S7" s="28">
        <v>0.77083333333333337</v>
      </c>
      <c r="T7" s="28">
        <v>0.78333333333333333</v>
      </c>
      <c r="U7" s="4">
        <f t="shared" si="9"/>
        <v>4.9999999999999822</v>
      </c>
      <c r="V7" s="22">
        <f t="shared" si="6"/>
        <v>17.999999999999936</v>
      </c>
      <c r="W7" s="23"/>
      <c r="X7" s="23"/>
      <c r="Y7" s="26"/>
      <c r="Z7" s="26"/>
      <c r="AA7" s="175"/>
      <c r="AB7" s="176"/>
      <c r="AC7" s="25"/>
      <c r="AD7" s="27"/>
      <c r="AE7" s="19">
        <f t="shared" si="7"/>
        <v>-59.999999999992951</v>
      </c>
      <c r="AF7" s="21">
        <f t="shared" si="8"/>
        <v>0.97000000000000353</v>
      </c>
      <c r="AG7" s="172"/>
    </row>
    <row r="8" spans="1:33">
      <c r="A8" s="204" t="s">
        <v>46</v>
      </c>
      <c r="B8" s="37" t="s">
        <v>78</v>
      </c>
      <c r="C8" s="196" t="s">
        <v>82</v>
      </c>
      <c r="D8" s="197"/>
      <c r="E8" s="37">
        <v>57.3</v>
      </c>
      <c r="F8" s="4">
        <v>1339</v>
      </c>
      <c r="G8" s="4">
        <v>76724.7</v>
      </c>
      <c r="H8" s="22" t="s">
        <v>139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1912.8571428571422</v>
      </c>
      <c r="N8" s="17">
        <f t="shared" si="2"/>
        <v>127.52380952380948</v>
      </c>
      <c r="O8" s="19">
        <f t="shared" si="3"/>
        <v>0</v>
      </c>
      <c r="P8" s="20">
        <f t="shared" si="4"/>
        <v>-5.809523809523867</v>
      </c>
      <c r="Q8" s="21">
        <f t="shared" si="5"/>
        <v>0.95642857142857096</v>
      </c>
      <c r="R8" s="172"/>
      <c r="S8" s="28">
        <v>0.78819444444444442</v>
      </c>
      <c r="T8" s="28">
        <v>0.81736111111111109</v>
      </c>
      <c r="U8" s="4">
        <f t="shared" si="9"/>
        <v>6.9999999999999751</v>
      </c>
      <c r="V8" s="22">
        <f t="shared" si="6"/>
        <v>42.000000000000014</v>
      </c>
      <c r="W8" s="28"/>
      <c r="X8" s="28"/>
      <c r="Y8" s="29"/>
      <c r="Z8" s="29"/>
      <c r="AA8" s="175"/>
      <c r="AB8" s="176"/>
      <c r="AC8" s="25"/>
      <c r="AD8" s="27"/>
      <c r="AE8" s="19">
        <f t="shared" si="7"/>
        <v>-87.142857142857792</v>
      </c>
      <c r="AF8" s="21">
        <f t="shared" si="8"/>
        <v>0.95642857142857107</v>
      </c>
      <c r="AG8" s="172"/>
    </row>
    <row r="9" spans="1:33">
      <c r="A9" s="204" t="s">
        <v>46</v>
      </c>
      <c r="B9" s="37" t="s">
        <v>78</v>
      </c>
      <c r="C9" s="196" t="s">
        <v>83</v>
      </c>
      <c r="D9" s="197"/>
      <c r="E9" s="37">
        <v>50.67</v>
      </c>
      <c r="F9" s="4">
        <v>632</v>
      </c>
      <c r="G9" s="4">
        <v>32023.440000000002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1995.7894736842177</v>
      </c>
      <c r="N9" s="17">
        <f t="shared" si="2"/>
        <v>95.03759398496274</v>
      </c>
      <c r="O9" s="19">
        <f t="shared" si="3"/>
        <v>0</v>
      </c>
      <c r="P9" s="20">
        <f t="shared" si="4"/>
        <v>-0.20050125313250078</v>
      </c>
      <c r="Q9" s="21">
        <f t="shared" si="5"/>
        <v>0.99789473684210872</v>
      </c>
      <c r="R9" s="172"/>
      <c r="S9" s="28">
        <v>0.8208333333333333</v>
      </c>
      <c r="T9" s="28">
        <v>0.8340277777777777</v>
      </c>
      <c r="U9" s="4">
        <f t="shared" si="9"/>
        <v>4.9999999999999822</v>
      </c>
      <c r="V9" s="22">
        <f t="shared" si="6"/>
        <v>18.999999999999932</v>
      </c>
      <c r="W9" s="23"/>
      <c r="X9" s="23"/>
      <c r="Y9" s="26"/>
      <c r="Z9" s="26"/>
      <c r="AA9" s="175"/>
      <c r="AB9" s="176"/>
      <c r="AC9" s="25"/>
      <c r="AD9" s="27"/>
      <c r="AE9" s="19">
        <f t="shared" si="7"/>
        <v>-4.2105263157823174</v>
      </c>
      <c r="AF9" s="21">
        <f t="shared" si="8"/>
        <v>0.99789473684210883</v>
      </c>
      <c r="AG9" s="172"/>
    </row>
    <row r="10" spans="1:33">
      <c r="A10" s="204" t="s">
        <v>46</v>
      </c>
      <c r="B10" s="37" t="s">
        <v>48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0"/>
        <v>113.63636363636363</v>
      </c>
      <c r="L10" s="30">
        <v>17.600000000000001</v>
      </c>
      <c r="M10" s="18">
        <f>AVERAGE(M5:M9)</f>
        <v>1941.2256977314767</v>
      </c>
      <c r="N10" s="17">
        <f t="shared" si="2"/>
        <v>110.29691464383389</v>
      </c>
      <c r="O10" s="19">
        <f t="shared" si="3"/>
        <v>0</v>
      </c>
      <c r="P10" s="20">
        <f t="shared" si="4"/>
        <v>-3.3394489925297393</v>
      </c>
      <c r="Q10" s="21">
        <f t="shared" si="5"/>
        <v>0.97061284886573829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7"/>
        <v>-58.774302268523343</v>
      </c>
      <c r="AF10" s="21">
        <f t="shared" si="8"/>
        <v>0.97061284886573829</v>
      </c>
      <c r="AG10" s="172"/>
    </row>
    <row r="11" spans="1:33" ht="15.75" customHeight="1">
      <c r="A11" s="200" t="s">
        <v>49</v>
      </c>
      <c r="B11" s="37" t="s">
        <v>84</v>
      </c>
      <c r="C11" s="196" t="s">
        <v>85</v>
      </c>
      <c r="D11" s="197"/>
      <c r="E11" s="37">
        <v>39.619999999999997</v>
      </c>
      <c r="F11" s="4">
        <v>1990</v>
      </c>
      <c r="G11" s="4">
        <v>78843.799999999988</v>
      </c>
      <c r="H11" s="22" t="s">
        <v>139</v>
      </c>
      <c r="I11" s="16">
        <v>19</v>
      </c>
      <c r="J11" s="18">
        <v>1500</v>
      </c>
      <c r="K11" s="17">
        <f t="shared" si="0"/>
        <v>78.94736842105263</v>
      </c>
      <c r="L11" s="16">
        <v>19</v>
      </c>
      <c r="M11" s="18">
        <f t="shared" ref="M11:M12" si="10">F11/V11*60</f>
        <v>1438.5542168674701</v>
      </c>
      <c r="N11" s="17">
        <f t="shared" si="2"/>
        <v>75.713379835130013</v>
      </c>
      <c r="O11" s="19">
        <f t="shared" si="3"/>
        <v>0</v>
      </c>
      <c r="P11" s="20">
        <f t="shared" si="4"/>
        <v>-3.2339885859226172</v>
      </c>
      <c r="Q11" s="21">
        <f t="shared" si="5"/>
        <v>0.95903614457831354</v>
      </c>
      <c r="R11" s="172">
        <f>Q13</f>
        <v>0.95734752965349768</v>
      </c>
      <c r="S11" s="28">
        <v>0.20833333333333334</v>
      </c>
      <c r="T11" s="28">
        <v>0.26597222222222222</v>
      </c>
      <c r="U11" s="4"/>
      <c r="V11" s="22">
        <f t="shared" ref="V11:V12" si="11">(T11-S11)*24*60</f>
        <v>82.999999999999986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7"/>
        <v>-61.445783132529868</v>
      </c>
      <c r="AF11" s="21">
        <f t="shared" si="8"/>
        <v>0.95903614457831343</v>
      </c>
      <c r="AG11" s="172">
        <f>AF13</f>
        <v>0.95734752965349768</v>
      </c>
    </row>
    <row r="12" spans="1:33" ht="15.75" customHeight="1">
      <c r="A12" s="200" t="s">
        <v>49</v>
      </c>
      <c r="B12" s="37" t="s">
        <v>84</v>
      </c>
      <c r="C12" s="196" t="s">
        <v>86</v>
      </c>
      <c r="D12" s="197"/>
      <c r="E12" s="37">
        <v>39.799999999999997</v>
      </c>
      <c r="F12" s="4">
        <v>3082</v>
      </c>
      <c r="G12" s="4">
        <v>122663.59999999999</v>
      </c>
      <c r="H12" s="22" t="s">
        <v>139</v>
      </c>
      <c r="I12" s="16">
        <v>17</v>
      </c>
      <c r="J12" s="18">
        <v>1500</v>
      </c>
      <c r="K12" s="17">
        <f t="shared" si="0"/>
        <v>88.235294117647058</v>
      </c>
      <c r="L12" s="16">
        <v>17</v>
      </c>
      <c r="M12" s="18">
        <f t="shared" si="10"/>
        <v>1433.4883720930229</v>
      </c>
      <c r="N12" s="17">
        <f t="shared" si="2"/>
        <v>84.322845417236636</v>
      </c>
      <c r="O12" s="19">
        <f t="shared" si="3"/>
        <v>0</v>
      </c>
      <c r="P12" s="20">
        <f t="shared" si="4"/>
        <v>-3.9124487004104225</v>
      </c>
      <c r="Q12" s="21">
        <f t="shared" si="5"/>
        <v>0.95565891472868192</v>
      </c>
      <c r="R12" s="172"/>
      <c r="S12" s="28">
        <v>0.27083333333333331</v>
      </c>
      <c r="T12" s="28">
        <v>0.36041666666666666</v>
      </c>
      <c r="U12" s="4">
        <f t="shared" ref="U12" si="12">IF(S12=TIME(17,0,0),"",(S12-T11)*24*60)</f>
        <v>6.9999999999999751</v>
      </c>
      <c r="V12" s="22">
        <f t="shared" si="11"/>
        <v>129.00000000000003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7"/>
        <v>-66.511627906977083</v>
      </c>
      <c r="AF12" s="21">
        <f t="shared" si="8"/>
        <v>0.95565891472868192</v>
      </c>
      <c r="AG12" s="172"/>
    </row>
    <row r="13" spans="1:33" ht="16.5" customHeight="1">
      <c r="A13" s="200" t="s">
        <v>49</v>
      </c>
      <c r="B13" s="37" t="s">
        <v>48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0"/>
        <v>83.333333333333329</v>
      </c>
      <c r="L13" s="30">
        <v>18</v>
      </c>
      <c r="M13" s="18">
        <f>AVERAGE(M11:M12)</f>
        <v>1436.0212944802465</v>
      </c>
      <c r="N13" s="17">
        <f t="shared" si="2"/>
        <v>79.778960804458137</v>
      </c>
      <c r="O13" s="19">
        <f t="shared" si="3"/>
        <v>0</v>
      </c>
      <c r="P13" s="20">
        <f t="shared" si="4"/>
        <v>-3.5543725288751915</v>
      </c>
      <c r="Q13" s="21">
        <f t="shared" si="5"/>
        <v>0.95734752965349768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7"/>
        <v>-63.978705519753476</v>
      </c>
      <c r="AF13" s="21">
        <f t="shared" si="8"/>
        <v>0.95734752965349768</v>
      </c>
      <c r="AG13" s="172"/>
    </row>
    <row r="14" spans="1:33" ht="16.5" customHeight="1">
      <c r="A14" s="198" t="s">
        <v>52</v>
      </c>
      <c r="B14" s="4" t="s">
        <v>87</v>
      </c>
      <c r="C14" s="190" t="s">
        <v>88</v>
      </c>
      <c r="D14" s="190"/>
      <c r="E14" s="37">
        <v>41</v>
      </c>
      <c r="F14" s="4">
        <v>2308</v>
      </c>
      <c r="G14" s="4">
        <v>94628</v>
      </c>
      <c r="H14" s="22" t="s">
        <v>139</v>
      </c>
      <c r="I14" s="16">
        <v>26</v>
      </c>
      <c r="J14" s="18">
        <v>1500</v>
      </c>
      <c r="K14" s="17">
        <f t="shared" si="0"/>
        <v>57.692307692307693</v>
      </c>
      <c r="L14" s="16">
        <v>26</v>
      </c>
      <c r="M14" s="18">
        <f t="shared" ref="M14:M19" si="13">F14/V14*60</f>
        <v>1427.6288659793813</v>
      </c>
      <c r="N14" s="17">
        <f t="shared" si="2"/>
        <v>54.908802537668514</v>
      </c>
      <c r="O14" s="19">
        <f t="shared" si="3"/>
        <v>0</v>
      </c>
      <c r="P14" s="20">
        <f t="shared" si="4"/>
        <v>-2.7835051546391796</v>
      </c>
      <c r="Q14" s="21">
        <f t="shared" si="5"/>
        <v>0.95175257731958751</v>
      </c>
      <c r="R14" s="172">
        <f>Q20</f>
        <v>0.95902113859236005</v>
      </c>
      <c r="S14" s="28">
        <v>0.20833333333333334</v>
      </c>
      <c r="T14" s="28">
        <v>0.27569444444444446</v>
      </c>
      <c r="U14" s="4"/>
      <c r="V14" s="22">
        <f t="shared" ref="V14:V19" si="14">(T14-S14)*24*60</f>
        <v>97.000000000000014</v>
      </c>
      <c r="W14" s="28"/>
      <c r="X14" s="28"/>
      <c r="Y14" s="28"/>
      <c r="Z14" s="28"/>
      <c r="AA14" s="164"/>
      <c r="AB14" s="164"/>
      <c r="AC14" s="25">
        <v>6</v>
      </c>
      <c r="AD14" s="25"/>
      <c r="AE14" s="19">
        <f t="shared" si="7"/>
        <v>-72.371134020618683</v>
      </c>
      <c r="AF14" s="21">
        <f t="shared" si="8"/>
        <v>0.95175257731958751</v>
      </c>
      <c r="AG14" s="172">
        <f>AF20</f>
        <v>0.95902113859236005</v>
      </c>
    </row>
    <row r="15" spans="1:33" ht="16.5" customHeight="1">
      <c r="A15" s="199" t="s">
        <v>52</v>
      </c>
      <c r="B15" s="4" t="s">
        <v>89</v>
      </c>
      <c r="C15" s="190" t="s">
        <v>90</v>
      </c>
      <c r="D15" s="190"/>
      <c r="E15" s="37">
        <v>72.400000000000006</v>
      </c>
      <c r="F15" s="4">
        <v>582</v>
      </c>
      <c r="G15" s="4">
        <v>42136.800000000003</v>
      </c>
      <c r="H15" s="22" t="s">
        <v>139</v>
      </c>
      <c r="I15" s="16">
        <v>18</v>
      </c>
      <c r="J15" s="18">
        <v>1500</v>
      </c>
      <c r="K15" s="17">
        <f t="shared" si="0"/>
        <v>83.333333333333329</v>
      </c>
      <c r="L15" s="16">
        <v>18</v>
      </c>
      <c r="M15" s="18">
        <f t="shared" si="13"/>
        <v>1455.0000000000005</v>
      </c>
      <c r="N15" s="17">
        <f t="shared" si="2"/>
        <v>80.833333333333357</v>
      </c>
      <c r="O15" s="19">
        <f t="shared" si="3"/>
        <v>0</v>
      </c>
      <c r="P15" s="20">
        <f t="shared" si="4"/>
        <v>-2.4999999999999716</v>
      </c>
      <c r="Q15" s="21">
        <f t="shared" si="5"/>
        <v>0.97000000000000031</v>
      </c>
      <c r="R15" s="172"/>
      <c r="S15" s="28">
        <v>0.27916666666666667</v>
      </c>
      <c r="T15" s="28">
        <v>0.29583333333333334</v>
      </c>
      <c r="U15" s="4">
        <f t="shared" ref="U15:U19" si="15">IF(S15=TIME(17,0,0),"",(S15-T14)*24*60)</f>
        <v>4.9999999999999822</v>
      </c>
      <c r="V15" s="22">
        <f t="shared" si="14"/>
        <v>23.999999999999993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7"/>
        <v>-44.999999999999545</v>
      </c>
      <c r="AF15" s="21">
        <f t="shared" si="8"/>
        <v>0.97000000000000031</v>
      </c>
      <c r="AG15" s="172"/>
    </row>
    <row r="16" spans="1:33" ht="16.5" customHeight="1">
      <c r="A16" s="199" t="s">
        <v>52</v>
      </c>
      <c r="B16" s="4" t="s">
        <v>78</v>
      </c>
      <c r="C16" s="190" t="s">
        <v>91</v>
      </c>
      <c r="D16" s="190"/>
      <c r="E16" s="37">
        <v>50.98</v>
      </c>
      <c r="F16" s="4">
        <v>2390</v>
      </c>
      <c r="G16" s="4">
        <v>121842.2</v>
      </c>
      <c r="H16" s="22" t="s">
        <v>139</v>
      </c>
      <c r="I16" s="16">
        <v>16</v>
      </c>
      <c r="J16" s="18">
        <v>2000</v>
      </c>
      <c r="K16" s="17">
        <f t="shared" si="0"/>
        <v>125</v>
      </c>
      <c r="L16" s="16">
        <v>16</v>
      </c>
      <c r="M16" s="18">
        <f t="shared" si="13"/>
        <v>1911.9999999999986</v>
      </c>
      <c r="N16" s="17">
        <f t="shared" si="2"/>
        <v>119.49999999999991</v>
      </c>
      <c r="O16" s="19">
        <f t="shared" si="3"/>
        <v>0</v>
      </c>
      <c r="P16" s="20">
        <f t="shared" si="4"/>
        <v>-5.5000000000000853</v>
      </c>
      <c r="Q16" s="21">
        <f t="shared" si="5"/>
        <v>0.95599999999999929</v>
      </c>
      <c r="R16" s="172"/>
      <c r="S16" s="28">
        <v>0.70833333333333337</v>
      </c>
      <c r="T16" s="28">
        <v>0.76041666666666674</v>
      </c>
      <c r="U16" s="4" t="str">
        <f t="shared" si="15"/>
        <v/>
      </c>
      <c r="V16" s="22">
        <f t="shared" si="14"/>
        <v>75.000000000000057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-88.000000000001364</v>
      </c>
      <c r="AF16" s="21">
        <f t="shared" si="8"/>
        <v>0.95599999999999929</v>
      </c>
      <c r="AG16" s="172"/>
    </row>
    <row r="17" spans="1:33" ht="16.5" customHeight="1">
      <c r="A17" s="199" t="s">
        <v>52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v>40736</v>
      </c>
      <c r="H17" s="22">
        <v>2</v>
      </c>
      <c r="I17" s="16">
        <v>15</v>
      </c>
      <c r="J17" s="18">
        <v>2000</v>
      </c>
      <c r="K17" s="17">
        <f t="shared" si="0"/>
        <v>133.33333333333334</v>
      </c>
      <c r="L17" s="16">
        <v>15</v>
      </c>
      <c r="M17" s="18">
        <f t="shared" si="13"/>
        <v>1919.9999999999945</v>
      </c>
      <c r="N17" s="17">
        <f t="shared" si="2"/>
        <v>127.99999999999963</v>
      </c>
      <c r="O17" s="19">
        <f t="shared" si="3"/>
        <v>0</v>
      </c>
      <c r="P17" s="20">
        <f t="shared" si="4"/>
        <v>-5.3333333333337123</v>
      </c>
      <c r="Q17" s="21">
        <f t="shared" si="5"/>
        <v>0.95999999999999719</v>
      </c>
      <c r="R17" s="172"/>
      <c r="S17" s="28">
        <v>0.76527777777777783</v>
      </c>
      <c r="T17" s="28">
        <v>0.78263888888888899</v>
      </c>
      <c r="U17" s="4">
        <f t="shared" si="15"/>
        <v>6.9999999999999751</v>
      </c>
      <c r="V17" s="22">
        <f t="shared" si="14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-80.000000000005457</v>
      </c>
      <c r="AF17" s="21">
        <f t="shared" si="8"/>
        <v>0.9599999999999973</v>
      </c>
      <c r="AG17" s="172"/>
    </row>
    <row r="18" spans="1:33" ht="16.5" customHeight="1">
      <c r="A18" s="199" t="s">
        <v>52</v>
      </c>
      <c r="B18" s="4" t="s">
        <v>78</v>
      </c>
      <c r="C18" s="190" t="s">
        <v>93</v>
      </c>
      <c r="D18" s="190"/>
      <c r="E18" s="37">
        <v>50.67</v>
      </c>
      <c r="F18" s="4">
        <v>1316</v>
      </c>
      <c r="G18" s="4">
        <v>66681.72</v>
      </c>
      <c r="H18" s="22" t="s">
        <v>139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1925.8536585365848</v>
      </c>
      <c r="N18" s="17">
        <f t="shared" si="2"/>
        <v>128.39024390243898</v>
      </c>
      <c r="O18" s="19">
        <f t="shared" si="3"/>
        <v>0</v>
      </c>
      <c r="P18" s="20">
        <f t="shared" si="4"/>
        <v>-4.9430894308943607</v>
      </c>
      <c r="Q18" s="21">
        <f t="shared" si="5"/>
        <v>0.96292682926829232</v>
      </c>
      <c r="R18" s="172"/>
      <c r="S18" s="28">
        <v>0.78680555555555565</v>
      </c>
      <c r="T18" s="28">
        <v>0.81527777777777788</v>
      </c>
      <c r="U18" s="4">
        <f t="shared" si="15"/>
        <v>5.9999999999999787</v>
      </c>
      <c r="V18" s="22">
        <f t="shared" si="14"/>
        <v>41.000000000000014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-74.146341463415183</v>
      </c>
      <c r="AF18" s="21">
        <f t="shared" si="8"/>
        <v>0.96292682926829243</v>
      </c>
      <c r="AG18" s="172"/>
    </row>
    <row r="19" spans="1:33" ht="16.5" customHeight="1">
      <c r="A19" s="199" t="s">
        <v>52</v>
      </c>
      <c r="B19" s="4" t="s">
        <v>78</v>
      </c>
      <c r="C19" s="217" t="s">
        <v>94</v>
      </c>
      <c r="D19" s="218"/>
      <c r="E19" s="37">
        <v>57.3</v>
      </c>
      <c r="F19" s="4">
        <v>1527</v>
      </c>
      <c r="G19" s="4">
        <v>87497.099999999991</v>
      </c>
      <c r="H19" s="22" t="s">
        <v>139</v>
      </c>
      <c r="I19" s="16">
        <v>13</v>
      </c>
      <c r="J19" s="18">
        <v>2000</v>
      </c>
      <c r="K19" s="17">
        <f t="shared" si="0"/>
        <v>153.84615384615384</v>
      </c>
      <c r="L19" s="16">
        <v>13</v>
      </c>
      <c r="M19" s="18">
        <f t="shared" si="13"/>
        <v>1908.7500000000007</v>
      </c>
      <c r="N19" s="17">
        <f t="shared" si="2"/>
        <v>146.82692307692312</v>
      </c>
      <c r="O19" s="19">
        <f t="shared" si="3"/>
        <v>0</v>
      </c>
      <c r="P19" s="20">
        <f t="shared" si="4"/>
        <v>-7.0192307692307168</v>
      </c>
      <c r="Q19" s="21">
        <f t="shared" si="5"/>
        <v>0.95437500000000031</v>
      </c>
      <c r="R19" s="172"/>
      <c r="S19" s="28">
        <v>0.81944444444444453</v>
      </c>
      <c r="T19" s="28">
        <v>0.85277777777777786</v>
      </c>
      <c r="U19" s="4">
        <f t="shared" si="15"/>
        <v>5.9999999999999787</v>
      </c>
      <c r="V19" s="22">
        <f t="shared" si="14"/>
        <v>47.999999999999986</v>
      </c>
      <c r="W19" s="23"/>
      <c r="X19" s="23"/>
      <c r="Y19" s="26"/>
      <c r="Z19" s="26"/>
      <c r="AA19" s="175"/>
      <c r="AB19" s="176"/>
      <c r="AC19" s="25"/>
      <c r="AD19" s="25"/>
      <c r="AE19" s="19">
        <f t="shared" si="7"/>
        <v>-91.249999999999318</v>
      </c>
      <c r="AF19" s="21">
        <f t="shared" si="8"/>
        <v>0.95437500000000031</v>
      </c>
      <c r="AG19" s="172"/>
    </row>
    <row r="20" spans="1:33" ht="16.5" customHeight="1">
      <c r="A20" s="199" t="s">
        <v>52</v>
      </c>
      <c r="B20" s="37" t="s">
        <v>48</v>
      </c>
      <c r="C20" s="177"/>
      <c r="D20" s="177"/>
      <c r="E20" s="38"/>
      <c r="F20" s="17"/>
      <c r="G20" s="17"/>
      <c r="H20" s="4"/>
      <c r="I20" s="30">
        <v>17.166666666666668</v>
      </c>
      <c r="J20" s="18">
        <v>1833.3333333333333</v>
      </c>
      <c r="K20" s="17">
        <f t="shared" si="0"/>
        <v>106.79611650485435</v>
      </c>
      <c r="L20" s="30">
        <v>17.166666666666668</v>
      </c>
      <c r="M20" s="18">
        <f>AVERAGE(M14:M19)</f>
        <v>1758.2054207526601</v>
      </c>
      <c r="N20" s="17">
        <f t="shared" si="2"/>
        <v>102.41973324772776</v>
      </c>
      <c r="O20" s="19">
        <f t="shared" si="3"/>
        <v>0</v>
      </c>
      <c r="P20" s="20">
        <f t="shared" si="4"/>
        <v>-4.3763832571265908</v>
      </c>
      <c r="Q20" s="21">
        <f t="shared" si="5"/>
        <v>0.95902113859236005</v>
      </c>
      <c r="R20" s="172"/>
      <c r="S20" s="28"/>
      <c r="T20" s="28"/>
      <c r="U20" s="4"/>
      <c r="V20" s="22"/>
      <c r="W20" s="17"/>
      <c r="X20" s="17"/>
      <c r="Y20" s="31">
        <f>SUM(Y14:Y19)</f>
        <v>0</v>
      </c>
      <c r="Z20" s="31">
        <f>SUM(Z14:Z19)</f>
        <v>0</v>
      </c>
      <c r="AA20" s="168"/>
      <c r="AB20" s="168"/>
      <c r="AC20" s="31">
        <v>6</v>
      </c>
      <c r="AD20" s="31">
        <f>SUM(AD14:AD19)</f>
        <v>0</v>
      </c>
      <c r="AE20" s="19">
        <f t="shared" si="7"/>
        <v>-75.127912580673183</v>
      </c>
      <c r="AF20" s="21">
        <f t="shared" si="8"/>
        <v>0.95902113859236005</v>
      </c>
      <c r="AG20" s="172"/>
    </row>
    <row r="21" spans="1:33" ht="15.75" customHeight="1">
      <c r="A21" s="194" t="s">
        <v>58</v>
      </c>
      <c r="B21" s="37" t="s">
        <v>78</v>
      </c>
      <c r="C21" s="190" t="s">
        <v>95</v>
      </c>
      <c r="D21" s="190"/>
      <c r="E21" s="37">
        <v>57.73</v>
      </c>
      <c r="F21" s="4">
        <v>2164</v>
      </c>
      <c r="G21" s="4">
        <v>124927.71999999999</v>
      </c>
      <c r="H21" s="22" t="s">
        <v>139</v>
      </c>
      <c r="I21" s="16">
        <v>14</v>
      </c>
      <c r="J21" s="18">
        <v>2000</v>
      </c>
      <c r="K21" s="17">
        <f t="shared" si="0"/>
        <v>142.85714285714286</v>
      </c>
      <c r="L21" s="16">
        <v>14</v>
      </c>
      <c r="M21" s="18">
        <f t="shared" ref="M21:M26" si="16">F21/V21*60</f>
        <v>1909.4117647058833</v>
      </c>
      <c r="N21" s="17">
        <f t="shared" si="2"/>
        <v>136.3865546218488</v>
      </c>
      <c r="O21" s="19">
        <f t="shared" si="3"/>
        <v>0</v>
      </c>
      <c r="P21" s="20">
        <f t="shared" si="4"/>
        <v>-6.4705882352940591</v>
      </c>
      <c r="Q21" s="21">
        <f t="shared" si="5"/>
        <v>0.95470588235294163</v>
      </c>
      <c r="R21" s="172">
        <f>Q27</f>
        <v>0.96123554929218025</v>
      </c>
      <c r="S21" s="28">
        <v>0.20833333333333334</v>
      </c>
      <c r="T21" s="28">
        <v>0.25555555555555554</v>
      </c>
      <c r="U21" s="4"/>
      <c r="V21" s="22">
        <f t="shared" ref="V21:V26" si="17">(T21-S21)*24*60</f>
        <v>67.999999999999957</v>
      </c>
      <c r="W21" s="28"/>
      <c r="X21" s="28"/>
      <c r="Y21" s="28"/>
      <c r="Z21" s="28"/>
      <c r="AA21" s="164"/>
      <c r="AB21" s="164"/>
      <c r="AC21" s="25">
        <v>6</v>
      </c>
      <c r="AD21" s="25"/>
      <c r="AE21" s="19">
        <f t="shared" si="7"/>
        <v>-90.588235294116657</v>
      </c>
      <c r="AF21" s="21">
        <f t="shared" si="8"/>
        <v>0.95470588235294163</v>
      </c>
      <c r="AG21" s="172">
        <f>AF27</f>
        <v>0.96123554929218025</v>
      </c>
    </row>
    <row r="22" spans="1:33" ht="15.75" customHeight="1">
      <c r="A22" s="195" t="s">
        <v>58</v>
      </c>
      <c r="B22" s="37" t="s">
        <v>78</v>
      </c>
      <c r="C22" s="190" t="s">
        <v>96</v>
      </c>
      <c r="D22" s="190"/>
      <c r="E22" s="37">
        <v>53.68</v>
      </c>
      <c r="F22" s="4">
        <v>1297</v>
      </c>
      <c r="G22" s="4">
        <v>69622.960000000006</v>
      </c>
      <c r="H22" s="22" t="s">
        <v>139</v>
      </c>
      <c r="I22" s="16">
        <v>16</v>
      </c>
      <c r="J22" s="18">
        <v>2000</v>
      </c>
      <c r="K22" s="17">
        <f t="shared" si="0"/>
        <v>125</v>
      </c>
      <c r="L22" s="16">
        <v>16</v>
      </c>
      <c r="M22" s="18">
        <f t="shared" si="16"/>
        <v>1945.4999999999993</v>
      </c>
      <c r="N22" s="17">
        <f t="shared" si="2"/>
        <v>121.59374999999996</v>
      </c>
      <c r="O22" s="19">
        <f t="shared" si="3"/>
        <v>0</v>
      </c>
      <c r="P22" s="20">
        <f t="shared" si="4"/>
        <v>-3.4062500000000426</v>
      </c>
      <c r="Q22" s="21">
        <f t="shared" si="5"/>
        <v>0.97274999999999967</v>
      </c>
      <c r="R22" s="172"/>
      <c r="S22" s="28">
        <v>0.26041666666666663</v>
      </c>
      <c r="T22" s="28">
        <v>0.28819444444444442</v>
      </c>
      <c r="U22" s="4">
        <f t="shared" ref="U22:U26" si="18">IF(S22=TIME(17,0,0),"",(S22-T21)*24*60)</f>
        <v>6.9999999999999751</v>
      </c>
      <c r="V22" s="22">
        <f t="shared" si="17"/>
        <v>40.000000000000014</v>
      </c>
      <c r="W22" s="23"/>
      <c r="X22" s="4"/>
      <c r="Y22" s="4"/>
      <c r="Z22" s="4"/>
      <c r="AA22" s="164"/>
      <c r="AB22" s="164"/>
      <c r="AC22" s="25"/>
      <c r="AD22" s="25"/>
      <c r="AE22" s="19">
        <f t="shared" si="7"/>
        <v>-54.500000000000682</v>
      </c>
      <c r="AF22" s="21">
        <f t="shared" si="8"/>
        <v>0.97274999999999967</v>
      </c>
      <c r="AG22" s="172"/>
    </row>
    <row r="23" spans="1:33" ht="15.75" customHeight="1">
      <c r="A23" s="195" t="s">
        <v>58</v>
      </c>
      <c r="B23" s="37" t="s">
        <v>78</v>
      </c>
      <c r="C23" s="190" t="s">
        <v>97</v>
      </c>
      <c r="D23" s="190"/>
      <c r="E23" s="37">
        <v>50.49</v>
      </c>
      <c r="F23" s="4">
        <v>1558</v>
      </c>
      <c r="G23" s="4">
        <v>78663.42</v>
      </c>
      <c r="H23" s="22" t="s">
        <v>139</v>
      </c>
      <c r="I23" s="16">
        <v>15</v>
      </c>
      <c r="J23" s="18">
        <v>2000</v>
      </c>
      <c r="K23" s="17">
        <f t="shared" si="0"/>
        <v>133.33333333333334</v>
      </c>
      <c r="L23" s="16">
        <v>15</v>
      </c>
      <c r="M23" s="18">
        <f t="shared" si="16"/>
        <v>1907.7551020408171</v>
      </c>
      <c r="N23" s="17">
        <f t="shared" si="2"/>
        <v>127.1836734693878</v>
      </c>
      <c r="O23" s="19">
        <f t="shared" si="3"/>
        <v>0</v>
      </c>
      <c r="P23" s="20">
        <f t="shared" si="4"/>
        <v>-6.1496598639455442</v>
      </c>
      <c r="Q23" s="21">
        <f t="shared" si="5"/>
        <v>0.95387755102040839</v>
      </c>
      <c r="R23" s="172"/>
      <c r="S23" s="28">
        <v>0.70833333333333337</v>
      </c>
      <c r="T23" s="28">
        <v>0.74236111111111114</v>
      </c>
      <c r="U23" s="4" t="str">
        <f t="shared" si="18"/>
        <v/>
      </c>
      <c r="V23" s="22">
        <f t="shared" si="17"/>
        <v>48.999999999999986</v>
      </c>
      <c r="W23" s="23"/>
      <c r="X23" s="4"/>
      <c r="Y23" s="4"/>
      <c r="Z23" s="4"/>
      <c r="AA23" s="164"/>
      <c r="AB23" s="164"/>
      <c r="AC23" s="25"/>
      <c r="AD23" s="25"/>
      <c r="AE23" s="19">
        <f t="shared" si="7"/>
        <v>-92.244897959182936</v>
      </c>
      <c r="AF23" s="21">
        <f t="shared" si="8"/>
        <v>0.9538775510204085</v>
      </c>
      <c r="AG23" s="172"/>
    </row>
    <row r="24" spans="1:33" ht="15.75" customHeight="1">
      <c r="A24" s="195" t="s">
        <v>58</v>
      </c>
      <c r="B24" s="37" t="s">
        <v>78</v>
      </c>
      <c r="C24" s="190" t="s">
        <v>98</v>
      </c>
      <c r="D24" s="190"/>
      <c r="E24" s="37">
        <v>50.67</v>
      </c>
      <c r="F24" s="4">
        <v>874</v>
      </c>
      <c r="G24" s="4">
        <v>44285.58</v>
      </c>
      <c r="H24" s="22" t="s">
        <v>139</v>
      </c>
      <c r="I24" s="16">
        <v>16</v>
      </c>
      <c r="J24" s="18">
        <v>2000</v>
      </c>
      <c r="K24" s="17">
        <f t="shared" si="0"/>
        <v>125</v>
      </c>
      <c r="L24" s="16">
        <v>16</v>
      </c>
      <c r="M24" s="18">
        <f t="shared" si="16"/>
        <v>1942.2222222222176</v>
      </c>
      <c r="N24" s="17">
        <f t="shared" si="2"/>
        <v>121.3888888888886</v>
      </c>
      <c r="O24" s="19">
        <f t="shared" si="3"/>
        <v>0</v>
      </c>
      <c r="P24" s="20">
        <f t="shared" si="4"/>
        <v>-3.6111111111113985</v>
      </c>
      <c r="Q24" s="21">
        <f t="shared" si="5"/>
        <v>0.97111111111110882</v>
      </c>
      <c r="R24" s="172"/>
      <c r="S24" s="28">
        <v>0.74791666666666667</v>
      </c>
      <c r="T24" s="28">
        <v>0.76666666666666672</v>
      </c>
      <c r="U24" s="4">
        <f t="shared" si="18"/>
        <v>7.9999999999999716</v>
      </c>
      <c r="V24" s="22">
        <f t="shared" si="17"/>
        <v>27.000000000000064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-57.777777777782376</v>
      </c>
      <c r="AF24" s="21">
        <f t="shared" si="8"/>
        <v>0.97111111111110882</v>
      </c>
      <c r="AG24" s="172"/>
    </row>
    <row r="25" spans="1:33" ht="15.75" customHeight="1">
      <c r="A25" s="195" t="s">
        <v>58</v>
      </c>
      <c r="B25" s="37" t="s">
        <v>78</v>
      </c>
      <c r="C25" s="190" t="s">
        <v>99</v>
      </c>
      <c r="D25" s="190"/>
      <c r="E25" s="37">
        <v>53.68</v>
      </c>
      <c r="F25" s="4">
        <v>1724</v>
      </c>
      <c r="G25" s="4">
        <v>92544.319999999992</v>
      </c>
      <c r="H25" s="22" t="s">
        <v>139</v>
      </c>
      <c r="I25" s="16">
        <v>16</v>
      </c>
      <c r="J25" s="18">
        <v>1500</v>
      </c>
      <c r="K25" s="17">
        <f t="shared" si="0"/>
        <v>93.75</v>
      </c>
      <c r="L25" s="16">
        <v>16</v>
      </c>
      <c r="M25" s="18">
        <f t="shared" si="16"/>
        <v>1436.6666666666656</v>
      </c>
      <c r="N25" s="17">
        <f t="shared" si="2"/>
        <v>89.7916666666666</v>
      </c>
      <c r="O25" s="19">
        <f t="shared" si="3"/>
        <v>0</v>
      </c>
      <c r="P25" s="20">
        <f t="shared" si="4"/>
        <v>-3.9583333333333997</v>
      </c>
      <c r="Q25" s="21">
        <f t="shared" si="5"/>
        <v>0.95777777777777706</v>
      </c>
      <c r="R25" s="172"/>
      <c r="S25" s="28">
        <v>0.77013888888888893</v>
      </c>
      <c r="T25" s="28">
        <v>0.82013888888888897</v>
      </c>
      <c r="U25" s="4">
        <f t="shared" si="18"/>
        <v>4.9999999999999822</v>
      </c>
      <c r="V25" s="22">
        <f t="shared" si="17"/>
        <v>72.000000000000057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-63.333333333334394</v>
      </c>
      <c r="AF25" s="21">
        <f t="shared" si="8"/>
        <v>0.95777777777777706</v>
      </c>
      <c r="AG25" s="172"/>
    </row>
    <row r="26" spans="1:33" ht="15.75" customHeight="1">
      <c r="A26" s="195" t="s">
        <v>58</v>
      </c>
      <c r="B26" s="37" t="s">
        <v>78</v>
      </c>
      <c r="C26" s="190" t="s">
        <v>92</v>
      </c>
      <c r="D26" s="190"/>
      <c r="E26" s="37">
        <v>50.92</v>
      </c>
      <c r="F26" s="4">
        <v>1562</v>
      </c>
      <c r="G26" s="4">
        <v>79537.040000000008</v>
      </c>
      <c r="H26" s="22" t="s">
        <v>139</v>
      </c>
      <c r="I26" s="16">
        <v>15</v>
      </c>
      <c r="J26" s="18">
        <v>2000</v>
      </c>
      <c r="K26" s="17">
        <f t="shared" si="0"/>
        <v>133.33333333333334</v>
      </c>
      <c r="L26" s="16">
        <v>15</v>
      </c>
      <c r="M26" s="18">
        <f t="shared" si="16"/>
        <v>1912.6530612244903</v>
      </c>
      <c r="N26" s="17">
        <f t="shared" si="2"/>
        <v>127.51020408163269</v>
      </c>
      <c r="O26" s="19">
        <f t="shared" si="3"/>
        <v>0</v>
      </c>
      <c r="P26" s="20">
        <f t="shared" si="4"/>
        <v>-5.8231292517006494</v>
      </c>
      <c r="Q26" s="21">
        <f t="shared" si="5"/>
        <v>0.95632653061224515</v>
      </c>
      <c r="R26" s="172"/>
      <c r="S26" s="28">
        <v>0.82500000000000007</v>
      </c>
      <c r="T26" s="28">
        <v>0.85902777777777783</v>
      </c>
      <c r="U26" s="4">
        <f t="shared" si="18"/>
        <v>6.9999999999999751</v>
      </c>
      <c r="V26" s="22">
        <f t="shared" si="17"/>
        <v>48.999999999999986</v>
      </c>
      <c r="W26" s="23"/>
      <c r="X26" s="28"/>
      <c r="Y26" s="28"/>
      <c r="Z26" s="28"/>
      <c r="AA26" s="164"/>
      <c r="AB26" s="164"/>
      <c r="AC26" s="25"/>
      <c r="AD26" s="25"/>
      <c r="AE26" s="19">
        <f t="shared" si="7"/>
        <v>-87.34693877550967</v>
      </c>
      <c r="AF26" s="21">
        <f t="shared" si="8"/>
        <v>0.95632653061224515</v>
      </c>
      <c r="AG26" s="172"/>
    </row>
    <row r="27" spans="1:33" ht="15.75" customHeight="1">
      <c r="A27" s="195" t="s">
        <v>58</v>
      </c>
      <c r="B27" s="37" t="s">
        <v>48</v>
      </c>
      <c r="C27" s="177"/>
      <c r="D27" s="177"/>
      <c r="E27" s="38"/>
      <c r="F27" s="4"/>
      <c r="G27" s="4"/>
      <c r="H27" s="4"/>
      <c r="I27" s="30">
        <v>15.333333333333334</v>
      </c>
      <c r="J27" s="18">
        <v>1916.6666666666667</v>
      </c>
      <c r="K27" s="17">
        <f t="shared" si="0"/>
        <v>125</v>
      </c>
      <c r="L27" s="30">
        <v>15.333333333333334</v>
      </c>
      <c r="M27" s="18">
        <f>AVERAGE(M21:M26)</f>
        <v>1842.3681361433455</v>
      </c>
      <c r="N27" s="17">
        <f t="shared" si="2"/>
        <v>120.15444366152254</v>
      </c>
      <c r="O27" s="19">
        <f t="shared" si="3"/>
        <v>0</v>
      </c>
      <c r="P27" s="20">
        <f t="shared" si="4"/>
        <v>-4.8455563384774649</v>
      </c>
      <c r="Q27" s="21">
        <f t="shared" si="5"/>
        <v>0.96123554929218025</v>
      </c>
      <c r="R27" s="172"/>
      <c r="S27" s="28"/>
      <c r="T27" s="28"/>
      <c r="U27" s="17"/>
      <c r="V27" s="22"/>
      <c r="W27" s="17"/>
      <c r="X27" s="17"/>
      <c r="Y27" s="31">
        <f>SUM(Y21:Y26)</f>
        <v>0</v>
      </c>
      <c r="Z27" s="31">
        <f>SUM(Z21:Z26)</f>
        <v>0</v>
      </c>
      <c r="AA27" s="168"/>
      <c r="AB27" s="168"/>
      <c r="AC27" s="31">
        <v>6</v>
      </c>
      <c r="AD27" s="31">
        <f>SUM(AD21:AD26)</f>
        <v>0</v>
      </c>
      <c r="AE27" s="19">
        <f t="shared" si="7"/>
        <v>-74.298530523321233</v>
      </c>
      <c r="AF27" s="21">
        <f t="shared" si="8"/>
        <v>0.96123554929218025</v>
      </c>
      <c r="AG27" s="172"/>
    </row>
    <row r="28" spans="1:33" ht="15.75" customHeight="1">
      <c r="A28" s="193" t="s">
        <v>61</v>
      </c>
      <c r="B28" s="37" t="s">
        <v>100</v>
      </c>
      <c r="C28" s="190" t="s">
        <v>101</v>
      </c>
      <c r="D28" s="190"/>
      <c r="E28" s="37">
        <v>31.29</v>
      </c>
      <c r="F28" s="4">
        <v>6900</v>
      </c>
      <c r="G28" s="4">
        <v>215901</v>
      </c>
      <c r="H28" s="22" t="s">
        <v>139</v>
      </c>
      <c r="I28" s="16">
        <v>18</v>
      </c>
      <c r="J28" s="18">
        <v>2400</v>
      </c>
      <c r="K28" s="17">
        <f t="shared" si="0"/>
        <v>133.33333333333334</v>
      </c>
      <c r="L28" s="16">
        <v>18</v>
      </c>
      <c r="M28" s="18">
        <f t="shared" ref="M28:M32" si="19">F28/V28*60</f>
        <v>2287.2928176795581</v>
      </c>
      <c r="N28" s="17">
        <f t="shared" si="2"/>
        <v>127.0718232044199</v>
      </c>
      <c r="O28" s="19">
        <f t="shared" si="3"/>
        <v>0</v>
      </c>
      <c r="P28" s="20">
        <f t="shared" si="4"/>
        <v>-6.2615101289134429</v>
      </c>
      <c r="Q28" s="21">
        <f t="shared" si="5"/>
        <v>0.95303867403314924</v>
      </c>
      <c r="R28" s="172">
        <f>Q33</f>
        <v>0.95696851551821738</v>
      </c>
      <c r="S28" s="28">
        <v>0.125</v>
      </c>
      <c r="T28" s="28">
        <v>0.25069444444444444</v>
      </c>
      <c r="U28" s="4"/>
      <c r="V28" s="22">
        <f t="shared" ref="V28:V32" si="20">(T28-S28)*24*60</f>
        <v>181</v>
      </c>
      <c r="W28" s="23">
        <f>T28</f>
        <v>0.25069444444444444</v>
      </c>
      <c r="X28" s="23">
        <f>S29</f>
        <v>0.26805555555555555</v>
      </c>
      <c r="Y28" s="23"/>
      <c r="Z28" s="23"/>
      <c r="AA28" s="164"/>
      <c r="AB28" s="164"/>
      <c r="AC28" s="25">
        <v>5</v>
      </c>
      <c r="AD28" s="25"/>
      <c r="AE28" s="19">
        <f t="shared" si="7"/>
        <v>-112.70718232044192</v>
      </c>
      <c r="AF28" s="21">
        <f t="shared" si="8"/>
        <v>0.95303867403314924</v>
      </c>
      <c r="AG28" s="172">
        <f>AF33</f>
        <v>0.95696851551821738</v>
      </c>
    </row>
    <row r="29" spans="1:33" ht="15.75" customHeight="1">
      <c r="A29" s="193" t="s">
        <v>61</v>
      </c>
      <c r="B29" s="37" t="s">
        <v>100</v>
      </c>
      <c r="C29" s="190" t="s">
        <v>102</v>
      </c>
      <c r="D29" s="190"/>
      <c r="E29" s="37">
        <v>26.2</v>
      </c>
      <c r="F29" s="4">
        <v>3563</v>
      </c>
      <c r="G29" s="4">
        <v>93350.599999999991</v>
      </c>
      <c r="H29" s="22" t="s">
        <v>139</v>
      </c>
      <c r="I29" s="16">
        <v>20</v>
      </c>
      <c r="J29" s="18">
        <v>2400</v>
      </c>
      <c r="K29" s="17">
        <f t="shared" si="0"/>
        <v>120</v>
      </c>
      <c r="L29" s="16">
        <v>20</v>
      </c>
      <c r="M29" s="18">
        <f t="shared" si="19"/>
        <v>2298.7096774193551</v>
      </c>
      <c r="N29" s="17">
        <f t="shared" si="2"/>
        <v>114.93548387096776</v>
      </c>
      <c r="O29" s="19">
        <f t="shared" si="3"/>
        <v>0</v>
      </c>
      <c r="P29" s="20">
        <f t="shared" si="4"/>
        <v>-5.064516129032242</v>
      </c>
      <c r="Q29" s="21">
        <f t="shared" si="5"/>
        <v>0.95779569892473126</v>
      </c>
      <c r="R29" s="172"/>
      <c r="S29" s="28">
        <v>0.26805555555555555</v>
      </c>
      <c r="T29" s="28">
        <v>0.33263888888888887</v>
      </c>
      <c r="U29" s="4">
        <f t="shared" ref="U29:U32" si="21">(S29-T28)*24*60</f>
        <v>24.999999999999993</v>
      </c>
      <c r="V29" s="22">
        <f t="shared" si="20"/>
        <v>92.999999999999986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7"/>
        <v>-101.2903225806449</v>
      </c>
      <c r="AF29" s="21">
        <f t="shared" si="8"/>
        <v>0.95779569892473126</v>
      </c>
      <c r="AG29" s="172"/>
    </row>
    <row r="30" spans="1:33" ht="15.75" customHeight="1">
      <c r="A30" s="193" t="s">
        <v>61</v>
      </c>
      <c r="B30" s="37" t="s">
        <v>100</v>
      </c>
      <c r="C30" s="190" t="s">
        <v>103</v>
      </c>
      <c r="D30" s="190"/>
      <c r="E30" s="37">
        <v>25.99</v>
      </c>
      <c r="F30" s="4">
        <v>2831</v>
      </c>
      <c r="G30" s="4">
        <v>73577.69</v>
      </c>
      <c r="H30" s="22" t="s">
        <v>139</v>
      </c>
      <c r="I30" s="16">
        <v>14</v>
      </c>
      <c r="J30" s="18">
        <v>2400</v>
      </c>
      <c r="K30" s="17">
        <f t="shared" si="0"/>
        <v>171.42857142857142</v>
      </c>
      <c r="L30" s="16">
        <v>14</v>
      </c>
      <c r="M30" s="18">
        <f t="shared" si="19"/>
        <v>2295.4054054054063</v>
      </c>
      <c r="N30" s="17">
        <f t="shared" si="2"/>
        <v>163.95752895752904</v>
      </c>
      <c r="O30" s="19">
        <f t="shared" si="3"/>
        <v>0</v>
      </c>
      <c r="P30" s="20">
        <f t="shared" si="4"/>
        <v>-7.4710424710423808</v>
      </c>
      <c r="Q30" s="21">
        <f t="shared" si="5"/>
        <v>0.95641891891891939</v>
      </c>
      <c r="R30" s="172"/>
      <c r="S30" s="28">
        <v>0.33749999999999997</v>
      </c>
      <c r="T30" s="28">
        <v>0.38888888888888884</v>
      </c>
      <c r="U30" s="4">
        <f t="shared" si="21"/>
        <v>6.9999999999999751</v>
      </c>
      <c r="V30" s="22">
        <f t="shared" si="20"/>
        <v>73.999999999999972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7"/>
        <v>-104.59459459459367</v>
      </c>
      <c r="AF30" s="21">
        <f t="shared" si="8"/>
        <v>0.95641891891891928</v>
      </c>
      <c r="AG30" s="172"/>
    </row>
    <row r="31" spans="1:33" ht="15.75" customHeight="1">
      <c r="A31" s="193" t="s">
        <v>61</v>
      </c>
      <c r="B31" s="37" t="s">
        <v>100</v>
      </c>
      <c r="C31" s="190" t="s">
        <v>105</v>
      </c>
      <c r="D31" s="190"/>
      <c r="E31" s="37">
        <v>25.98</v>
      </c>
      <c r="F31" s="4">
        <v>2153</v>
      </c>
      <c r="G31" s="4">
        <v>55934.94</v>
      </c>
      <c r="H31" s="22" t="s">
        <v>139</v>
      </c>
      <c r="I31" s="16">
        <v>21</v>
      </c>
      <c r="J31" s="18">
        <v>2400</v>
      </c>
      <c r="K31" s="17">
        <f t="shared" si="0"/>
        <v>114.28571428571429</v>
      </c>
      <c r="L31" s="16">
        <v>21</v>
      </c>
      <c r="M31" s="18">
        <f t="shared" si="19"/>
        <v>2306.785714285716</v>
      </c>
      <c r="N31" s="17">
        <f t="shared" si="2"/>
        <v>109.84693877551028</v>
      </c>
      <c r="O31" s="19">
        <f t="shared" si="3"/>
        <v>0</v>
      </c>
      <c r="P31" s="20">
        <f t="shared" si="4"/>
        <v>-4.4387755102040103</v>
      </c>
      <c r="Q31" s="21">
        <f t="shared" si="5"/>
        <v>0.96116071428571492</v>
      </c>
      <c r="R31" s="172"/>
      <c r="S31" s="28">
        <v>0.39236111111111105</v>
      </c>
      <c r="T31" s="28">
        <v>0.43124999999999991</v>
      </c>
      <c r="U31" s="4">
        <f t="shared" si="21"/>
        <v>4.9999999999999822</v>
      </c>
      <c r="V31" s="22">
        <f t="shared" si="20"/>
        <v>55.999999999999957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-93.21428571428396</v>
      </c>
      <c r="AF31" s="21">
        <f t="shared" si="8"/>
        <v>0.96116071428571503</v>
      </c>
      <c r="AG31" s="172"/>
    </row>
    <row r="32" spans="1:33" ht="15.75" customHeight="1">
      <c r="A32" s="193" t="s">
        <v>61</v>
      </c>
      <c r="B32" s="37" t="s">
        <v>100</v>
      </c>
      <c r="C32" s="190" t="s">
        <v>104</v>
      </c>
      <c r="D32" s="190"/>
      <c r="E32" s="37">
        <v>20.52</v>
      </c>
      <c r="F32" s="4">
        <v>2678</v>
      </c>
      <c r="G32" s="4">
        <v>54952.56</v>
      </c>
      <c r="H32" s="22" t="s">
        <v>139</v>
      </c>
      <c r="I32" s="16">
        <v>18</v>
      </c>
      <c r="J32" s="18">
        <v>2400</v>
      </c>
      <c r="K32" s="17">
        <f t="shared" si="0"/>
        <v>133.33333333333334</v>
      </c>
      <c r="L32" s="16">
        <v>18</v>
      </c>
      <c r="M32" s="18">
        <f t="shared" si="19"/>
        <v>2295.428571428572</v>
      </c>
      <c r="N32" s="17">
        <f t="shared" si="2"/>
        <v>127.52380952380956</v>
      </c>
      <c r="O32" s="19">
        <f t="shared" si="3"/>
        <v>0</v>
      </c>
      <c r="P32" s="20">
        <f t="shared" si="4"/>
        <v>-5.8095238095237818</v>
      </c>
      <c r="Q32" s="21">
        <f t="shared" si="5"/>
        <v>0.95642857142857163</v>
      </c>
      <c r="R32" s="172"/>
      <c r="S32" s="28">
        <v>0.43472222222222212</v>
      </c>
      <c r="T32" s="28">
        <v>0.48333333333333323</v>
      </c>
      <c r="U32" s="4">
        <f t="shared" si="21"/>
        <v>4.9999999999999822</v>
      </c>
      <c r="V32" s="22">
        <f t="shared" si="20"/>
        <v>69.999999999999986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-104.57142857142799</v>
      </c>
      <c r="AF32" s="21">
        <f t="shared" si="8"/>
        <v>0.95642857142857163</v>
      </c>
      <c r="AG32" s="172"/>
    </row>
    <row r="33" spans="1:33" ht="15.75" customHeight="1">
      <c r="A33" s="193" t="s">
        <v>61</v>
      </c>
      <c r="B33" s="37" t="s">
        <v>48</v>
      </c>
      <c r="C33" s="177"/>
      <c r="D33" s="177"/>
      <c r="E33" s="38"/>
      <c r="F33" s="4"/>
      <c r="G33" s="4"/>
      <c r="H33" s="4"/>
      <c r="I33" s="30">
        <v>18.2</v>
      </c>
      <c r="J33" s="18">
        <v>2400</v>
      </c>
      <c r="K33" s="17">
        <f t="shared" si="0"/>
        <v>131.86813186813188</v>
      </c>
      <c r="L33" s="30">
        <v>18.2</v>
      </c>
      <c r="M33" s="18">
        <f>AVERAGE(M28:M32)</f>
        <v>2296.7244372437217</v>
      </c>
      <c r="N33" s="17">
        <f t="shared" si="2"/>
        <v>126.1936503980067</v>
      </c>
      <c r="O33" s="19">
        <f t="shared" si="3"/>
        <v>0</v>
      </c>
      <c r="P33" s="20">
        <f t="shared" si="4"/>
        <v>-5.6744814701251869</v>
      </c>
      <c r="Q33" s="21">
        <f t="shared" si="5"/>
        <v>0.95696851551821738</v>
      </c>
      <c r="R33" s="172"/>
      <c r="S33" s="28"/>
      <c r="T33" s="28"/>
      <c r="U33" s="4"/>
      <c r="V33" s="22"/>
      <c r="W33" s="4"/>
      <c r="X33" s="4"/>
      <c r="Y33" s="31">
        <f>SUM(Y28:Y32)</f>
        <v>0</v>
      </c>
      <c r="Z33" s="31">
        <f>SUM(Z28:Z32)</f>
        <v>0</v>
      </c>
      <c r="AA33" s="168"/>
      <c r="AB33" s="168"/>
      <c r="AC33" s="31">
        <v>5</v>
      </c>
      <c r="AD33" s="31">
        <f>SUM(AD28:AD32)</f>
        <v>0</v>
      </c>
      <c r="AE33" s="19">
        <f t="shared" si="7"/>
        <v>-103.2755627562783</v>
      </c>
      <c r="AF33" s="21">
        <f t="shared" si="8"/>
        <v>0.95696851551821738</v>
      </c>
      <c r="AG33" s="172"/>
    </row>
    <row r="34" spans="1:33" ht="15.75" customHeight="1">
      <c r="A34" s="191" t="s">
        <v>64</v>
      </c>
      <c r="B34" s="37" t="s">
        <v>100</v>
      </c>
      <c r="C34" s="165" t="s">
        <v>106</v>
      </c>
      <c r="D34" s="165"/>
      <c r="E34" s="37">
        <v>26.2</v>
      </c>
      <c r="F34" s="4">
        <v>4772</v>
      </c>
      <c r="G34" s="4">
        <v>125026.4</v>
      </c>
      <c r="H34" s="22" t="s">
        <v>139</v>
      </c>
      <c r="I34" s="16">
        <v>18</v>
      </c>
      <c r="J34" s="18">
        <v>2400</v>
      </c>
      <c r="K34" s="17">
        <f t="shared" si="0"/>
        <v>133.33333333333334</v>
      </c>
      <c r="L34" s="16">
        <v>18</v>
      </c>
      <c r="M34" s="18">
        <f t="shared" ref="M34:M38" si="22">F34/V34*60</f>
        <v>2290.5599999999995</v>
      </c>
      <c r="N34" s="17">
        <f t="shared" si="2"/>
        <v>127.2533333333333</v>
      </c>
      <c r="O34" s="19">
        <f t="shared" si="3"/>
        <v>0</v>
      </c>
      <c r="P34" s="20">
        <f t="shared" si="4"/>
        <v>-6.0800000000000409</v>
      </c>
      <c r="Q34" s="21">
        <f t="shared" si="5"/>
        <v>0.95439999999999969</v>
      </c>
      <c r="R34" s="172">
        <f>Q39</f>
        <v>0.95976920609815242</v>
      </c>
      <c r="S34" s="28">
        <v>0.125</v>
      </c>
      <c r="T34" s="28">
        <v>0.21180555555555558</v>
      </c>
      <c r="U34" s="4"/>
      <c r="V34" s="22">
        <f t="shared" ref="V34:V38" si="23">(T34-S34)*24*60</f>
        <v>125.00000000000003</v>
      </c>
      <c r="W34" s="28">
        <f>T34</f>
        <v>0.21180555555555558</v>
      </c>
      <c r="X34" s="28">
        <f>S35</f>
        <v>0.22986111111111113</v>
      </c>
      <c r="Y34" s="28"/>
      <c r="Z34" s="28"/>
      <c r="AA34" s="164"/>
      <c r="AB34" s="164"/>
      <c r="AC34" s="25">
        <v>5</v>
      </c>
      <c r="AD34" s="25"/>
      <c r="AE34" s="19">
        <f t="shared" si="7"/>
        <v>-109.44000000000051</v>
      </c>
      <c r="AF34" s="21">
        <f t="shared" si="8"/>
        <v>0.9543999999999998</v>
      </c>
      <c r="AG34" s="172">
        <f>AF39</f>
        <v>0.95976920609815253</v>
      </c>
    </row>
    <row r="35" spans="1:33" ht="15.75" customHeight="1">
      <c r="A35" s="191" t="s">
        <v>64</v>
      </c>
      <c r="B35" s="37" t="s">
        <v>100</v>
      </c>
      <c r="C35" s="165" t="s">
        <v>107</v>
      </c>
      <c r="D35" s="165"/>
      <c r="E35" s="37">
        <v>26.18</v>
      </c>
      <c r="F35" s="4">
        <v>1356</v>
      </c>
      <c r="G35" s="4">
        <v>35500.080000000002</v>
      </c>
      <c r="H35" s="22" t="s">
        <v>139</v>
      </c>
      <c r="I35" s="16">
        <v>19</v>
      </c>
      <c r="J35" s="18">
        <v>2400</v>
      </c>
      <c r="K35" s="17">
        <f t="shared" si="0"/>
        <v>126.31578947368421</v>
      </c>
      <c r="L35" s="16">
        <v>19</v>
      </c>
      <c r="M35" s="18">
        <f t="shared" si="22"/>
        <v>2324.5714285714262</v>
      </c>
      <c r="N35" s="17">
        <f t="shared" si="2"/>
        <v>122.34586466165401</v>
      </c>
      <c r="O35" s="19">
        <f t="shared" si="3"/>
        <v>0</v>
      </c>
      <c r="P35" s="20">
        <f t="shared" si="4"/>
        <v>-3.9699248120302002</v>
      </c>
      <c r="Q35" s="21">
        <f t="shared" si="5"/>
        <v>0.96857142857142753</v>
      </c>
      <c r="R35" s="172"/>
      <c r="S35" s="28">
        <v>0.22986111111111113</v>
      </c>
      <c r="T35" s="28">
        <v>0.25416666666666671</v>
      </c>
      <c r="U35" s="4">
        <f t="shared" ref="U35:U38" si="24">(S35-T34)*24*60</f>
        <v>25.999999999999986</v>
      </c>
      <c r="V35" s="22">
        <f t="shared" si="23"/>
        <v>35.000000000000036</v>
      </c>
      <c r="W35" s="4"/>
      <c r="X35" s="4"/>
      <c r="Y35" s="4"/>
      <c r="Z35" s="4"/>
      <c r="AA35" s="164"/>
      <c r="AB35" s="164"/>
      <c r="AC35" s="25"/>
      <c r="AD35" s="25"/>
      <c r="AE35" s="19">
        <f t="shared" si="7"/>
        <v>-75.428571428573832</v>
      </c>
      <c r="AF35" s="21">
        <f t="shared" si="8"/>
        <v>0.96857142857142753</v>
      </c>
      <c r="AG35" s="172"/>
    </row>
    <row r="36" spans="1:33">
      <c r="A36" s="192" t="s">
        <v>64</v>
      </c>
      <c r="B36" s="37" t="s">
        <v>100</v>
      </c>
      <c r="C36" s="165" t="s">
        <v>108</v>
      </c>
      <c r="D36" s="165"/>
      <c r="E36" s="37">
        <v>26.39</v>
      </c>
      <c r="F36" s="4">
        <v>4664</v>
      </c>
      <c r="G36" s="4">
        <v>123082.96</v>
      </c>
      <c r="H36" s="22" t="s">
        <v>139</v>
      </c>
      <c r="I36" s="16">
        <v>19</v>
      </c>
      <c r="J36" s="18">
        <v>2400</v>
      </c>
      <c r="K36" s="17">
        <f t="shared" si="0"/>
        <v>126.31578947368421</v>
      </c>
      <c r="L36" s="16">
        <v>19</v>
      </c>
      <c r="M36" s="18">
        <f t="shared" si="22"/>
        <v>2293.7704918032791</v>
      </c>
      <c r="N36" s="17">
        <f t="shared" si="2"/>
        <v>120.72476272648838</v>
      </c>
      <c r="O36" s="19">
        <f t="shared" si="3"/>
        <v>0</v>
      </c>
      <c r="P36" s="20">
        <f t="shared" si="4"/>
        <v>-5.5910267471958264</v>
      </c>
      <c r="Q36" s="21">
        <f t="shared" si="5"/>
        <v>0.955737704918033</v>
      </c>
      <c r="R36" s="172"/>
      <c r="S36" s="28">
        <v>0.25972222222222224</v>
      </c>
      <c r="T36" s="28">
        <v>0.34444444444444444</v>
      </c>
      <c r="U36" s="4">
        <f t="shared" si="24"/>
        <v>7.9999999999999716</v>
      </c>
      <c r="V36" s="22">
        <f t="shared" si="23"/>
        <v>121.99999999999997</v>
      </c>
      <c r="W36" s="4"/>
      <c r="X36" s="4"/>
      <c r="Y36" s="4"/>
      <c r="Z36" s="4"/>
      <c r="AA36" s="164"/>
      <c r="AB36" s="164"/>
      <c r="AC36" s="25"/>
      <c r="AD36" s="25"/>
      <c r="AE36" s="19">
        <f t="shared" si="7"/>
        <v>-106.22950819672087</v>
      </c>
      <c r="AF36" s="21">
        <f t="shared" si="8"/>
        <v>0.955737704918033</v>
      </c>
      <c r="AG36" s="172"/>
    </row>
    <row r="37" spans="1:33">
      <c r="A37" s="192" t="s">
        <v>64</v>
      </c>
      <c r="B37" s="37" t="s">
        <v>100</v>
      </c>
      <c r="C37" s="165" t="s">
        <v>137</v>
      </c>
      <c r="D37" s="165"/>
      <c r="E37" s="37">
        <v>20.21</v>
      </c>
      <c r="F37" s="4">
        <v>2486</v>
      </c>
      <c r="G37" s="4">
        <v>50242.060000000005</v>
      </c>
      <c r="H37" s="22" t="s">
        <v>139</v>
      </c>
      <c r="I37" s="16">
        <v>16</v>
      </c>
      <c r="J37" s="18">
        <v>2400</v>
      </c>
      <c r="K37" s="17">
        <f t="shared" si="0"/>
        <v>150</v>
      </c>
      <c r="L37" s="16">
        <v>16</v>
      </c>
      <c r="M37" s="18">
        <f t="shared" si="22"/>
        <v>2294.7692307692305</v>
      </c>
      <c r="N37" s="17">
        <f t="shared" si="2"/>
        <v>143.42307692307691</v>
      </c>
      <c r="O37" s="19">
        <f t="shared" si="3"/>
        <v>0</v>
      </c>
      <c r="P37" s="20">
        <f t="shared" si="4"/>
        <v>-6.5769230769230944</v>
      </c>
      <c r="Q37" s="21">
        <f t="shared" si="5"/>
        <v>0.95615384615384602</v>
      </c>
      <c r="R37" s="172"/>
      <c r="S37" s="28">
        <v>0.35</v>
      </c>
      <c r="T37" s="28">
        <v>0.39513888888888887</v>
      </c>
      <c r="U37" s="4">
        <f t="shared" si="24"/>
        <v>7.9999999999999716</v>
      </c>
      <c r="V37" s="22">
        <f t="shared" si="23"/>
        <v>65.000000000000014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7"/>
        <v>-105.23076923076951</v>
      </c>
      <c r="AF37" s="21">
        <f t="shared" si="8"/>
        <v>0.95615384615384602</v>
      </c>
      <c r="AG37" s="172"/>
    </row>
    <row r="38" spans="1:33">
      <c r="A38" s="192" t="s">
        <v>64</v>
      </c>
      <c r="B38" s="37" t="s">
        <v>100</v>
      </c>
      <c r="C38" s="165" t="s">
        <v>134</v>
      </c>
      <c r="D38" s="165"/>
      <c r="E38" s="37">
        <v>20.52</v>
      </c>
      <c r="F38" s="4">
        <v>2275</v>
      </c>
      <c r="G38" s="4">
        <v>46683</v>
      </c>
      <c r="H38" s="22" t="s">
        <v>139</v>
      </c>
      <c r="I38" s="16">
        <v>18</v>
      </c>
      <c r="J38" s="18">
        <v>2400</v>
      </c>
      <c r="K38" s="17">
        <f t="shared" si="0"/>
        <v>133.33333333333334</v>
      </c>
      <c r="L38" s="16">
        <v>18</v>
      </c>
      <c r="M38" s="18">
        <f t="shared" si="22"/>
        <v>2313.5593220338969</v>
      </c>
      <c r="N38" s="17">
        <f t="shared" si="2"/>
        <v>128.53107344632761</v>
      </c>
      <c r="O38" s="19">
        <f t="shared" si="3"/>
        <v>0</v>
      </c>
      <c r="P38" s="20">
        <f t="shared" si="4"/>
        <v>-4.8022598870057323</v>
      </c>
      <c r="Q38" s="21">
        <f t="shared" si="5"/>
        <v>0.96398305084745706</v>
      </c>
      <c r="R38" s="172"/>
      <c r="S38" s="28">
        <v>0.39999999999999997</v>
      </c>
      <c r="T38" s="28">
        <v>0.44097222222222221</v>
      </c>
      <c r="U38" s="4">
        <f t="shared" si="24"/>
        <v>6.9999999999999751</v>
      </c>
      <c r="V38" s="22">
        <f t="shared" si="23"/>
        <v>59.000000000000028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7"/>
        <v>-86.440677966103067</v>
      </c>
      <c r="AF38" s="21">
        <f t="shared" si="8"/>
        <v>0.96398305084745706</v>
      </c>
      <c r="AG38" s="172"/>
    </row>
    <row r="39" spans="1:33">
      <c r="A39" s="192" t="s">
        <v>64</v>
      </c>
      <c r="B39" s="17" t="s">
        <v>48</v>
      </c>
      <c r="C39" s="177"/>
      <c r="D39" s="177"/>
      <c r="E39" s="38"/>
      <c r="F39" s="17"/>
      <c r="G39" s="17"/>
      <c r="H39" s="4"/>
      <c r="I39" s="30">
        <v>18</v>
      </c>
      <c r="J39" s="18">
        <v>2400</v>
      </c>
      <c r="K39" s="17">
        <f t="shared" si="0"/>
        <v>133.33333333333334</v>
      </c>
      <c r="L39" s="30">
        <v>18</v>
      </c>
      <c r="M39" s="18">
        <f>AVERAGE(M34:M38)</f>
        <v>2303.4460946355662</v>
      </c>
      <c r="N39" s="17">
        <f t="shared" si="2"/>
        <v>127.96922747975367</v>
      </c>
      <c r="O39" s="19">
        <f t="shared" si="3"/>
        <v>0</v>
      </c>
      <c r="P39" s="20">
        <f t="shared" si="4"/>
        <v>-5.3641058535796731</v>
      </c>
      <c r="Q39" s="21">
        <f t="shared" si="5"/>
        <v>0.95976920609815242</v>
      </c>
      <c r="R39" s="172"/>
      <c r="S39" s="28"/>
      <c r="T39" s="28"/>
      <c r="U39" s="17"/>
      <c r="V39" s="22"/>
      <c r="W39" s="17"/>
      <c r="X39" s="17"/>
      <c r="Y39" s="31">
        <f>SUM(Y34:Y38)</f>
        <v>0</v>
      </c>
      <c r="Z39" s="31">
        <f>SUM(Z34:Z38)</f>
        <v>0</v>
      </c>
      <c r="AA39" s="168"/>
      <c r="AB39" s="168"/>
      <c r="AC39" s="31">
        <v>5</v>
      </c>
      <c r="AD39" s="31">
        <f>SUM(AD34:AD38)</f>
        <v>0</v>
      </c>
      <c r="AE39" s="19">
        <f t="shared" si="7"/>
        <v>-96.553905364433831</v>
      </c>
      <c r="AF39" s="21">
        <f t="shared" si="8"/>
        <v>0.95976920609815253</v>
      </c>
      <c r="AG39" s="172"/>
    </row>
    <row r="40" spans="1:33" ht="15.75" customHeight="1">
      <c r="A40" s="184" t="s">
        <v>66</v>
      </c>
      <c r="B40" s="37" t="s">
        <v>111</v>
      </c>
      <c r="C40" s="173" t="s">
        <v>403</v>
      </c>
      <c r="D40" s="174"/>
      <c r="E40" s="37">
        <v>34.36</v>
      </c>
      <c r="F40" s="4">
        <v>2829</v>
      </c>
      <c r="G40" s="4">
        <v>97204.44</v>
      </c>
      <c r="H40" s="22" t="s">
        <v>139</v>
      </c>
      <c r="I40" s="16">
        <v>10</v>
      </c>
      <c r="J40" s="18">
        <v>3000</v>
      </c>
      <c r="K40" s="17">
        <f t="shared" si="0"/>
        <v>300</v>
      </c>
      <c r="L40" s="16">
        <v>10</v>
      </c>
      <c r="M40" s="18">
        <f t="shared" ref="M40:M49" si="25">F40/V40*60</f>
        <v>2876.9491525423732</v>
      </c>
      <c r="N40" s="18">
        <f t="shared" si="2"/>
        <v>287.69491525423734</v>
      </c>
      <c r="O40" s="19">
        <f t="shared" si="3"/>
        <v>0</v>
      </c>
      <c r="P40" s="20">
        <f t="shared" si="4"/>
        <v>-12.305084745762656</v>
      </c>
      <c r="Q40" s="21">
        <f t="shared" si="5"/>
        <v>0.95898305084745783</v>
      </c>
      <c r="R40" s="187">
        <f>Q50</f>
        <v>0.96380371491968164</v>
      </c>
      <c r="S40" s="28">
        <v>0.20833333333333334</v>
      </c>
      <c r="T40" s="28">
        <v>0.24930555555555556</v>
      </c>
      <c r="U40" s="28"/>
      <c r="V40" s="22">
        <f t="shared" ref="V40:V49" si="26">(T40-S40)*24*60</f>
        <v>58.999999999999993</v>
      </c>
      <c r="W40" s="23"/>
      <c r="X40" s="23"/>
      <c r="Y40" s="26"/>
      <c r="Z40" s="26"/>
      <c r="AA40" s="175"/>
      <c r="AB40" s="176"/>
      <c r="AC40" s="25">
        <v>10</v>
      </c>
      <c r="AD40" s="25"/>
      <c r="AE40" s="19">
        <f t="shared" si="7"/>
        <v>-123.05084745762679</v>
      </c>
      <c r="AF40" s="21">
        <f t="shared" si="8"/>
        <v>0.95898305084745772</v>
      </c>
      <c r="AG40" s="187">
        <f>AF50</f>
        <v>0.96380371491968164</v>
      </c>
    </row>
    <row r="41" spans="1:33" ht="15.75" customHeight="1">
      <c r="A41" s="185" t="s">
        <v>66</v>
      </c>
      <c r="B41" s="37" t="s">
        <v>111</v>
      </c>
      <c r="C41" s="173" t="s">
        <v>114</v>
      </c>
      <c r="D41" s="174"/>
      <c r="E41" s="37">
        <v>35.119999999999997</v>
      </c>
      <c r="F41" s="4">
        <v>3000</v>
      </c>
      <c r="G41" s="4">
        <v>105359.99999999999</v>
      </c>
      <c r="H41" s="22">
        <v>2</v>
      </c>
      <c r="I41" s="16">
        <v>10</v>
      </c>
      <c r="J41" s="18">
        <v>3000</v>
      </c>
      <c r="K41" s="17">
        <f t="shared" si="0"/>
        <v>300</v>
      </c>
      <c r="L41" s="16">
        <v>10</v>
      </c>
      <c r="M41" s="18">
        <f t="shared" si="25"/>
        <v>2857.1428571428564</v>
      </c>
      <c r="N41" s="18">
        <f t="shared" si="2"/>
        <v>285.71428571428567</v>
      </c>
      <c r="O41" s="19">
        <f t="shared" si="3"/>
        <v>0</v>
      </c>
      <c r="P41" s="20">
        <f t="shared" si="4"/>
        <v>-14.285714285714334</v>
      </c>
      <c r="Q41" s="21">
        <f t="shared" si="5"/>
        <v>0.95238095238095222</v>
      </c>
      <c r="R41" s="188"/>
      <c r="S41" s="28">
        <v>0.25416666666666665</v>
      </c>
      <c r="T41" s="28">
        <v>0.29791666666666666</v>
      </c>
      <c r="U41" s="4">
        <f t="shared" ref="U41:U49" si="27">(S41-T40)*24*60</f>
        <v>6.9999999999999751</v>
      </c>
      <c r="V41" s="22">
        <f t="shared" si="26"/>
        <v>63.000000000000014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7"/>
        <v>-142.85714285714357</v>
      </c>
      <c r="AF41" s="21">
        <f t="shared" si="8"/>
        <v>0.95238095238095211</v>
      </c>
      <c r="AG41" s="188"/>
    </row>
    <row r="42" spans="1:33" ht="15.75" customHeight="1">
      <c r="A42" s="185" t="s">
        <v>66</v>
      </c>
      <c r="B42" s="37" t="s">
        <v>111</v>
      </c>
      <c r="C42" s="173" t="s">
        <v>115</v>
      </c>
      <c r="D42" s="174"/>
      <c r="E42" s="37">
        <v>26.78</v>
      </c>
      <c r="F42" s="4">
        <v>2400</v>
      </c>
      <c r="G42" s="4">
        <v>64272</v>
      </c>
      <c r="H42" s="22" t="s">
        <v>139</v>
      </c>
      <c r="I42" s="16">
        <v>10</v>
      </c>
      <c r="J42" s="18">
        <v>3000</v>
      </c>
      <c r="K42" s="17">
        <f t="shared" si="0"/>
        <v>300</v>
      </c>
      <c r="L42" s="16">
        <v>10</v>
      </c>
      <c r="M42" s="18">
        <f t="shared" si="25"/>
        <v>2880.0000000000009</v>
      </c>
      <c r="N42" s="18">
        <f t="shared" si="2"/>
        <v>288.00000000000011</v>
      </c>
      <c r="O42" s="19">
        <f t="shared" si="3"/>
        <v>0</v>
      </c>
      <c r="P42" s="20">
        <f t="shared" si="4"/>
        <v>-11.999999999999886</v>
      </c>
      <c r="Q42" s="21">
        <f t="shared" si="5"/>
        <v>0.96000000000000041</v>
      </c>
      <c r="R42" s="188"/>
      <c r="S42" s="28">
        <v>0.30208333333333331</v>
      </c>
      <c r="T42" s="28">
        <v>0.33680555555555552</v>
      </c>
      <c r="U42" s="4">
        <f t="shared" si="27"/>
        <v>5.9999999999999787</v>
      </c>
      <c r="V42" s="22">
        <f t="shared" si="26"/>
        <v>49.999999999999986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7"/>
        <v>-119.99999999999909</v>
      </c>
      <c r="AF42" s="21">
        <f t="shared" si="8"/>
        <v>0.9600000000000003</v>
      </c>
      <c r="AG42" s="188"/>
    </row>
    <row r="43" spans="1:33" ht="15.75" customHeight="1">
      <c r="A43" s="185" t="s">
        <v>66</v>
      </c>
      <c r="B43" s="37" t="s">
        <v>111</v>
      </c>
      <c r="C43" s="173" t="s">
        <v>117</v>
      </c>
      <c r="D43" s="174"/>
      <c r="E43" s="37">
        <v>44.03</v>
      </c>
      <c r="F43" s="4">
        <v>1236</v>
      </c>
      <c r="G43" s="4">
        <v>54421.08</v>
      </c>
      <c r="H43" s="22" t="s">
        <v>139</v>
      </c>
      <c r="I43" s="16">
        <v>10</v>
      </c>
      <c r="J43" s="18">
        <v>3000</v>
      </c>
      <c r="K43" s="17">
        <f t="shared" si="0"/>
        <v>300</v>
      </c>
      <c r="L43" s="16">
        <v>10</v>
      </c>
      <c r="M43" s="18">
        <f t="shared" si="25"/>
        <v>2966.4000000000005</v>
      </c>
      <c r="N43" s="18">
        <f t="shared" si="2"/>
        <v>296.64000000000004</v>
      </c>
      <c r="O43" s="19">
        <f t="shared" si="3"/>
        <v>0</v>
      </c>
      <c r="P43" s="20">
        <f t="shared" si="4"/>
        <v>-3.3599999999999568</v>
      </c>
      <c r="Q43" s="21">
        <f t="shared" si="5"/>
        <v>0.98880000000000012</v>
      </c>
      <c r="R43" s="188"/>
      <c r="S43" s="28">
        <v>0.34166666666666662</v>
      </c>
      <c r="T43" s="28">
        <v>0.35902777777777772</v>
      </c>
      <c r="U43" s="4">
        <f t="shared" si="27"/>
        <v>6.9999999999999751</v>
      </c>
      <c r="V43" s="22">
        <f t="shared" si="26"/>
        <v>24.999999999999993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7"/>
        <v>-33.599999999999454</v>
      </c>
      <c r="AF43" s="21">
        <f t="shared" si="8"/>
        <v>0.98880000000000023</v>
      </c>
      <c r="AG43" s="188"/>
    </row>
    <row r="44" spans="1:33" ht="15.75" customHeight="1">
      <c r="A44" s="185" t="s">
        <v>66</v>
      </c>
      <c r="B44" s="37" t="s">
        <v>111</v>
      </c>
      <c r="C44" s="173" t="s">
        <v>112</v>
      </c>
      <c r="D44" s="174"/>
      <c r="E44" s="37">
        <v>21.13</v>
      </c>
      <c r="F44" s="4">
        <v>2200</v>
      </c>
      <c r="G44" s="4">
        <v>46486</v>
      </c>
      <c r="H44" s="22">
        <v>2</v>
      </c>
      <c r="I44" s="16">
        <v>10</v>
      </c>
      <c r="J44" s="18">
        <v>3000</v>
      </c>
      <c r="K44" s="17">
        <f t="shared" si="0"/>
        <v>300</v>
      </c>
      <c r="L44" s="16">
        <v>10</v>
      </c>
      <c r="M44" s="18">
        <f t="shared" si="25"/>
        <v>2869.5652173913045</v>
      </c>
      <c r="N44" s="18">
        <f t="shared" si="2"/>
        <v>286.95652173913044</v>
      </c>
      <c r="O44" s="19">
        <f t="shared" si="3"/>
        <v>0</v>
      </c>
      <c r="P44" s="20">
        <f t="shared" si="4"/>
        <v>-13.043478260869563</v>
      </c>
      <c r="Q44" s="21">
        <f t="shared" si="5"/>
        <v>0.95652173913043481</v>
      </c>
      <c r="R44" s="188"/>
      <c r="S44" s="28">
        <v>0.36249999999999993</v>
      </c>
      <c r="T44" s="28">
        <v>0.39444444444444438</v>
      </c>
      <c r="U44" s="4">
        <f t="shared" si="27"/>
        <v>4.9999999999999822</v>
      </c>
      <c r="V44" s="22">
        <f t="shared" si="26"/>
        <v>46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7"/>
        <v>-130.43478260869551</v>
      </c>
      <c r="AF44" s="21">
        <f t="shared" si="8"/>
        <v>0.95652173913043481</v>
      </c>
      <c r="AG44" s="188"/>
    </row>
    <row r="45" spans="1:33" ht="15.75" customHeight="1">
      <c r="A45" s="185" t="s">
        <v>66</v>
      </c>
      <c r="B45" s="37" t="s">
        <v>111</v>
      </c>
      <c r="C45" s="173" t="s">
        <v>113</v>
      </c>
      <c r="D45" s="174"/>
      <c r="E45" s="37">
        <v>27.17</v>
      </c>
      <c r="F45" s="4">
        <v>3650</v>
      </c>
      <c r="G45" s="4">
        <v>99170.5</v>
      </c>
      <c r="H45" s="22">
        <v>2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2881.5789473684217</v>
      </c>
      <c r="N45" s="18">
        <f t="shared" si="2"/>
        <v>288.1578947368422</v>
      </c>
      <c r="O45" s="19">
        <f t="shared" si="3"/>
        <v>0</v>
      </c>
      <c r="P45" s="20">
        <f t="shared" si="4"/>
        <v>-11.842105263157805</v>
      </c>
      <c r="Q45" s="21">
        <f t="shared" si="5"/>
        <v>0.96052631578947401</v>
      </c>
      <c r="R45" s="188"/>
      <c r="S45" s="28">
        <v>0.39791666666666659</v>
      </c>
      <c r="T45" s="28">
        <v>0.45069444444444434</v>
      </c>
      <c r="U45" s="4">
        <f t="shared" si="27"/>
        <v>4.9999999999999822</v>
      </c>
      <c r="V45" s="22">
        <f t="shared" si="26"/>
        <v>75.999999999999972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7"/>
        <v>-118.42105263157828</v>
      </c>
      <c r="AF45" s="21">
        <f t="shared" si="8"/>
        <v>0.96052631578947389</v>
      </c>
      <c r="AG45" s="188"/>
    </row>
    <row r="46" spans="1:33" ht="15.75" customHeight="1">
      <c r="A46" s="185" t="s">
        <v>66</v>
      </c>
      <c r="B46" s="37" t="s">
        <v>111</v>
      </c>
      <c r="C46" s="173" t="s">
        <v>116</v>
      </c>
      <c r="D46" s="174"/>
      <c r="E46" s="37">
        <v>35.869999999999997</v>
      </c>
      <c r="F46" s="4">
        <v>3532</v>
      </c>
      <c r="G46" s="4">
        <v>126692.84</v>
      </c>
      <c r="H46" s="22" t="s">
        <v>139</v>
      </c>
      <c r="I46" s="16">
        <v>9</v>
      </c>
      <c r="J46" s="18">
        <v>3000</v>
      </c>
      <c r="K46" s="17">
        <f t="shared" si="0"/>
        <v>333.33333333333331</v>
      </c>
      <c r="L46" s="16">
        <v>9</v>
      </c>
      <c r="M46" s="18">
        <f t="shared" si="25"/>
        <v>2863.7837837837847</v>
      </c>
      <c r="N46" s="18">
        <f t="shared" si="2"/>
        <v>318.19819819819827</v>
      </c>
      <c r="O46" s="19">
        <f t="shared" si="3"/>
        <v>0</v>
      </c>
      <c r="P46" s="20">
        <f t="shared" si="4"/>
        <v>-15.135135135135044</v>
      </c>
      <c r="Q46" s="21">
        <f t="shared" si="5"/>
        <v>0.95459459459459484</v>
      </c>
      <c r="R46" s="188"/>
      <c r="S46" s="28">
        <v>0.45486111111111099</v>
      </c>
      <c r="T46" s="28">
        <v>0.50624999999999987</v>
      </c>
      <c r="U46" s="4">
        <f t="shared" si="27"/>
        <v>5.9999999999999787</v>
      </c>
      <c r="V46" s="22">
        <f t="shared" si="26"/>
        <v>73.999999999999972</v>
      </c>
      <c r="W46" s="23">
        <f>T46</f>
        <v>0.50624999999999987</v>
      </c>
      <c r="X46" s="23">
        <f>S47</f>
        <v>0.54652777777777761</v>
      </c>
      <c r="Y46" s="26"/>
      <c r="Z46" s="26"/>
      <c r="AA46" s="175"/>
      <c r="AB46" s="176"/>
      <c r="AC46" s="25"/>
      <c r="AD46" s="25"/>
      <c r="AE46" s="19">
        <f t="shared" si="7"/>
        <v>-136.21621621621534</v>
      </c>
      <c r="AF46" s="21">
        <f t="shared" si="8"/>
        <v>0.95459459459459484</v>
      </c>
      <c r="AG46" s="188"/>
    </row>
    <row r="47" spans="1:33" ht="15.75" customHeight="1">
      <c r="A47" s="185" t="s">
        <v>66</v>
      </c>
      <c r="B47" s="37" t="s">
        <v>111</v>
      </c>
      <c r="C47" s="173" t="s">
        <v>112</v>
      </c>
      <c r="D47" s="174"/>
      <c r="E47" s="37">
        <v>21.13</v>
      </c>
      <c r="F47" s="4">
        <v>2282</v>
      </c>
      <c r="G47" s="4">
        <v>48218.659999999996</v>
      </c>
      <c r="H47" s="22" t="s">
        <v>139</v>
      </c>
      <c r="I47" s="16">
        <v>10</v>
      </c>
      <c r="J47" s="18">
        <v>3000</v>
      </c>
      <c r="K47" s="17">
        <f t="shared" si="0"/>
        <v>300</v>
      </c>
      <c r="L47" s="16">
        <v>10</v>
      </c>
      <c r="M47" s="18">
        <f t="shared" si="25"/>
        <v>2913.1914893617027</v>
      </c>
      <c r="N47" s="18">
        <f t="shared" si="2"/>
        <v>291.31914893617028</v>
      </c>
      <c r="O47" s="19">
        <f t="shared" si="3"/>
        <v>0</v>
      </c>
      <c r="P47" s="20">
        <f t="shared" si="4"/>
        <v>-8.6808510638297207</v>
      </c>
      <c r="Q47" s="21">
        <f t="shared" si="5"/>
        <v>0.97106382978723427</v>
      </c>
      <c r="R47" s="188"/>
      <c r="S47" s="28">
        <v>0.54652777777777761</v>
      </c>
      <c r="T47" s="28">
        <v>0.5791666666666665</v>
      </c>
      <c r="U47" s="4">
        <f t="shared" si="27"/>
        <v>57.999999999999957</v>
      </c>
      <c r="V47" s="22">
        <f t="shared" si="26"/>
        <v>46.999999999999993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7"/>
        <v>-86.808510638297321</v>
      </c>
      <c r="AF47" s="21">
        <f t="shared" si="8"/>
        <v>0.97106382978723427</v>
      </c>
      <c r="AG47" s="188"/>
    </row>
    <row r="48" spans="1:33" ht="15.75" customHeight="1">
      <c r="A48" s="185" t="s">
        <v>66</v>
      </c>
      <c r="B48" s="37" t="s">
        <v>111</v>
      </c>
      <c r="C48" s="173" t="s">
        <v>113</v>
      </c>
      <c r="D48" s="174"/>
      <c r="E48" s="37">
        <v>27.17</v>
      </c>
      <c r="F48" s="4">
        <v>2320</v>
      </c>
      <c r="G48" s="4">
        <v>63034.400000000001</v>
      </c>
      <c r="H48" s="22" t="s">
        <v>139</v>
      </c>
      <c r="I48" s="16">
        <v>10</v>
      </c>
      <c r="J48" s="18">
        <v>3000</v>
      </c>
      <c r="K48" s="17">
        <f t="shared" si="0"/>
        <v>300</v>
      </c>
      <c r="L48" s="16">
        <v>10</v>
      </c>
      <c r="M48" s="18">
        <f t="shared" si="25"/>
        <v>2900.0000000000009</v>
      </c>
      <c r="N48" s="18">
        <f t="shared" si="2"/>
        <v>290.00000000000011</v>
      </c>
      <c r="O48" s="19">
        <f t="shared" si="3"/>
        <v>0</v>
      </c>
      <c r="P48" s="20">
        <f t="shared" si="4"/>
        <v>-9.9999999999998863</v>
      </c>
      <c r="Q48" s="21">
        <f t="shared" si="5"/>
        <v>0.96666666666666701</v>
      </c>
      <c r="R48" s="188"/>
      <c r="S48" s="28">
        <v>0.58402777777777759</v>
      </c>
      <c r="T48" s="28">
        <v>0.61736111111111092</v>
      </c>
      <c r="U48" s="4">
        <f t="shared" si="27"/>
        <v>6.9999999999999751</v>
      </c>
      <c r="V48" s="22">
        <f t="shared" si="26"/>
        <v>47.999999999999986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7"/>
        <v>-99.999999999999091</v>
      </c>
      <c r="AF48" s="21">
        <f t="shared" si="8"/>
        <v>0.96666666666666701</v>
      </c>
      <c r="AG48" s="188"/>
    </row>
    <row r="49" spans="1:33" ht="15.75" customHeight="1">
      <c r="A49" s="185" t="s">
        <v>66</v>
      </c>
      <c r="B49" s="37" t="s">
        <v>111</v>
      </c>
      <c r="C49" s="173" t="s">
        <v>114</v>
      </c>
      <c r="D49" s="174"/>
      <c r="E49" s="37">
        <v>35.119999999999997</v>
      </c>
      <c r="F49" s="4">
        <v>1937</v>
      </c>
      <c r="G49" s="4">
        <v>68027.439999999988</v>
      </c>
      <c r="H49" s="22" t="s">
        <v>139</v>
      </c>
      <c r="I49" s="16">
        <v>10</v>
      </c>
      <c r="J49" s="18">
        <v>3000</v>
      </c>
      <c r="K49" s="17">
        <f t="shared" si="0"/>
        <v>300</v>
      </c>
      <c r="L49" s="16">
        <v>10</v>
      </c>
      <c r="M49" s="18">
        <f t="shared" si="25"/>
        <v>2905.4999999999991</v>
      </c>
      <c r="N49" s="18">
        <f t="shared" si="2"/>
        <v>290.5499999999999</v>
      </c>
      <c r="O49" s="19">
        <f t="shared" si="3"/>
        <v>0</v>
      </c>
      <c r="P49" s="20">
        <f t="shared" si="4"/>
        <v>-9.4500000000001023</v>
      </c>
      <c r="Q49" s="21">
        <f t="shared" si="5"/>
        <v>0.96849999999999969</v>
      </c>
      <c r="R49" s="188"/>
      <c r="S49" s="28">
        <v>0.62083333333333313</v>
      </c>
      <c r="T49" s="28">
        <v>0.64861111111111092</v>
      </c>
      <c r="U49" s="4">
        <f t="shared" si="27"/>
        <v>4.9999999999999822</v>
      </c>
      <c r="V49" s="22">
        <f t="shared" si="26"/>
        <v>40.000000000000014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7"/>
        <v>-94.500000000000909</v>
      </c>
      <c r="AF49" s="21">
        <f t="shared" si="8"/>
        <v>0.96849999999999969</v>
      </c>
      <c r="AG49" s="188"/>
    </row>
    <row r="50" spans="1:33" ht="15.75" customHeight="1">
      <c r="A50" s="186" t="s">
        <v>66</v>
      </c>
      <c r="B50" s="37" t="s">
        <v>48</v>
      </c>
      <c r="C50" s="166"/>
      <c r="D50" s="167"/>
      <c r="E50" s="41"/>
      <c r="F50" s="4"/>
      <c r="G50" s="4"/>
      <c r="H50" s="4"/>
      <c r="I50" s="30">
        <v>9.9</v>
      </c>
      <c r="J50" s="18">
        <v>3000</v>
      </c>
      <c r="K50" s="17">
        <f t="shared" si="0"/>
        <v>303.030303030303</v>
      </c>
      <c r="L50" s="30">
        <v>9.9</v>
      </c>
      <c r="M50" s="18">
        <f>AVERAGE(M40:M49)</f>
        <v>2891.4111447590449</v>
      </c>
      <c r="N50" s="17">
        <f t="shared" si="2"/>
        <v>292.06173179384291</v>
      </c>
      <c r="O50" s="19">
        <f t="shared" si="3"/>
        <v>0</v>
      </c>
      <c r="P50" s="20">
        <f t="shared" si="4"/>
        <v>-10.968571236460093</v>
      </c>
      <c r="Q50" s="21">
        <f t="shared" si="5"/>
        <v>0.96380371491968164</v>
      </c>
      <c r="R50" s="189"/>
      <c r="S50" s="28"/>
      <c r="T50" s="28"/>
      <c r="U50" s="4"/>
      <c r="V50" s="22"/>
      <c r="W50" s="23"/>
      <c r="X50" s="23"/>
      <c r="Y50" s="31">
        <f>SUM(Y40:Y49)</f>
        <v>0</v>
      </c>
      <c r="Z50" s="31">
        <f>SUM(Z40:Z49)</f>
        <v>0</v>
      </c>
      <c r="AA50" s="180"/>
      <c r="AB50" s="181"/>
      <c r="AC50" s="31">
        <v>10</v>
      </c>
      <c r="AD50" s="31">
        <f>SUM(AD40:AD49)</f>
        <v>0</v>
      </c>
      <c r="AE50" s="19">
        <f t="shared" si="7"/>
        <v>-108.58885524095513</v>
      </c>
      <c r="AF50" s="21">
        <f t="shared" si="8"/>
        <v>0.96380371491968164</v>
      </c>
      <c r="AG50" s="189"/>
    </row>
    <row r="51" spans="1:33" ht="15.75" customHeight="1">
      <c r="A51" s="182" t="s">
        <v>70</v>
      </c>
      <c r="B51" s="37" t="s">
        <v>84</v>
      </c>
      <c r="C51" s="165" t="s">
        <v>118</v>
      </c>
      <c r="D51" s="165"/>
      <c r="E51" s="37">
        <v>46</v>
      </c>
      <c r="F51" s="42">
        <v>885</v>
      </c>
      <c r="G51" s="4">
        <v>40710</v>
      </c>
      <c r="H51" s="22" t="s">
        <v>139</v>
      </c>
      <c r="I51" s="16">
        <v>17</v>
      </c>
      <c r="J51" s="18">
        <v>2000</v>
      </c>
      <c r="K51" s="17">
        <f t="shared" si="0"/>
        <v>117.64705882352941</v>
      </c>
      <c r="L51" s="16">
        <v>17</v>
      </c>
      <c r="M51" s="18">
        <f t="shared" ref="M51:M59" si="28">F51/V51*60</f>
        <v>1966.6666666666677</v>
      </c>
      <c r="N51" s="18">
        <f t="shared" si="2"/>
        <v>115.68627450980398</v>
      </c>
      <c r="O51" s="19">
        <f t="shared" si="3"/>
        <v>0</v>
      </c>
      <c r="P51" s="20">
        <f t="shared" si="4"/>
        <v>-1.9607843137254264</v>
      </c>
      <c r="Q51" s="21">
        <f t="shared" si="5"/>
        <v>0.98333333333333384</v>
      </c>
      <c r="R51" s="172">
        <f>Q60</f>
        <v>0.93882942330364083</v>
      </c>
      <c r="S51" s="28">
        <v>0.20833333333333334</v>
      </c>
      <c r="T51" s="28">
        <v>0.22708333333333333</v>
      </c>
      <c r="U51" s="28"/>
      <c r="V51" s="22">
        <f t="shared" ref="V51:V59" si="29">(T51-S51)*24*60</f>
        <v>26.999999999999986</v>
      </c>
      <c r="W51" s="28"/>
      <c r="X51" s="28"/>
      <c r="Y51" s="28"/>
      <c r="Z51" s="28"/>
      <c r="AA51" s="164"/>
      <c r="AB51" s="164"/>
      <c r="AC51" s="25">
        <v>9</v>
      </c>
      <c r="AD51" s="25"/>
      <c r="AE51" s="19">
        <f t="shared" si="7"/>
        <v>-33.333333333332348</v>
      </c>
      <c r="AF51" s="21">
        <f t="shared" si="8"/>
        <v>0.98333333333333384</v>
      </c>
      <c r="AG51" s="172">
        <f>AF60</f>
        <v>0.93882942330364083</v>
      </c>
    </row>
    <row r="52" spans="1:33" ht="15.75" customHeight="1">
      <c r="A52" s="182" t="s">
        <v>70</v>
      </c>
      <c r="B52" s="37" t="s">
        <v>84</v>
      </c>
      <c r="C52" s="165" t="s">
        <v>119</v>
      </c>
      <c r="D52" s="165"/>
      <c r="E52" s="37">
        <v>46</v>
      </c>
      <c r="F52" s="42">
        <v>1004</v>
      </c>
      <c r="G52" s="4">
        <v>46184</v>
      </c>
      <c r="H52" s="22" t="s">
        <v>139</v>
      </c>
      <c r="I52" s="16">
        <v>17</v>
      </c>
      <c r="J52" s="18">
        <v>2000</v>
      </c>
      <c r="K52" s="17">
        <f t="shared" si="0"/>
        <v>117.64705882352941</v>
      </c>
      <c r="L52" s="16">
        <v>17</v>
      </c>
      <c r="M52" s="18">
        <f t="shared" si="28"/>
        <v>1943.2258064516147</v>
      </c>
      <c r="N52" s="18">
        <f t="shared" si="2"/>
        <v>114.30740037950675</v>
      </c>
      <c r="O52" s="19">
        <f t="shared" si="3"/>
        <v>0</v>
      </c>
      <c r="P52" s="20">
        <f t="shared" si="4"/>
        <v>-3.3396584440226604</v>
      </c>
      <c r="Q52" s="21">
        <f t="shared" si="5"/>
        <v>0.9716129032258074</v>
      </c>
      <c r="R52" s="172"/>
      <c r="S52" s="28">
        <v>0.23125000000000001</v>
      </c>
      <c r="T52" s="28">
        <v>0.25277777777777777</v>
      </c>
      <c r="U52" s="4">
        <f t="shared" ref="U52:U59" si="30">IF(S52=TIME(17,0,0),"",(S52-T51)*24*60)</f>
        <v>6.0000000000000187</v>
      </c>
      <c r="V52" s="22">
        <f t="shared" si="29"/>
        <v>30.999999999999972</v>
      </c>
      <c r="W52" s="23"/>
      <c r="X52" s="23"/>
      <c r="Y52" s="23"/>
      <c r="Z52" s="23"/>
      <c r="AA52" s="164"/>
      <c r="AB52" s="164"/>
      <c r="AC52" s="25"/>
      <c r="AD52" s="25"/>
      <c r="AE52" s="19">
        <f t="shared" si="7"/>
        <v>-56.774193548385256</v>
      </c>
      <c r="AF52" s="21">
        <f t="shared" si="8"/>
        <v>0.9716129032258074</v>
      </c>
      <c r="AG52" s="172"/>
    </row>
    <row r="53" spans="1:33" ht="15.75" customHeight="1">
      <c r="A53" s="182" t="s">
        <v>70</v>
      </c>
      <c r="B53" s="37" t="s">
        <v>78</v>
      </c>
      <c r="C53" s="173" t="s">
        <v>120</v>
      </c>
      <c r="D53" s="174"/>
      <c r="E53" s="37">
        <v>56.43</v>
      </c>
      <c r="F53" s="42">
        <v>1680</v>
      </c>
      <c r="G53" s="4">
        <v>94802.4</v>
      </c>
      <c r="H53" s="22" t="s">
        <v>139</v>
      </c>
      <c r="I53" s="16">
        <v>22</v>
      </c>
      <c r="J53" s="18">
        <v>2000</v>
      </c>
      <c r="K53" s="17">
        <f t="shared" si="0"/>
        <v>90.909090909090907</v>
      </c>
      <c r="L53" s="16">
        <v>22</v>
      </c>
      <c r="M53" s="18">
        <f t="shared" si="28"/>
        <v>1737.9310344827575</v>
      </c>
      <c r="N53" s="18">
        <f t="shared" si="2"/>
        <v>78.996865203761701</v>
      </c>
      <c r="O53" s="19">
        <f t="shared" si="3"/>
        <v>0</v>
      </c>
      <c r="P53" s="20">
        <f t="shared" si="4"/>
        <v>-11.912225705329206</v>
      </c>
      <c r="Q53" s="21">
        <f t="shared" si="5"/>
        <v>0.86896551724137872</v>
      </c>
      <c r="R53" s="172"/>
      <c r="S53" s="28">
        <v>0.25763888888888886</v>
      </c>
      <c r="T53" s="28">
        <v>0.29791666666666666</v>
      </c>
      <c r="U53" s="4">
        <f t="shared" si="30"/>
        <v>6.9999999999999751</v>
      </c>
      <c r="V53" s="22">
        <f t="shared" si="29"/>
        <v>58.000000000000036</v>
      </c>
      <c r="W53" s="23"/>
      <c r="X53" s="23"/>
      <c r="Y53" s="26"/>
      <c r="Z53" s="26"/>
      <c r="AA53" s="164"/>
      <c r="AB53" s="164"/>
      <c r="AC53" s="25"/>
      <c r="AD53" s="25"/>
      <c r="AE53" s="19">
        <f t="shared" si="7"/>
        <v>-262.06896551724253</v>
      </c>
      <c r="AF53" s="21">
        <f t="shared" si="8"/>
        <v>0.86896551724137872</v>
      </c>
      <c r="AG53" s="172"/>
    </row>
    <row r="54" spans="1:33" ht="15.75" customHeight="1">
      <c r="A54" s="182" t="s">
        <v>70</v>
      </c>
      <c r="B54" s="37" t="s">
        <v>78</v>
      </c>
      <c r="C54" s="43" t="s">
        <v>121</v>
      </c>
      <c r="D54" s="44"/>
      <c r="E54" s="37">
        <v>51.75</v>
      </c>
      <c r="F54" s="42">
        <v>1496</v>
      </c>
      <c r="G54" s="4">
        <v>77418</v>
      </c>
      <c r="H54" s="22" t="s">
        <v>139</v>
      </c>
      <c r="I54" s="16">
        <v>25</v>
      </c>
      <c r="J54" s="18">
        <v>2000</v>
      </c>
      <c r="K54" s="17">
        <f t="shared" si="0"/>
        <v>80</v>
      </c>
      <c r="L54" s="16">
        <v>25</v>
      </c>
      <c r="M54" s="18">
        <f t="shared" si="28"/>
        <v>1693.5849056603784</v>
      </c>
      <c r="N54" s="18">
        <f t="shared" si="2"/>
        <v>67.743396226415129</v>
      </c>
      <c r="O54" s="19">
        <f t="shared" si="3"/>
        <v>0</v>
      </c>
      <c r="P54" s="20">
        <f t="shared" si="4"/>
        <v>-12.256603773584871</v>
      </c>
      <c r="Q54" s="21">
        <f t="shared" si="5"/>
        <v>0.84679245283018911</v>
      </c>
      <c r="R54" s="172"/>
      <c r="S54" s="28">
        <v>0.3034722222222222</v>
      </c>
      <c r="T54" s="28">
        <v>0.34027777777777773</v>
      </c>
      <c r="U54" s="4">
        <f t="shared" si="30"/>
        <v>7.9999999999999716</v>
      </c>
      <c r="V54" s="22">
        <f t="shared" si="29"/>
        <v>52.999999999999972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7"/>
        <v>-306.41509433962165</v>
      </c>
      <c r="AF54" s="21">
        <f t="shared" si="8"/>
        <v>0.84679245283018922</v>
      </c>
      <c r="AG54" s="172"/>
    </row>
    <row r="55" spans="1:33" ht="15.75" customHeight="1">
      <c r="A55" s="182" t="s">
        <v>70</v>
      </c>
      <c r="B55" s="37" t="s">
        <v>78</v>
      </c>
      <c r="C55" s="43" t="s">
        <v>122</v>
      </c>
      <c r="D55" s="44"/>
      <c r="E55" s="37">
        <v>54.09</v>
      </c>
      <c r="F55" s="42">
        <v>1305</v>
      </c>
      <c r="G55" s="4">
        <v>70587.450000000012</v>
      </c>
      <c r="H55" s="22" t="s">
        <v>139</v>
      </c>
      <c r="I55" s="16">
        <v>19</v>
      </c>
      <c r="J55" s="18">
        <v>2000</v>
      </c>
      <c r="K55" s="17">
        <f t="shared" si="0"/>
        <v>105.26315789473684</v>
      </c>
      <c r="L55" s="16">
        <v>19</v>
      </c>
      <c r="M55" s="18">
        <f t="shared" si="28"/>
        <v>1820.9302325581393</v>
      </c>
      <c r="N55" s="18">
        <f t="shared" si="2"/>
        <v>95.838433292533651</v>
      </c>
      <c r="O55" s="19">
        <f t="shared" si="3"/>
        <v>0</v>
      </c>
      <c r="P55" s="20">
        <f t="shared" si="4"/>
        <v>-9.4247246022031845</v>
      </c>
      <c r="Q55" s="21">
        <f t="shared" si="5"/>
        <v>0.91046511627906979</v>
      </c>
      <c r="R55" s="172"/>
      <c r="S55" s="28">
        <v>0.34374999999999994</v>
      </c>
      <c r="T55" s="28">
        <v>0.37361111111111106</v>
      </c>
      <c r="U55" s="4">
        <f t="shared" si="30"/>
        <v>4.9999999999999822</v>
      </c>
      <c r="V55" s="22">
        <f t="shared" si="29"/>
        <v>43.000000000000007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7"/>
        <v>-179.06976744186068</v>
      </c>
      <c r="AF55" s="21">
        <f t="shared" si="8"/>
        <v>0.91046511627906968</v>
      </c>
      <c r="AG55" s="172"/>
    </row>
    <row r="56" spans="1:33" ht="15.75" customHeight="1">
      <c r="A56" s="182" t="s">
        <v>70</v>
      </c>
      <c r="B56" s="37" t="s">
        <v>78</v>
      </c>
      <c r="C56" s="173" t="s">
        <v>123</v>
      </c>
      <c r="D56" s="174"/>
      <c r="E56" s="37">
        <v>55.56</v>
      </c>
      <c r="F56" s="42">
        <v>1731</v>
      </c>
      <c r="G56" s="4">
        <v>96174.36</v>
      </c>
      <c r="H56" s="22" t="s">
        <v>139</v>
      </c>
      <c r="I56" s="16">
        <v>17</v>
      </c>
      <c r="J56" s="18">
        <v>2000</v>
      </c>
      <c r="K56" s="17">
        <f t="shared" si="0"/>
        <v>117.64705882352941</v>
      </c>
      <c r="L56" s="16">
        <v>17</v>
      </c>
      <c r="M56" s="18">
        <f t="shared" si="28"/>
        <v>1923.3333333333344</v>
      </c>
      <c r="N56" s="18">
        <f t="shared" si="2"/>
        <v>113.13725490196084</v>
      </c>
      <c r="O56" s="19">
        <f t="shared" si="3"/>
        <v>0</v>
      </c>
      <c r="P56" s="20">
        <f t="shared" si="4"/>
        <v>-4.5098039215685617</v>
      </c>
      <c r="Q56" s="21">
        <f t="shared" si="5"/>
        <v>0.96166666666666722</v>
      </c>
      <c r="R56" s="172"/>
      <c r="S56" s="28">
        <v>0.70833333333333337</v>
      </c>
      <c r="T56" s="28">
        <v>0.74583333333333335</v>
      </c>
      <c r="U56" s="4" t="str">
        <f t="shared" si="30"/>
        <v/>
      </c>
      <c r="V56" s="22">
        <f t="shared" si="29"/>
        <v>53.999999999999972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7"/>
        <v>-76.666666666665606</v>
      </c>
      <c r="AF56" s="21">
        <f t="shared" si="8"/>
        <v>0.96166666666666722</v>
      </c>
      <c r="AG56" s="172"/>
    </row>
    <row r="57" spans="1:33" ht="15.75" customHeight="1">
      <c r="A57" s="182" t="s">
        <v>70</v>
      </c>
      <c r="B57" s="37" t="s">
        <v>78</v>
      </c>
      <c r="C57" s="173" t="s">
        <v>124</v>
      </c>
      <c r="D57" s="174"/>
      <c r="E57" s="37">
        <v>55.32</v>
      </c>
      <c r="F57" s="42">
        <v>1103</v>
      </c>
      <c r="G57" s="4">
        <v>61017.96</v>
      </c>
      <c r="H57" s="22" t="s">
        <v>139</v>
      </c>
      <c r="I57" s="16">
        <v>15</v>
      </c>
      <c r="J57" s="18">
        <v>2000</v>
      </c>
      <c r="K57" s="17">
        <f t="shared" si="0"/>
        <v>133.33333333333334</v>
      </c>
      <c r="L57" s="16">
        <v>15</v>
      </c>
      <c r="M57" s="18">
        <f t="shared" si="28"/>
        <v>1946.4705882352919</v>
      </c>
      <c r="N57" s="18">
        <f t="shared" si="2"/>
        <v>129.76470588235279</v>
      </c>
      <c r="O57" s="19">
        <f t="shared" si="3"/>
        <v>0</v>
      </c>
      <c r="P57" s="20">
        <f t="shared" si="4"/>
        <v>-3.5686274509805571</v>
      </c>
      <c r="Q57" s="21">
        <f t="shared" si="5"/>
        <v>0.97323529411764587</v>
      </c>
      <c r="R57" s="172"/>
      <c r="S57" s="28">
        <v>0.75069444444444444</v>
      </c>
      <c r="T57" s="28">
        <v>0.77430555555555558</v>
      </c>
      <c r="U57" s="4">
        <f t="shared" si="30"/>
        <v>6.9999999999999751</v>
      </c>
      <c r="V57" s="22">
        <f t="shared" si="29"/>
        <v>34.000000000000043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7"/>
        <v>-53.529411764708129</v>
      </c>
      <c r="AF57" s="21">
        <f t="shared" si="8"/>
        <v>0.97323529411764598</v>
      </c>
      <c r="AG57" s="172"/>
    </row>
    <row r="58" spans="1:33" ht="15.75" customHeight="1">
      <c r="A58" s="182" t="s">
        <v>70</v>
      </c>
      <c r="B58" s="37" t="s">
        <v>78</v>
      </c>
      <c r="C58" s="173" t="s">
        <v>125</v>
      </c>
      <c r="D58" s="174"/>
      <c r="E58" s="37">
        <v>54.29</v>
      </c>
      <c r="F58" s="42">
        <v>1518</v>
      </c>
      <c r="G58" s="4">
        <v>82412.22</v>
      </c>
      <c r="H58" s="22" t="s">
        <v>139</v>
      </c>
      <c r="I58" s="16">
        <v>20</v>
      </c>
      <c r="J58" s="18">
        <v>2000</v>
      </c>
      <c r="K58" s="17">
        <f t="shared" si="0"/>
        <v>100</v>
      </c>
      <c r="L58" s="16">
        <v>20</v>
      </c>
      <c r="M58" s="18">
        <f t="shared" si="28"/>
        <v>1937.872340425532</v>
      </c>
      <c r="N58" s="18">
        <f t="shared" si="2"/>
        <v>96.893617021276597</v>
      </c>
      <c r="O58" s="19">
        <f t="shared" si="3"/>
        <v>0</v>
      </c>
      <c r="P58" s="20">
        <f t="shared" si="4"/>
        <v>-3.1063829787234027</v>
      </c>
      <c r="Q58" s="21">
        <f t="shared" si="5"/>
        <v>0.96893617021276601</v>
      </c>
      <c r="R58" s="172"/>
      <c r="S58" s="28">
        <v>0.77847222222222223</v>
      </c>
      <c r="T58" s="28">
        <v>0.81111111111111112</v>
      </c>
      <c r="U58" s="4">
        <f t="shared" si="30"/>
        <v>5.9999999999999787</v>
      </c>
      <c r="V58" s="22">
        <f t="shared" si="29"/>
        <v>46.999999999999993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7"/>
        <v>-62.127659574467998</v>
      </c>
      <c r="AF58" s="21">
        <f t="shared" si="8"/>
        <v>0.96893617021276601</v>
      </c>
      <c r="AG58" s="172"/>
    </row>
    <row r="59" spans="1:33">
      <c r="A59" s="182" t="s">
        <v>70</v>
      </c>
      <c r="B59" s="37" t="s">
        <v>78</v>
      </c>
      <c r="C59" s="173" t="s">
        <v>126</v>
      </c>
      <c r="D59" s="174"/>
      <c r="E59" s="37">
        <v>57.73</v>
      </c>
      <c r="F59" s="42">
        <v>973</v>
      </c>
      <c r="G59" s="4">
        <v>56171.289999999994</v>
      </c>
      <c r="H59" s="22" t="s">
        <v>139</v>
      </c>
      <c r="I59" s="16">
        <v>16</v>
      </c>
      <c r="J59" s="18">
        <v>1500</v>
      </c>
      <c r="K59" s="17">
        <f t="shared" si="0"/>
        <v>93.75</v>
      </c>
      <c r="L59" s="16">
        <v>16</v>
      </c>
      <c r="M59" s="18">
        <f t="shared" si="28"/>
        <v>1459.4999999999995</v>
      </c>
      <c r="N59" s="18">
        <f t="shared" si="2"/>
        <v>91.218749999999972</v>
      </c>
      <c r="O59" s="19">
        <f t="shared" si="3"/>
        <v>0</v>
      </c>
      <c r="P59" s="20">
        <f t="shared" si="4"/>
        <v>-2.5312500000000284</v>
      </c>
      <c r="Q59" s="21">
        <f t="shared" si="5"/>
        <v>0.97299999999999964</v>
      </c>
      <c r="R59" s="172"/>
      <c r="S59" s="28">
        <v>0.81458333333333333</v>
      </c>
      <c r="T59" s="28">
        <v>0.84236111111111112</v>
      </c>
      <c r="U59" s="4">
        <f t="shared" si="30"/>
        <v>4.9999999999999822</v>
      </c>
      <c r="V59" s="22">
        <f t="shared" si="29"/>
        <v>40.000000000000014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7"/>
        <v>-40.500000000000455</v>
      </c>
      <c r="AF59" s="21">
        <f t="shared" si="8"/>
        <v>0.97299999999999964</v>
      </c>
      <c r="AG59" s="172"/>
    </row>
    <row r="60" spans="1:33">
      <c r="A60" s="183" t="s">
        <v>70</v>
      </c>
      <c r="B60" s="37" t="s">
        <v>48</v>
      </c>
      <c r="C60" s="177"/>
      <c r="D60" s="177"/>
      <c r="E60" s="38"/>
      <c r="F60" s="17"/>
      <c r="G60" s="17"/>
      <c r="H60" s="4"/>
      <c r="I60" s="30">
        <v>18.666666666666668</v>
      </c>
      <c r="J60" s="18">
        <v>1944.4444444444443</v>
      </c>
      <c r="K60" s="17">
        <f t="shared" si="0"/>
        <v>104.16666666666666</v>
      </c>
      <c r="L60" s="30">
        <v>18.666666666666668</v>
      </c>
      <c r="M60" s="18">
        <f>AVERAGE(M51:M59)</f>
        <v>1825.501656423746</v>
      </c>
      <c r="N60" s="17">
        <f t="shared" si="2"/>
        <v>97.794731594129246</v>
      </c>
      <c r="O60" s="19">
        <f t="shared" si="3"/>
        <v>0</v>
      </c>
      <c r="P60" s="20">
        <f t="shared" si="4"/>
        <v>-6.3719350725374113</v>
      </c>
      <c r="Q60" s="21">
        <f t="shared" si="5"/>
        <v>0.93882942330364083</v>
      </c>
      <c r="R60" s="172"/>
      <c r="S60" s="28"/>
      <c r="T60" s="28"/>
      <c r="U60" s="4"/>
      <c r="V60" s="22"/>
      <c r="W60" s="17"/>
      <c r="X60" s="17"/>
      <c r="Y60" s="31">
        <f>SUM(Y51:Y59)</f>
        <v>0</v>
      </c>
      <c r="Z60" s="31">
        <f>SUM(Z51:Z59)</f>
        <v>0</v>
      </c>
      <c r="AA60" s="168"/>
      <c r="AB60" s="168"/>
      <c r="AC60" s="31">
        <v>9</v>
      </c>
      <c r="AD60" s="31">
        <f>SUM(AD51:AD59)</f>
        <v>0</v>
      </c>
      <c r="AE60" s="19">
        <f>M60-J60</f>
        <v>-118.94278802069834</v>
      </c>
      <c r="AF60" s="21">
        <f t="shared" si="8"/>
        <v>0.93882942330364083</v>
      </c>
      <c r="AG60" s="172"/>
    </row>
    <row r="61" spans="1:33" ht="15.75" customHeight="1">
      <c r="A61" s="178" t="s">
        <v>73</v>
      </c>
      <c r="B61" s="4" t="s">
        <v>84</v>
      </c>
      <c r="C61" s="165" t="s">
        <v>127</v>
      </c>
      <c r="D61" s="165"/>
      <c r="E61" s="37">
        <v>26.97</v>
      </c>
      <c r="F61" s="42">
        <v>1597</v>
      </c>
      <c r="G61" s="4">
        <v>43071.09</v>
      </c>
      <c r="H61" s="22" t="s">
        <v>139</v>
      </c>
      <c r="I61" s="16">
        <v>8</v>
      </c>
      <c r="J61" s="18">
        <v>1500</v>
      </c>
      <c r="K61" s="17">
        <f t="shared" si="0"/>
        <v>187.5</v>
      </c>
      <c r="L61" s="16">
        <v>8</v>
      </c>
      <c r="M61" s="18">
        <f t="shared" ref="M61:M65" si="31">F61/V61*60</f>
        <v>1430.1492537313443</v>
      </c>
      <c r="N61" s="17">
        <f t="shared" si="2"/>
        <v>178.76865671641804</v>
      </c>
      <c r="O61" s="19">
        <f t="shared" si="3"/>
        <v>0</v>
      </c>
      <c r="P61" s="20">
        <f t="shared" si="4"/>
        <v>-8.731343283581964</v>
      </c>
      <c r="Q61" s="21">
        <f t="shared" si="5"/>
        <v>0.95343283582089622</v>
      </c>
      <c r="R61" s="172">
        <f>Q66</f>
        <v>0.96931175076995957</v>
      </c>
      <c r="S61" s="28">
        <v>0.20833333333333334</v>
      </c>
      <c r="T61" s="28">
        <v>0.25486111111111109</v>
      </c>
      <c r="U61" s="4"/>
      <c r="V61" s="22">
        <f t="shared" ref="V61:V65" si="32">(T61-S61)*24*60</f>
        <v>66.999999999999957</v>
      </c>
      <c r="W61" s="28"/>
      <c r="X61" s="28"/>
      <c r="Y61" s="28"/>
      <c r="Z61" s="28"/>
      <c r="AA61" s="164"/>
      <c r="AB61" s="164"/>
      <c r="AC61" s="25">
        <v>5</v>
      </c>
      <c r="AD61" s="25"/>
      <c r="AE61" s="19">
        <f t="shared" ref="AE61:AE72" si="33">M61-J61</f>
        <v>-69.850746268655712</v>
      </c>
      <c r="AF61" s="21">
        <f t="shared" si="8"/>
        <v>0.95343283582089622</v>
      </c>
      <c r="AG61" s="172">
        <f>AF66</f>
        <v>0.96931175076995968</v>
      </c>
    </row>
    <row r="62" spans="1:33" ht="15.75" customHeight="1">
      <c r="A62" s="178" t="s">
        <v>73</v>
      </c>
      <c r="B62" s="4" t="s">
        <v>84</v>
      </c>
      <c r="C62" s="165" t="s">
        <v>128</v>
      </c>
      <c r="D62" s="165"/>
      <c r="E62" s="37">
        <v>27.4</v>
      </c>
      <c r="F62" s="42">
        <v>857</v>
      </c>
      <c r="G62" s="4">
        <v>23481.8</v>
      </c>
      <c r="H62" s="22" t="s">
        <v>139</v>
      </c>
      <c r="I62" s="16">
        <v>10</v>
      </c>
      <c r="J62" s="18">
        <v>1500</v>
      </c>
      <c r="K62" s="17">
        <f t="shared" si="0"/>
        <v>150</v>
      </c>
      <c r="L62" s="16">
        <v>10</v>
      </c>
      <c r="M62" s="18">
        <f t="shared" si="31"/>
        <v>1428.3333333333321</v>
      </c>
      <c r="N62" s="17">
        <f t="shared" si="2"/>
        <v>142.8333333333332</v>
      </c>
      <c r="O62" s="19">
        <f t="shared" si="3"/>
        <v>0</v>
      </c>
      <c r="P62" s="20">
        <f t="shared" si="4"/>
        <v>-7.1666666666667993</v>
      </c>
      <c r="Q62" s="21">
        <f t="shared" si="5"/>
        <v>0.9522222222222213</v>
      </c>
      <c r="R62" s="172"/>
      <c r="S62" s="28">
        <v>0.26041666666666663</v>
      </c>
      <c r="T62" s="28">
        <v>0.28541666666666665</v>
      </c>
      <c r="U62" s="4">
        <f t="shared" ref="U62:U65" si="34">(S62-T61)*24*60</f>
        <v>7.9999999999999716</v>
      </c>
      <c r="V62" s="22">
        <f t="shared" si="32"/>
        <v>36.000000000000028</v>
      </c>
      <c r="W62" s="4"/>
      <c r="X62" s="4"/>
      <c r="Y62" s="4"/>
      <c r="Z62" s="4"/>
      <c r="AA62" s="164"/>
      <c r="AB62" s="164"/>
      <c r="AC62" s="25"/>
      <c r="AD62" s="25"/>
      <c r="AE62" s="19">
        <f t="shared" si="33"/>
        <v>-71.666666666667879</v>
      </c>
      <c r="AF62" s="21">
        <f t="shared" si="8"/>
        <v>0.95222222222222141</v>
      </c>
      <c r="AG62" s="172"/>
    </row>
    <row r="63" spans="1:33" ht="15.75" customHeight="1">
      <c r="A63" s="178" t="s">
        <v>1392</v>
      </c>
      <c r="B63" s="4" t="s">
        <v>111</v>
      </c>
      <c r="C63" s="165" t="s">
        <v>129</v>
      </c>
      <c r="D63" s="165"/>
      <c r="E63" s="37">
        <v>31</v>
      </c>
      <c r="F63" s="42">
        <v>697</v>
      </c>
      <c r="G63" s="4">
        <v>21607</v>
      </c>
      <c r="H63" s="22" t="s">
        <v>139</v>
      </c>
      <c r="I63" s="16">
        <v>13</v>
      </c>
      <c r="J63" s="18">
        <v>2000</v>
      </c>
      <c r="K63" s="17">
        <f t="shared" si="0"/>
        <v>153.84615384615384</v>
      </c>
      <c r="L63" s="16">
        <v>13</v>
      </c>
      <c r="M63" s="18">
        <f t="shared" si="31"/>
        <v>1991.4285714285709</v>
      </c>
      <c r="N63" s="17">
        <f t="shared" si="2"/>
        <v>153.18681318681314</v>
      </c>
      <c r="O63" s="19">
        <f t="shared" si="3"/>
        <v>0</v>
      </c>
      <c r="P63" s="20">
        <f t="shared" si="4"/>
        <v>-0.65934065934069963</v>
      </c>
      <c r="Q63" s="21">
        <f t="shared" si="5"/>
        <v>0.99571428571428544</v>
      </c>
      <c r="R63" s="172"/>
      <c r="S63" s="28">
        <v>0.29027777777777775</v>
      </c>
      <c r="T63" s="28">
        <v>0.30486111111111108</v>
      </c>
      <c r="U63" s="4">
        <f t="shared" si="34"/>
        <v>6.9999999999999751</v>
      </c>
      <c r="V63" s="22">
        <f t="shared" si="32"/>
        <v>21.000000000000007</v>
      </c>
      <c r="W63" s="4"/>
      <c r="X63" s="4"/>
      <c r="Y63" s="4"/>
      <c r="Z63" s="4"/>
      <c r="AA63" s="164"/>
      <c r="AB63" s="164"/>
      <c r="AC63" s="25"/>
      <c r="AD63" s="25"/>
      <c r="AE63" s="19">
        <f t="shared" si="33"/>
        <v>-8.5714285714291236</v>
      </c>
      <c r="AF63" s="21">
        <f t="shared" si="8"/>
        <v>0.99571428571428544</v>
      </c>
      <c r="AG63" s="172"/>
    </row>
    <row r="64" spans="1:33" ht="15.75" customHeight="1">
      <c r="A64" s="178" t="s">
        <v>73</v>
      </c>
      <c r="B64" s="4" t="s">
        <v>111</v>
      </c>
      <c r="C64" s="165" t="s">
        <v>130</v>
      </c>
      <c r="D64" s="165"/>
      <c r="E64" s="37">
        <v>37.85</v>
      </c>
      <c r="F64" s="42">
        <v>2223</v>
      </c>
      <c r="G64" s="4">
        <v>84140.55</v>
      </c>
      <c r="H64" s="22" t="s">
        <v>139</v>
      </c>
      <c r="I64" s="16">
        <v>12</v>
      </c>
      <c r="J64" s="18">
        <v>2000</v>
      </c>
      <c r="K64" s="17">
        <f t="shared" si="0"/>
        <v>166.66666666666666</v>
      </c>
      <c r="L64" s="16">
        <v>12</v>
      </c>
      <c r="M64" s="18">
        <f t="shared" si="31"/>
        <v>1905.4285714285718</v>
      </c>
      <c r="N64" s="17">
        <f t="shared" si="2"/>
        <v>158.78571428571431</v>
      </c>
      <c r="O64" s="19">
        <f t="shared" si="3"/>
        <v>0</v>
      </c>
      <c r="P64" s="20">
        <f t="shared" si="4"/>
        <v>-7.8809523809523512</v>
      </c>
      <c r="Q64" s="21">
        <f t="shared" si="5"/>
        <v>0.95271428571428585</v>
      </c>
      <c r="R64" s="172"/>
      <c r="S64" s="28">
        <v>0.30902777777777773</v>
      </c>
      <c r="T64" s="28">
        <v>0.35763888888888884</v>
      </c>
      <c r="U64" s="4">
        <f t="shared" si="34"/>
        <v>5.9999999999999787</v>
      </c>
      <c r="V64" s="22">
        <f t="shared" si="32"/>
        <v>69.999999999999986</v>
      </c>
      <c r="W64" s="4"/>
      <c r="X64" s="4"/>
      <c r="Y64" s="4"/>
      <c r="Z64" s="4"/>
      <c r="AA64" s="164"/>
      <c r="AB64" s="164"/>
      <c r="AC64" s="25"/>
      <c r="AD64" s="25"/>
      <c r="AE64" s="19">
        <f t="shared" si="33"/>
        <v>-94.571428571428214</v>
      </c>
      <c r="AF64" s="21">
        <f t="shared" si="8"/>
        <v>0.95271428571428585</v>
      </c>
      <c r="AG64" s="172"/>
    </row>
    <row r="65" spans="1:33">
      <c r="A65" s="179" t="s">
        <v>73</v>
      </c>
      <c r="B65" s="4" t="s">
        <v>111</v>
      </c>
      <c r="C65" s="165" t="s">
        <v>131</v>
      </c>
      <c r="D65" s="165"/>
      <c r="E65" s="37">
        <v>34.36</v>
      </c>
      <c r="F65" s="42">
        <v>1322</v>
      </c>
      <c r="G65" s="4">
        <v>45423.92</v>
      </c>
      <c r="H65" s="22" t="s">
        <v>139</v>
      </c>
      <c r="I65" s="16">
        <v>10</v>
      </c>
      <c r="J65" s="18">
        <v>3000</v>
      </c>
      <c r="K65" s="17">
        <f t="shared" si="0"/>
        <v>300</v>
      </c>
      <c r="L65" s="16">
        <v>10</v>
      </c>
      <c r="M65" s="18">
        <f t="shared" si="31"/>
        <v>2937.7777777777792</v>
      </c>
      <c r="N65" s="17">
        <f t="shared" si="2"/>
        <v>293.77777777777794</v>
      </c>
      <c r="O65" s="19">
        <f t="shared" si="3"/>
        <v>0</v>
      </c>
      <c r="P65" s="20">
        <f t="shared" si="4"/>
        <v>-6.222222222222058</v>
      </c>
      <c r="Q65" s="21">
        <f t="shared" si="5"/>
        <v>0.97925925925925983</v>
      </c>
      <c r="R65" s="172"/>
      <c r="S65" s="28">
        <v>0.36249999999999993</v>
      </c>
      <c r="T65" s="28">
        <v>0.38124999999999992</v>
      </c>
      <c r="U65" s="4">
        <f t="shared" si="34"/>
        <v>6.9999999999999751</v>
      </c>
      <c r="V65" s="22">
        <f t="shared" si="32"/>
        <v>26.999999999999986</v>
      </c>
      <c r="W65" s="23"/>
      <c r="X65" s="23"/>
      <c r="Y65" s="23"/>
      <c r="Z65" s="23"/>
      <c r="AA65" s="164"/>
      <c r="AB65" s="164"/>
      <c r="AC65" s="25"/>
      <c r="AD65" s="25"/>
      <c r="AE65" s="19">
        <f t="shared" si="33"/>
        <v>-62.222222222220807</v>
      </c>
      <c r="AF65" s="21">
        <f t="shared" si="8"/>
        <v>0.97925925925925972</v>
      </c>
      <c r="AG65" s="172"/>
    </row>
    <row r="66" spans="1:33">
      <c r="A66" s="179" t="s">
        <v>73</v>
      </c>
      <c r="B66" s="37" t="s">
        <v>48</v>
      </c>
      <c r="C66" s="177"/>
      <c r="D66" s="177"/>
      <c r="E66" s="38"/>
      <c r="F66" s="17"/>
      <c r="G66" s="17"/>
      <c r="H66" s="4"/>
      <c r="I66" s="30">
        <v>10.6</v>
      </c>
      <c r="J66" s="18">
        <v>2000</v>
      </c>
      <c r="K66" s="17">
        <f t="shared" si="0"/>
        <v>188.67924528301887</v>
      </c>
      <c r="L66" s="30">
        <v>10.6</v>
      </c>
      <c r="M66" s="18">
        <f>AVERAGE(M61:M65)</f>
        <v>1938.6235015399193</v>
      </c>
      <c r="N66" s="17">
        <f t="shared" si="2"/>
        <v>182.88900957923767</v>
      </c>
      <c r="O66" s="19">
        <f t="shared" si="3"/>
        <v>0</v>
      </c>
      <c r="P66" s="20">
        <f t="shared" si="4"/>
        <v>-5.7902357037812067</v>
      </c>
      <c r="Q66" s="21">
        <f t="shared" si="5"/>
        <v>0.96931175076995957</v>
      </c>
      <c r="R66" s="172"/>
      <c r="S66" s="28"/>
      <c r="T66" s="28"/>
      <c r="U66" s="17"/>
      <c r="V66" s="22"/>
      <c r="W66" s="17"/>
      <c r="X66" s="17"/>
      <c r="Y66" s="31">
        <f>SUM(Y61:Y65)</f>
        <v>0</v>
      </c>
      <c r="Z66" s="31">
        <f>SUM(Z61:Z65)</f>
        <v>0</v>
      </c>
      <c r="AA66" s="168"/>
      <c r="AB66" s="168"/>
      <c r="AC66" s="31">
        <v>5</v>
      </c>
      <c r="AD66" s="31">
        <f>SUM(AD61:AD65)</f>
        <v>0</v>
      </c>
      <c r="AE66" s="19">
        <f t="shared" si="33"/>
        <v>-61.376498460080711</v>
      </c>
      <c r="AF66" s="21">
        <f t="shared" si="8"/>
        <v>0.96931175076995968</v>
      </c>
      <c r="AG66" s="172"/>
    </row>
    <row r="67" spans="1:33" ht="15.75" customHeight="1">
      <c r="A67" s="169" t="s">
        <v>75</v>
      </c>
      <c r="B67" s="4" t="s">
        <v>100</v>
      </c>
      <c r="C67" s="165" t="s">
        <v>133</v>
      </c>
      <c r="D67" s="165"/>
      <c r="E67" s="37">
        <v>20.2</v>
      </c>
      <c r="F67" s="4">
        <v>1329</v>
      </c>
      <c r="G67" s="4">
        <v>26845.8</v>
      </c>
      <c r="H67" s="22" t="s">
        <v>139</v>
      </c>
      <c r="I67" s="16">
        <v>19</v>
      </c>
      <c r="J67" s="18">
        <v>2400</v>
      </c>
      <c r="K67" s="17">
        <f t="shared" si="0"/>
        <v>126.31578947368421</v>
      </c>
      <c r="L67" s="16">
        <v>19</v>
      </c>
      <c r="M67" s="18">
        <f t="shared" ref="M67:M71" si="35">F67/V67*60</f>
        <v>2345.2941176470586</v>
      </c>
      <c r="N67" s="17">
        <f t="shared" si="2"/>
        <v>123.43653250773993</v>
      </c>
      <c r="O67" s="19">
        <f t="shared" si="3"/>
        <v>0</v>
      </c>
      <c r="P67" s="20">
        <f t="shared" si="4"/>
        <v>-2.879256965944279</v>
      </c>
      <c r="Q67" s="21">
        <f t="shared" si="5"/>
        <v>0.97720588235294115</v>
      </c>
      <c r="R67" s="172">
        <f>Q72</f>
        <v>0.96855218033159196</v>
      </c>
      <c r="S67" s="28">
        <v>0.125</v>
      </c>
      <c r="T67" s="28">
        <v>0.14861111111111111</v>
      </c>
      <c r="U67" s="28"/>
      <c r="V67" s="22">
        <f t="shared" ref="V67:V71" si="36">(T67-S67)*24*60</f>
        <v>34</v>
      </c>
      <c r="W67" s="23">
        <f>T67</f>
        <v>0.14861111111111111</v>
      </c>
      <c r="X67" s="23">
        <f>S68</f>
        <v>0.16736111111111113</v>
      </c>
      <c r="Y67" s="23"/>
      <c r="Z67" s="23"/>
      <c r="AA67" s="164"/>
      <c r="AB67" s="164"/>
      <c r="AC67" s="25">
        <v>5</v>
      </c>
      <c r="AD67" s="25"/>
      <c r="AE67" s="19">
        <f t="shared" si="33"/>
        <v>-54.705882352941444</v>
      </c>
      <c r="AF67" s="21">
        <f t="shared" si="8"/>
        <v>0.97720588235294104</v>
      </c>
      <c r="AG67" s="172">
        <f>AF72</f>
        <v>0.96855218033159185</v>
      </c>
    </row>
    <row r="68" spans="1:33" ht="15.75" customHeight="1">
      <c r="A68" s="170" t="s">
        <v>75</v>
      </c>
      <c r="B68" s="4" t="s">
        <v>100</v>
      </c>
      <c r="C68" s="165" t="s">
        <v>109</v>
      </c>
      <c r="D68" s="165"/>
      <c r="E68" s="37">
        <v>24.45</v>
      </c>
      <c r="F68" s="4">
        <v>1876</v>
      </c>
      <c r="G68" s="4">
        <v>45868.2</v>
      </c>
      <c r="H68" s="22" t="s">
        <v>139</v>
      </c>
      <c r="I68" s="16">
        <v>20</v>
      </c>
      <c r="J68" s="18">
        <v>2400</v>
      </c>
      <c r="K68" s="17">
        <f t="shared" si="0"/>
        <v>120</v>
      </c>
      <c r="L68" s="16">
        <v>20</v>
      </c>
      <c r="M68" s="18">
        <f t="shared" si="35"/>
        <v>2297.1428571428578</v>
      </c>
      <c r="N68" s="17">
        <f t="shared" si="2"/>
        <v>114.85714285714289</v>
      </c>
      <c r="O68" s="19">
        <f t="shared" si="3"/>
        <v>0</v>
      </c>
      <c r="P68" s="20">
        <f t="shared" si="4"/>
        <v>-5.1428571428571104</v>
      </c>
      <c r="Q68" s="21">
        <f t="shared" si="5"/>
        <v>0.95714285714285741</v>
      </c>
      <c r="R68" s="172"/>
      <c r="S68" s="28">
        <v>0.16736111111111113</v>
      </c>
      <c r="T68" s="28">
        <v>0.2013888888888889</v>
      </c>
      <c r="U68" s="4">
        <f t="shared" ref="U68:U71" si="37">(S68-T67)*24*60</f>
        <v>27.000000000000025</v>
      </c>
      <c r="V68" s="22">
        <f t="shared" si="36"/>
        <v>48.999999999999986</v>
      </c>
      <c r="W68" s="23"/>
      <c r="X68" s="23"/>
      <c r="Y68" s="23"/>
      <c r="Z68" s="23"/>
      <c r="AA68" s="164"/>
      <c r="AB68" s="164"/>
      <c r="AC68" s="25"/>
      <c r="AD68" s="25"/>
      <c r="AE68" s="19">
        <f t="shared" si="33"/>
        <v>-102.85714285714221</v>
      </c>
      <c r="AF68" s="21">
        <f t="shared" si="8"/>
        <v>0.95714285714285741</v>
      </c>
      <c r="AG68" s="172"/>
    </row>
    <row r="69" spans="1:33" ht="15.75" customHeight="1">
      <c r="A69" s="170" t="s">
        <v>75</v>
      </c>
      <c r="B69" s="4" t="s">
        <v>100</v>
      </c>
      <c r="C69" s="165" t="s">
        <v>136</v>
      </c>
      <c r="D69" s="165"/>
      <c r="E69" s="37">
        <v>24.43</v>
      </c>
      <c r="F69" s="4">
        <v>4743</v>
      </c>
      <c r="G69" s="4">
        <v>115871.49</v>
      </c>
      <c r="H69" s="22" t="s">
        <v>139</v>
      </c>
      <c r="I69" s="16">
        <v>14</v>
      </c>
      <c r="J69" s="18">
        <v>2400</v>
      </c>
      <c r="K69" s="17">
        <f t="shared" ref="K69:K72" si="38">J69/I69</f>
        <v>171.42857142857142</v>
      </c>
      <c r="L69" s="16">
        <v>14</v>
      </c>
      <c r="M69" s="18">
        <f t="shared" si="35"/>
        <v>2295.0000000000005</v>
      </c>
      <c r="N69" s="17">
        <f t="shared" ref="N69:N72" si="39">M69/L69</f>
        <v>163.92857142857147</v>
      </c>
      <c r="O69" s="19">
        <f t="shared" ref="O69:O72" si="40">L69-I69</f>
        <v>0</v>
      </c>
      <c r="P69" s="20">
        <f t="shared" ref="P69:P72" si="41">N69-K69</f>
        <v>-7.4999999999999432</v>
      </c>
      <c r="Q69" s="21">
        <f t="shared" ref="Q69:Q72" si="42">N69/K69</f>
        <v>0.95625000000000038</v>
      </c>
      <c r="R69" s="172"/>
      <c r="S69" s="28">
        <v>0.20555555555555557</v>
      </c>
      <c r="T69" s="28">
        <v>0.29166666666666669</v>
      </c>
      <c r="U69" s="4">
        <f t="shared" si="37"/>
        <v>6.0000000000000187</v>
      </c>
      <c r="V69" s="22">
        <f t="shared" si="36"/>
        <v>123.99999999999999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33"/>
        <v>-104.99999999999955</v>
      </c>
      <c r="AF69" s="21">
        <f t="shared" ref="AF69:AF72" si="43">M69/J69</f>
        <v>0.95625000000000016</v>
      </c>
      <c r="AG69" s="172"/>
    </row>
    <row r="70" spans="1:33" ht="15.75" customHeight="1">
      <c r="A70" s="170" t="s">
        <v>75</v>
      </c>
      <c r="B70" s="4" t="s">
        <v>100</v>
      </c>
      <c r="C70" s="165" t="s">
        <v>138</v>
      </c>
      <c r="D70" s="165"/>
      <c r="E70" s="37">
        <v>22.69</v>
      </c>
      <c r="F70" s="4">
        <v>640</v>
      </c>
      <c r="G70" s="4">
        <v>14521.6</v>
      </c>
      <c r="H70" s="22" t="s">
        <v>139</v>
      </c>
      <c r="I70" s="16">
        <v>15</v>
      </c>
      <c r="J70" s="18">
        <v>2400</v>
      </c>
      <c r="K70" s="17">
        <f t="shared" si="38"/>
        <v>160</v>
      </c>
      <c r="L70" s="16">
        <v>15</v>
      </c>
      <c r="M70" s="18">
        <f t="shared" si="35"/>
        <v>2399.9999999999964</v>
      </c>
      <c r="N70" s="17">
        <f t="shared" si="39"/>
        <v>159.99999999999974</v>
      </c>
      <c r="O70" s="19">
        <f t="shared" si="40"/>
        <v>0</v>
      </c>
      <c r="P70" s="20">
        <f t="shared" si="41"/>
        <v>-2.5579538487363607E-13</v>
      </c>
      <c r="Q70" s="21">
        <f t="shared" si="42"/>
        <v>0.99999999999999845</v>
      </c>
      <c r="R70" s="172"/>
      <c r="S70" s="28">
        <v>0.29722222222222222</v>
      </c>
      <c r="T70" s="28">
        <v>0.30833333333333335</v>
      </c>
      <c r="U70" s="4">
        <f t="shared" si="37"/>
        <v>7.9999999999999716</v>
      </c>
      <c r="V70" s="22">
        <f t="shared" si="36"/>
        <v>16.000000000000021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33"/>
        <v>-3.637978807091713E-12</v>
      </c>
      <c r="AF70" s="21">
        <f t="shared" si="43"/>
        <v>0.99999999999999845</v>
      </c>
      <c r="AG70" s="172"/>
    </row>
    <row r="71" spans="1:33" ht="15.75" customHeight="1">
      <c r="A71" s="170" t="s">
        <v>75</v>
      </c>
      <c r="B71" s="4" t="s">
        <v>100</v>
      </c>
      <c r="C71" s="165" t="s">
        <v>135</v>
      </c>
      <c r="D71" s="165"/>
      <c r="E71" s="37">
        <v>19.02</v>
      </c>
      <c r="F71" s="4">
        <v>7046</v>
      </c>
      <c r="G71" s="4">
        <v>134014.91999999998</v>
      </c>
      <c r="H71" s="22" t="s">
        <v>139</v>
      </c>
      <c r="I71" s="16">
        <v>15</v>
      </c>
      <c r="J71" s="18">
        <v>2400</v>
      </c>
      <c r="K71" s="17">
        <f t="shared" si="38"/>
        <v>160</v>
      </c>
      <c r="L71" s="16">
        <v>15</v>
      </c>
      <c r="M71" s="18">
        <f t="shared" si="35"/>
        <v>2285.1891891891896</v>
      </c>
      <c r="N71" s="17">
        <f t="shared" si="39"/>
        <v>152.34594594594597</v>
      </c>
      <c r="O71" s="19">
        <f t="shared" si="40"/>
        <v>0</v>
      </c>
      <c r="P71" s="20">
        <f t="shared" si="41"/>
        <v>-7.6540540540540292</v>
      </c>
      <c r="Q71" s="21">
        <f t="shared" si="42"/>
        <v>0.95216216216216232</v>
      </c>
      <c r="R71" s="172"/>
      <c r="S71" s="28">
        <v>0.3125</v>
      </c>
      <c r="T71" s="28">
        <v>0.44097222222222221</v>
      </c>
      <c r="U71" s="4">
        <f t="shared" si="37"/>
        <v>5.9999999999999787</v>
      </c>
      <c r="V71" s="22">
        <f t="shared" si="36"/>
        <v>184.99999999999997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33"/>
        <v>-114.81081081081038</v>
      </c>
      <c r="AF71" s="21">
        <f t="shared" si="43"/>
        <v>0.95216216216216232</v>
      </c>
      <c r="AG71" s="172"/>
    </row>
    <row r="72" spans="1:33" ht="16.5" customHeight="1">
      <c r="A72" s="171" t="s">
        <v>75</v>
      </c>
      <c r="B72" s="37" t="s">
        <v>48</v>
      </c>
      <c r="C72" s="166"/>
      <c r="D72" s="167"/>
      <c r="E72" s="38"/>
      <c r="F72" s="17"/>
      <c r="G72" s="17"/>
      <c r="H72" s="4"/>
      <c r="I72" s="30">
        <v>16.600000000000001</v>
      </c>
      <c r="J72" s="18">
        <v>2400</v>
      </c>
      <c r="K72" s="17">
        <f t="shared" si="38"/>
        <v>144.57831325301203</v>
      </c>
      <c r="L72" s="30">
        <v>16.600000000000001</v>
      </c>
      <c r="M72" s="18">
        <f>AVERAGE(M67:M71)</f>
        <v>2324.5252327958206</v>
      </c>
      <c r="N72" s="17">
        <f t="shared" si="39"/>
        <v>140.0316405298687</v>
      </c>
      <c r="O72" s="19">
        <f t="shared" si="40"/>
        <v>0</v>
      </c>
      <c r="P72" s="20">
        <f t="shared" si="41"/>
        <v>-4.546672723143331</v>
      </c>
      <c r="Q72" s="21">
        <f t="shared" si="42"/>
        <v>0.96855218033159196</v>
      </c>
      <c r="R72" s="172"/>
      <c r="S72" s="28"/>
      <c r="T72" s="28"/>
      <c r="U72" s="17"/>
      <c r="V72" s="22"/>
      <c r="W72" s="17"/>
      <c r="X72" s="17"/>
      <c r="Y72" s="31">
        <f>SUM(Y67:Y71)</f>
        <v>0</v>
      </c>
      <c r="Z72" s="31">
        <f>SUM(Z67:Z71)</f>
        <v>0</v>
      </c>
      <c r="AA72" s="168"/>
      <c r="AB72" s="168"/>
      <c r="AC72" s="31">
        <v>5</v>
      </c>
      <c r="AD72" s="31">
        <f>SUM(AD67:AD71)</f>
        <v>0</v>
      </c>
      <c r="AE72" s="19">
        <f t="shared" si="33"/>
        <v>-75.474767204179443</v>
      </c>
      <c r="AF72" s="21">
        <f t="shared" si="43"/>
        <v>0.96855218033159185</v>
      </c>
      <c r="AG72" s="172"/>
    </row>
    <row r="73" spans="1:33">
      <c r="D73" s="33"/>
      <c r="E73" s="33"/>
    </row>
  </sheetData>
  <mergeCells count="197">
    <mergeCell ref="A67:A72"/>
    <mergeCell ref="C67:D67"/>
    <mergeCell ref="R67:R72"/>
    <mergeCell ref="AA67:AB67"/>
    <mergeCell ref="AG67:AG72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1:A66"/>
    <mergeCell ref="C61:D61"/>
    <mergeCell ref="R61:R66"/>
    <mergeCell ref="AA61:AB61"/>
    <mergeCell ref="AA66:AB66"/>
    <mergeCell ref="AG51:AG60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51:A60"/>
    <mergeCell ref="C51:D51"/>
    <mergeCell ref="R51:R60"/>
    <mergeCell ref="AA51:AB51"/>
    <mergeCell ref="AA57:AB57"/>
    <mergeCell ref="C58:D58"/>
    <mergeCell ref="AA58:AB58"/>
    <mergeCell ref="C59:D59"/>
    <mergeCell ref="AG61:AG66"/>
    <mergeCell ref="A40:A50"/>
    <mergeCell ref="C40:D40"/>
    <mergeCell ref="AA59:AB59"/>
    <mergeCell ref="C60:D60"/>
    <mergeCell ref="AA60:AB60"/>
    <mergeCell ref="AA44:AB44"/>
    <mergeCell ref="C45:D45"/>
    <mergeCell ref="AA45:AB45"/>
    <mergeCell ref="C46:D46"/>
    <mergeCell ref="AA46:AB46"/>
    <mergeCell ref="R40:R50"/>
    <mergeCell ref="AA40:AB40"/>
    <mergeCell ref="C50:D50"/>
    <mergeCell ref="AA50:AB50"/>
    <mergeCell ref="AG40:AG50"/>
    <mergeCell ref="C41:D41"/>
    <mergeCell ref="AA41:AB41"/>
    <mergeCell ref="C42:D42"/>
    <mergeCell ref="AA42:AB42"/>
    <mergeCell ref="C43:D43"/>
    <mergeCell ref="AG34:AG39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C47:D47"/>
    <mergeCell ref="AA47:AB47"/>
    <mergeCell ref="C48:D48"/>
    <mergeCell ref="AA48:AB48"/>
    <mergeCell ref="C49:D49"/>
    <mergeCell ref="AA49:AB49"/>
    <mergeCell ref="AA43:AB43"/>
    <mergeCell ref="C44:D44"/>
    <mergeCell ref="A34:A39"/>
    <mergeCell ref="C34:D34"/>
    <mergeCell ref="R34:R39"/>
    <mergeCell ref="AA34:AB34"/>
    <mergeCell ref="AA39:AB39"/>
    <mergeCell ref="A28:A33"/>
    <mergeCell ref="C28:D28"/>
    <mergeCell ref="R28:R33"/>
    <mergeCell ref="AA28:AB28"/>
    <mergeCell ref="AG28:AG33"/>
    <mergeCell ref="C29:D29"/>
    <mergeCell ref="AA29:AB29"/>
    <mergeCell ref="C30:D30"/>
    <mergeCell ref="AA30:AB30"/>
    <mergeCell ref="C31:D31"/>
    <mergeCell ref="AA24:AB24"/>
    <mergeCell ref="C25:D25"/>
    <mergeCell ref="AA25:AB25"/>
    <mergeCell ref="C26:D26"/>
    <mergeCell ref="AA26:AB26"/>
    <mergeCell ref="C27:D27"/>
    <mergeCell ref="AA27:AB27"/>
    <mergeCell ref="AA31:AB31"/>
    <mergeCell ref="C32:D32"/>
    <mergeCell ref="AA32:AB32"/>
    <mergeCell ref="C33:D33"/>
    <mergeCell ref="AA33:AB33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G11:AG13"/>
    <mergeCell ref="C12:D12"/>
    <mergeCell ref="AA12:AB12"/>
    <mergeCell ref="C13:D13"/>
    <mergeCell ref="AA13:AB13"/>
    <mergeCell ref="A14:A20"/>
    <mergeCell ref="C14:D14"/>
    <mergeCell ref="R14:R20"/>
    <mergeCell ref="AA14:AB14"/>
    <mergeCell ref="AG14:AG20"/>
    <mergeCell ref="C18:D18"/>
    <mergeCell ref="AA18:AB18"/>
    <mergeCell ref="C19:D19"/>
    <mergeCell ref="AA19:AB19"/>
    <mergeCell ref="C20:D20"/>
    <mergeCell ref="AA20:AB20"/>
    <mergeCell ref="C15:D15"/>
    <mergeCell ref="AA15:AB15"/>
    <mergeCell ref="C16:D16"/>
    <mergeCell ref="AA16:AB16"/>
    <mergeCell ref="C17:D17"/>
    <mergeCell ref="AA17:AB17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2">
    <cfRule type="cellIs" dxfId="148" priority="1" operator="greaterThan">
      <formula>0</formula>
    </cfRule>
  </conditionalFormatting>
  <conditionalFormatting sqref="P5:P72">
    <cfRule type="cellIs" dxfId="147" priority="4" operator="lessThan">
      <formula>0</formula>
    </cfRule>
  </conditionalFormatting>
  <conditionalFormatting sqref="Q5:Q72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R5:R11 AG5:AG11">
    <cfRule type="cellIs" dxfId="144" priority="81" operator="lessThan">
      <formula>0.8</formula>
    </cfRule>
  </conditionalFormatting>
  <conditionalFormatting sqref="AE5:AE72">
    <cfRule type="cellIs" dxfId="143" priority="17" operator="lessThan">
      <formula>0</formula>
    </cfRule>
  </conditionalFormatting>
  <conditionalFormatting sqref="AF5:AF72">
    <cfRule type="cellIs" dxfId="142" priority="15" operator="greaterThan">
      <formula>1</formula>
    </cfRule>
    <cfRule type="cellIs" dxfId="141" priority="16" operator="lessThan">
      <formula>0.8</formula>
    </cfRule>
  </conditionalFormatting>
  <conditionalFormatting sqref="AG14:AG64 R14:R72">
    <cfRule type="cellIs" dxfId="140" priority="5" operator="lessThan">
      <formula>0.8</formula>
    </cfRule>
  </conditionalFormatting>
  <dataValidations count="1">
    <dataValidation type="list" allowBlank="1" showInputMessage="1" showErrorMessage="1" sqref="AB10 AA5:AB9 AB65 AA10:AA65 AB12:AB61 AA66:AB72" xr:uid="{00000000-0002-0000-1B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Q32"/>
  <sheetViews>
    <sheetView zoomScale="85" zoomScaleNormal="85" workbookViewId="0">
      <selection activeCell="J9" sqref="J9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1246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1247</v>
      </c>
      <c r="C3" s="153" t="str">
        <f>TEXT('0214 4度C'!A2,"yyyy.mm.ddaaaa")</f>
        <v>2026.02.14星期六</v>
      </c>
      <c r="D3" s="154"/>
      <c r="E3" s="47" t="s">
        <v>142</v>
      </c>
      <c r="F3" s="155">
        <f>'0214 4度C'!D1</f>
        <v>119834</v>
      </c>
      <c r="G3" s="156"/>
      <c r="H3" s="47" t="s">
        <v>1248</v>
      </c>
      <c r="I3" s="157">
        <f>'0214 4度C'!F1</f>
        <v>4267808.4000000013</v>
      </c>
      <c r="J3" s="158"/>
      <c r="K3" s="48"/>
      <c r="L3" s="49"/>
      <c r="M3" s="49"/>
      <c r="N3" s="49"/>
    </row>
    <row r="4" spans="2:17" ht="28.5" customHeight="1">
      <c r="B4" s="159" t="s">
        <v>1249</v>
      </c>
      <c r="C4" s="145" t="s">
        <v>1250</v>
      </c>
      <c r="D4" s="146"/>
      <c r="E4" s="162" t="s">
        <v>1251</v>
      </c>
      <c r="F4" s="163"/>
      <c r="G4" s="162" t="s">
        <v>1252</v>
      </c>
      <c r="H4" s="163"/>
      <c r="I4" s="162" t="s">
        <v>148</v>
      </c>
      <c r="J4" s="163"/>
      <c r="K4" s="143" t="s">
        <v>1253</v>
      </c>
      <c r="L4" s="144"/>
      <c r="M4" s="144" t="s">
        <v>1254</v>
      </c>
      <c r="N4" s="144"/>
    </row>
    <row r="5" spans="2:17" ht="28.5" customHeight="1">
      <c r="B5" s="160"/>
      <c r="C5" s="145" t="s">
        <v>1255</v>
      </c>
      <c r="D5" s="146"/>
      <c r="E5" s="145" t="s">
        <v>152</v>
      </c>
      <c r="F5" s="146"/>
      <c r="G5" s="147" t="s">
        <v>1256</v>
      </c>
      <c r="H5" s="148"/>
      <c r="I5" s="149" t="s">
        <v>1257</v>
      </c>
      <c r="J5" s="150"/>
      <c r="K5" s="50" t="s">
        <v>1258</v>
      </c>
      <c r="L5" s="51" t="s">
        <v>1259</v>
      </c>
      <c r="M5" s="50" t="s">
        <v>1260</v>
      </c>
      <c r="N5" s="51" t="s">
        <v>1261</v>
      </c>
    </row>
    <row r="6" spans="2:17" ht="28.5" customHeight="1">
      <c r="B6" s="160"/>
      <c r="C6" s="145" t="s">
        <v>158</v>
      </c>
      <c r="D6" s="146"/>
      <c r="E6" s="137">
        <f>AVERAGE(D13:M13)</f>
        <v>143.44218069090169</v>
      </c>
      <c r="F6" s="138">
        <f>AVERAGE(D31:O31,D13:J13)</f>
        <v>146.37743263636281</v>
      </c>
      <c r="G6" s="139">
        <f>AVERAGE(D13:J13)</f>
        <v>146.37743263636281</v>
      </c>
      <c r="H6" s="140"/>
      <c r="I6" s="139">
        <f>AVERAGE(K13:M13)</f>
        <v>136.59325948482575</v>
      </c>
      <c r="J6" s="140"/>
      <c r="K6" s="141">
        <f>'0214 4度C'!Y2</f>
        <v>0</v>
      </c>
      <c r="L6" s="126">
        <f>'0214 4度C'!Z2</f>
        <v>0</v>
      </c>
      <c r="M6" s="142">
        <f>'0214 4度C'!AC2</f>
        <v>58</v>
      </c>
      <c r="N6" s="126">
        <f>'0214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137.60721389155933</v>
      </c>
      <c r="F7" s="130">
        <f>AVERAGE(D32:O32,D14:J14)</f>
        <v>140.47940573536167</v>
      </c>
      <c r="G7" s="131">
        <f>AVERAGE(D14:J14)</f>
        <v>140.47940573536167</v>
      </c>
      <c r="H7" s="132"/>
      <c r="I7" s="131">
        <f>AVERAGE(K14:M14)</f>
        <v>130.9054329226872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0.95804966592902951</v>
      </c>
      <c r="F8" s="134">
        <f>AVERAGE(D15:J15,D33:O33)</f>
        <v>0.95795693358292999</v>
      </c>
      <c r="G8" s="135">
        <f>AVERAGE(D15:J15)</f>
        <v>0.95795693358292999</v>
      </c>
      <c r="H8" s="136"/>
      <c r="I8" s="135">
        <f>AVERAGE(K15:M15)</f>
        <v>0.95826604140326177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1262</v>
      </c>
      <c r="N9" s="49"/>
      <c r="O9" s="49"/>
      <c r="P9" s="49"/>
      <c r="Q9" s="49"/>
    </row>
    <row r="10" spans="2:17" ht="30" customHeight="1">
      <c r="B10" s="109" t="s">
        <v>1263</v>
      </c>
      <c r="C10" s="110"/>
      <c r="D10" s="111" t="s">
        <v>1264</v>
      </c>
      <c r="E10" s="112"/>
      <c r="F10" s="112"/>
      <c r="G10" s="112"/>
      <c r="H10" s="112"/>
      <c r="I10" s="112"/>
      <c r="J10" s="113"/>
      <c r="K10" s="114" t="s">
        <v>1265</v>
      </c>
      <c r="L10" s="115"/>
      <c r="M10" s="116"/>
      <c r="P10" s="55"/>
      <c r="Q10" s="55"/>
    </row>
    <row r="11" spans="2:17" ht="17.25" customHeight="1">
      <c r="B11" s="117" t="s">
        <v>1266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1267</v>
      </c>
      <c r="C13" s="62" t="s">
        <v>1268</v>
      </c>
      <c r="D13" s="63">
        <f>SUMIFS('0214 4度C'!$K:$K,'0214 4度C'!$A:$A,"新豐6線",'0214 4度C'!$B:$B,"平均")</f>
        <v>113.63636363636363</v>
      </c>
      <c r="E13" s="64">
        <f>SUMIFS('0214 4度C'!$K:$K,'0214 4度C'!$A:$A,"新豐2線",'0214 4度C'!$B:$B,"平均")</f>
        <v>83.333333333333329</v>
      </c>
      <c r="F13" s="65">
        <f>SUMIFS('0214 4度C'!$K:$K,'0214 4度C'!$A:$A,"新豐5線",'0214 4度C'!$B:$B,"平均")</f>
        <v>106.79611650485435</v>
      </c>
      <c r="G13" s="65">
        <f>SUMIFS('0214 4度C'!$K:$K,'0214 4度C'!$A:$A,"新豐7線",'0214 4度C'!$B:$B,"平均")</f>
        <v>125</v>
      </c>
      <c r="H13" s="65">
        <f>SUMIFS('0214 4度C'!$K:$K,'0214 4度C'!$A:$A,"新豐3線",'0214 4度C'!$B:$B,"平均")</f>
        <v>303.030303030303</v>
      </c>
      <c r="I13" s="65">
        <f>SUMIFS('0214 4度C'!$K:$K,'0214 4度C'!$A:$A,"新豐1線",'0214 4度C'!$B:$B,"平均")</f>
        <v>104.16666666666666</v>
      </c>
      <c r="J13" s="66">
        <f>SUMIFS('0214 4度C'!$K:$K,'0214 4度C'!$A:$A,"新豐10線",'0214 4度C'!$B:$B,"平均")</f>
        <v>188.67924528301887</v>
      </c>
      <c r="K13" s="67">
        <f>SUMIFS('0214 4度C'!$K:$K,'0214 4度C'!$A:$A,"新豐8線",'0214 4度C'!$B:$B,"平均")</f>
        <v>131.86813186813188</v>
      </c>
      <c r="L13" s="68">
        <f>SUMIFS('0214 4度C'!$K:$K,'0214 4度C'!$A:$A,"新豐9線",'0214 4度C'!$B:$B,"平均")</f>
        <v>133.33333333333334</v>
      </c>
      <c r="M13" s="66">
        <f>SUMIFS('0214 4度C'!$K:$K,'0214 4度C'!$A:$A,"新豐4線",'0214 4度C'!$B:$B,"平均")</f>
        <v>144.57831325301203</v>
      </c>
    </row>
    <row r="14" spans="2:17" ht="39.6" customHeight="1">
      <c r="B14" s="122"/>
      <c r="C14" s="69" t="s">
        <v>178</v>
      </c>
      <c r="D14" s="70">
        <f>SUMIFS('0214 4度C'!$N:$N,'0214 4度C'!$A:$A,"新豐6線",'0214 4度C'!$B:$B,"平均")</f>
        <v>109.82861253256002</v>
      </c>
      <c r="E14" s="71">
        <f>SUMIFS('0214 4度C'!$N:$N,'0214 4度C'!$A:$A,"新豐2線",'0214 4度C'!$B:$B,"平均")</f>
        <v>79.650261870752701</v>
      </c>
      <c r="F14" s="71">
        <f>SUMIFS('0214 4度C'!$N:$N,'0214 4度C'!$A:$A,"新豐5線",'0214 4度C'!$B:$B,"平均")</f>
        <v>102.45466222976215</v>
      </c>
      <c r="G14" s="71">
        <f>SUMIFS('0214 4度C'!$N:$N,'0214 4度C'!$A:$A,"新豐7線",'0214 4度C'!$B:$B,"平均")</f>
        <v>120.20242118057483</v>
      </c>
      <c r="H14" s="71">
        <f>SUMIFS('0214 4度C'!$N:$N,'0214 4度C'!$A:$A,"新豐3線",'0214 4度C'!$B:$B,"平均")</f>
        <v>291.95542534609734</v>
      </c>
      <c r="I14" s="71">
        <f>SUMIFS('0214 4度C'!$N:$N,'0214 4度C'!$A:$A,"新豐1線",'0214 4度C'!$B:$B,"平均")</f>
        <v>97.414303800997118</v>
      </c>
      <c r="J14" s="72">
        <f>SUMIFS('0214 4度C'!$N:$N,'0214 4度C'!$A:$A,"新豐10線",'0214 4度C'!$B:$B,"平均")</f>
        <v>181.85015318678751</v>
      </c>
      <c r="K14" s="73">
        <f>SUMIFS('0214 4度C'!$N:$N,'0214 4度C'!$A:$A,"新豐8線",'0214 4度C'!$B:$B,"平均")</f>
        <v>126.31648946028351</v>
      </c>
      <c r="L14" s="74">
        <f>SUMIFS('0214 4度C'!$N:$N,'0214 4度C'!$A:$A,"新豐9線",'0214 4度C'!$B:$B,"平均")</f>
        <v>127.37039672657774</v>
      </c>
      <c r="M14" s="72">
        <f>SUMIFS('0214 4度C'!$N:$N,'0214 4度C'!$A:$A,"新豐4線",'0214 4度C'!$B:$B,"平均")</f>
        <v>139.02941258120035</v>
      </c>
    </row>
    <row r="15" spans="2:17" ht="40.15" customHeight="1">
      <c r="B15" s="123"/>
      <c r="C15" s="75" t="s">
        <v>1269</v>
      </c>
      <c r="D15" s="76">
        <f t="shared" ref="D15:M15" si="0">D14/D13</f>
        <v>0.96649179028652821</v>
      </c>
      <c r="E15" s="77">
        <f t="shared" si="0"/>
        <v>0.95580314244903242</v>
      </c>
      <c r="F15" s="77">
        <f t="shared" si="0"/>
        <v>0.95934820087868211</v>
      </c>
      <c r="G15" s="77">
        <f t="shared" si="0"/>
        <v>0.96161936944459869</v>
      </c>
      <c r="H15" s="77">
        <f t="shared" si="0"/>
        <v>0.96345290364212133</v>
      </c>
      <c r="I15" s="77">
        <f t="shared" si="0"/>
        <v>0.93517731648957236</v>
      </c>
      <c r="J15" s="78">
        <f t="shared" si="0"/>
        <v>0.96380581188997383</v>
      </c>
      <c r="K15" s="76">
        <f t="shared" si="0"/>
        <v>0.95790004507381643</v>
      </c>
      <c r="L15" s="77">
        <f t="shared" si="0"/>
        <v>0.95527797544933302</v>
      </c>
      <c r="M15" s="78">
        <f t="shared" si="0"/>
        <v>0.96162010368663586</v>
      </c>
    </row>
    <row r="16" spans="2:17" ht="17.25" customHeight="1">
      <c r="B16" s="124" t="s">
        <v>1270</v>
      </c>
      <c r="C16" s="79" t="s">
        <v>1271</v>
      </c>
      <c r="D16" s="80">
        <f>VLOOKUP("新豐6線",'0214 4度C'!$A:$T,19,0)</f>
        <v>0.70833333333333337</v>
      </c>
      <c r="E16" s="81">
        <f>VLOOKUP("新豐2線",'0214 4度C'!$A:$T,19,0)</f>
        <v>0.20833333333333334</v>
      </c>
      <c r="F16" s="81">
        <f>VLOOKUP("新豐5線",'0214 4度C'!$A:$T,19,0)</f>
        <v>0.20833333333333334</v>
      </c>
      <c r="G16" s="81">
        <f>VLOOKUP("新豐7線",'0214 4度C'!$A:$T,19,0)</f>
        <v>0.20833333333333334</v>
      </c>
      <c r="H16" s="81">
        <f>VLOOKUP("新豐3線",'0214 4度C'!$A:$T,19,0)</f>
        <v>0.20833333333333334</v>
      </c>
      <c r="I16" s="81">
        <f>VLOOKUP("新豐1線",'0214 4度C'!$A:$T,19,0)</f>
        <v>0.20833333333333334</v>
      </c>
      <c r="J16" s="82">
        <f>VLOOKUP("新豐10線",'0214 4度C'!$A:$T,19,0)</f>
        <v>0.20833333333333334</v>
      </c>
      <c r="K16" s="83">
        <f>VLOOKUP("新豐8線",'0214 4度C'!$A:$T,19,0)</f>
        <v>0.125</v>
      </c>
      <c r="L16" s="84">
        <f>VLOOKUP("新豐9線",'0214 4度C'!$A:$T,19,0)</f>
        <v>0.125</v>
      </c>
      <c r="M16" s="85">
        <f>VLOOKUP("新豐4線",'0214 4度C'!$A:$T,19,0)</f>
        <v>0.125</v>
      </c>
    </row>
    <row r="17" spans="2:13" ht="17.25" customHeight="1">
      <c r="B17" s="125"/>
      <c r="C17" s="79" t="s">
        <v>1272</v>
      </c>
      <c r="D17" s="83">
        <f>LOOKUP(2,1/(('0214 4度C'!$A:$A="新豐6線")*('0214 4度C'!$T:$T&lt;&gt;"")),'0214 4度C'!$T:$T)</f>
        <v>0.83263888888888882</v>
      </c>
      <c r="E17" s="81">
        <f>LOOKUP(2,1/(('0214 4度C'!$A:$A="新豐2線")*('0214 4度C'!$T:$T&lt;&gt;"")),'0214 4度C'!$T:$T)</f>
        <v>0.3888888888888889</v>
      </c>
      <c r="F17" s="81">
        <f>LOOKUP(2,1/(('0214 4度C'!$A:$A="新豐5線")*('0214 4度C'!$T:$T&lt;&gt;"")),'0214 4度C'!$T:$T)</f>
        <v>0.85555555555555562</v>
      </c>
      <c r="G17" s="81">
        <f>LOOKUP(2,1/(('0214 4度C'!$A:$A="新豐7線")*('0214 4度C'!$T:$T&lt;&gt;"")),'0214 4度C'!$T:$T)</f>
        <v>0.85833333333333339</v>
      </c>
      <c r="H17" s="81">
        <f>LOOKUP(2,1/(('0214 4度C'!$A:$A="新豐3線")*('0214 4度C'!$T:$T&lt;&gt;"")),'0214 4度C'!$T:$T)</f>
        <v>0.6513888888888888</v>
      </c>
      <c r="I17" s="81">
        <f>LOOKUP(2,1/(('0214 4度C'!$A:$A="新豐1線")*('0214 4度C'!$T:$T&lt;&gt;"")),'0214 4度C'!$T:$T)</f>
        <v>0.84513888888888888</v>
      </c>
      <c r="J17" s="82">
        <f>LOOKUP(2,1/(('0214 4度C'!$A:$A="新豐10線")*('0214 4度C'!$T:$T&lt;&gt;"")),'0214 4度C'!$T:$T)</f>
        <v>0.4013888888888888</v>
      </c>
      <c r="K17" s="80">
        <f>LOOKUP(2,1/(('0214 4度C'!$A:$A="新豐8線")*('0214 4度C'!$T:$T&lt;&gt;"")),'0214 4度C'!$T:$T)</f>
        <v>0.45277777777777772</v>
      </c>
      <c r="L17" s="81">
        <f>LOOKUP(2,1/(('0214 4度C'!$A:$A="新豐9線")*('0214 4度C'!$T:$T&lt;&gt;"")),'0214 4度C'!$T:$T)</f>
        <v>0.41111111111111104</v>
      </c>
      <c r="M17" s="82">
        <f>LOOKUP(2,1/(('0214 4度C'!$A:$A="新豐4線")*('0214 4度C'!$T:$T&lt;&gt;"")),'0214 4度C'!$T:$T)</f>
        <v>0.41180555555555554</v>
      </c>
    </row>
    <row r="18" spans="2:13" ht="17.25" customHeight="1">
      <c r="B18" s="103" t="s">
        <v>1273</v>
      </c>
      <c r="C18" s="86" t="s">
        <v>42</v>
      </c>
      <c r="D18" s="87">
        <f>SUMIFS('0214 4度C'!$Y:$Y,'0214 4度C'!$A:$A,"新豐6線",'0214 4度C'!$B:$B,"平均")</f>
        <v>0</v>
      </c>
      <c r="E18" s="88">
        <f>SUMIFS('0214 4度C'!$Y:$Y,'0214 4度C'!$A:$A,"新豐2線",'0214 4度C'!$B:$B,"平均")</f>
        <v>0</v>
      </c>
      <c r="F18" s="88">
        <f>SUMIFS('0214 4度C'!$Y:$Y,'0214 4度C'!$A:$A,"新豐5線",'0214 4度C'!$B:$B,"平均")</f>
        <v>0</v>
      </c>
      <c r="G18" s="88">
        <f>SUMIFS('0214 4度C'!$Y:$Y,'0214 4度C'!$A:$A,"新豐7線",'0214 4度C'!$B:$B,"平均")</f>
        <v>0</v>
      </c>
      <c r="H18" s="88">
        <f>SUMIFS('0214 4度C'!$Y:$Y,'0214 4度C'!$A:$A,"新豐3線",'0214 4度C'!$B:$B,"平均")</f>
        <v>0</v>
      </c>
      <c r="I18" s="88">
        <f>SUMIFS('0214 4度C'!$Y:$Y,'0214 4度C'!$A:$A,"新豐1線",'0214 4度C'!$B:$B,"平均")</f>
        <v>0</v>
      </c>
      <c r="J18" s="89">
        <f>SUMIFS('0214 4度C'!$Y:$Y,'0214 4度C'!$A:$A,"新豐10線",'0214 4度C'!$B:$B,"平均")</f>
        <v>0</v>
      </c>
      <c r="K18" s="90">
        <f>SUMIFS('0214 4度C'!$Y:$Y,'0214 4度C'!$A:$A,"新豐8線",'0214 4度C'!$B:$B,"平均")</f>
        <v>0</v>
      </c>
      <c r="L18" s="88">
        <f>SUMIFS('0214 4度C'!$Y:$Y,'0214 4度C'!$A:$A,"新豐9線",'0214 4度C'!$B:$B,"平均")</f>
        <v>0</v>
      </c>
      <c r="M18" s="89">
        <f>SUMIFS('0214 4度C'!$Y:$Y,'0214 4度C'!$A:$A,"新豐4線",'0214 4度C'!$B:$B,"平均")</f>
        <v>0</v>
      </c>
    </row>
    <row r="19" spans="2:13" ht="17.25" customHeight="1">
      <c r="B19" s="104"/>
      <c r="C19" s="86" t="s">
        <v>1274</v>
      </c>
      <c r="D19" s="87">
        <f>SUMIFS('0214 4度C'!$Z:$Z,'0214 4度C'!$A:$A,"新豐6線",'0214 4度C'!$B:$B,"平均")</f>
        <v>0</v>
      </c>
      <c r="E19" s="88">
        <f>SUMIFS('0214 4度C'!$Z:$Z,'0214 4度C'!$A:$A,"新豐2線",'0214 4度C'!$B:$B,"平均")</f>
        <v>0</v>
      </c>
      <c r="F19" s="88">
        <f>SUMIFS('0214 4度C'!$Z:$Z,'0214 4度C'!$A:$A,"新豐5線",'0214 4度C'!$B:$B,"平均")</f>
        <v>0</v>
      </c>
      <c r="G19" s="88">
        <f>SUMIFS('0214 4度C'!$Z:$Z,'0214 4度C'!$A:$A,"新豐7線",'0214 4度C'!$B:$B,"平均")</f>
        <v>0</v>
      </c>
      <c r="H19" s="88">
        <f>SUMIFS('0214 4度C'!$Z:$Z,'0214 4度C'!$A:$A,"新豐3線",'0214 4度C'!$B:$B,"平均")</f>
        <v>0</v>
      </c>
      <c r="I19" s="88">
        <f>SUMIFS('0214 4度C'!$Z:$Z,'0214 4度C'!$A:$A,"新豐1線",'0214 4度C'!$B:$B,"平均")</f>
        <v>0</v>
      </c>
      <c r="J19" s="89">
        <f>SUMIFS('0214 4度C'!$Z:$Z,'0214 4度C'!$A:$A,"新豐10線",'0214 4度C'!$B:$B,"平均")</f>
        <v>0</v>
      </c>
      <c r="K19" s="90">
        <f>SUMIFS('0214 4度C'!$Z:$Z,'0214 4度C'!$A:$A,"新豐8線",'0214 4度C'!$B:$B,"平均")</f>
        <v>0</v>
      </c>
      <c r="L19" s="88">
        <f>SUMIFS('0214 4度C'!$Z:$Z,'0214 4度C'!$A:$A,"新豐9線",'0214 4度C'!$B:$B,"平均")</f>
        <v>0</v>
      </c>
      <c r="M19" s="89">
        <f>SUMIFS('0214 4度C'!$Z:$Z,'0214 4度C'!$A:$A,"新豐4線",'0214 4度C'!$B:$B,"平均")</f>
        <v>0</v>
      </c>
    </row>
    <row r="20" spans="2:13" ht="17.25" customHeight="1">
      <c r="B20" s="103" t="s">
        <v>1275</v>
      </c>
      <c r="C20" s="86" t="s">
        <v>1276</v>
      </c>
      <c r="D20" s="87">
        <f>SUMIFS('0214 4度C'!$AC:$AC,'0214 4度C'!$A:$A,"新豐6線",'0214 4度C'!$B:$B,"平均")</f>
        <v>5</v>
      </c>
      <c r="E20" s="88">
        <f>SUMIFS('0214 4度C'!$AC:$AC,'0214 4度C'!$A:$A,"新豐2線",'0214 4度C'!$B:$B,"平均")</f>
        <v>2</v>
      </c>
      <c r="F20" s="88">
        <f>SUMIFS('0214 4度C'!$AC:$AC,'0214 4度C'!$A:$A,"新豐5線",'0214 4度C'!$B:$B,"平均")</f>
        <v>6</v>
      </c>
      <c r="G20" s="88">
        <f>SUMIFS('0214 4度C'!$AC:$AC,'0214 4度C'!$A:$A,"新豐7線",'0214 4度C'!$B:$B,"平均")</f>
        <v>6</v>
      </c>
      <c r="H20" s="88">
        <f>SUMIFS('0214 4度C'!$AC:$AC,'0214 4度C'!$A:$A,"新豐3線",'0214 4度C'!$B:$B,"平均")</f>
        <v>10</v>
      </c>
      <c r="I20" s="88">
        <f>SUMIFS('0214 4度C'!$AC:$AC,'0214 4度C'!$A:$A,"新豐1線",'0214 4度C'!$B:$B,"平均")</f>
        <v>9</v>
      </c>
      <c r="J20" s="89">
        <f>SUMIFS('0214 4度C'!$AC:$AC,'0214 4度C'!$A:$A,"新豐10線",'0214 4度C'!$B:$B,"平均")</f>
        <v>5</v>
      </c>
      <c r="K20" s="90">
        <f>SUMIFS('0214 4度C'!$AC:$AC,'0214 4度C'!$A:$A,"新豐8線",'0214 4度C'!$B:$B,"平均")</f>
        <v>5</v>
      </c>
      <c r="L20" s="88">
        <f>SUMIFS('0214 4度C'!$AC:$AC,'0214 4度C'!$A:$A,"新豐9線",'0214 4度C'!$B:$B,"平均")</f>
        <v>5</v>
      </c>
      <c r="M20" s="89">
        <f>SUMIFS('0214 4度C'!$AC:$AC,'0214 4度C'!$A:$A,"新豐4線",'0214 4度C'!$B:$B,"平均")</f>
        <v>5</v>
      </c>
    </row>
    <row r="21" spans="2:13" ht="17.25" customHeight="1">
      <c r="B21" s="104"/>
      <c r="C21" s="86" t="s">
        <v>1277</v>
      </c>
      <c r="D21" s="87">
        <f>SUMIFS('0214 4度C'!$AD:$AD,'0214 4度C'!$A:$A,"新豐6線",'0214 4度C'!$B:$B,"平均")</f>
        <v>0</v>
      </c>
      <c r="E21" s="88">
        <f>SUMIFS('0214 4度C'!$AD:$AD,'0214 4度C'!$A:$A,"新豐2線",'0214 4度C'!$B:$B,"平均")</f>
        <v>0</v>
      </c>
      <c r="F21" s="88">
        <f>SUMIFS('0214 4度C'!$AD:$AD,'0214 4度C'!$A:$A,"新豐5線",'0214 4度C'!$B:$B,"平均")</f>
        <v>0</v>
      </c>
      <c r="G21" s="88">
        <f>SUMIFS('0214 4度C'!$AD:$AD,'0214 4度C'!$A:$A,"新豐7線",'0214 4度C'!$B:$B,"平均")</f>
        <v>0</v>
      </c>
      <c r="H21" s="88">
        <f>SUMIFS('0214 4度C'!$AD:$AD,'0214 4度C'!$A:$A,"新豐3線",'0214 4度C'!$B:$B,"平均")</f>
        <v>0</v>
      </c>
      <c r="I21" s="88">
        <f>SUMIFS('0214 4度C'!$AD:$AD,'0214 4度C'!$A:$A,"新豐1線",'0214 4度C'!$B:$B,"平均")</f>
        <v>0</v>
      </c>
      <c r="J21" s="89">
        <f>SUMIFS('0214 4度C'!$AD:$AD,'0214 4度C'!$A:$A,"新豐10線",'0214 4度C'!$B:$B,"平均")</f>
        <v>0</v>
      </c>
      <c r="K21" s="90">
        <f>SUMIFS('0214 4度C'!$AD:$AD,'0214 4度C'!$A:$A,"新豐8線",'0214 4度C'!$B:$B,"平均")</f>
        <v>0</v>
      </c>
      <c r="L21" s="88">
        <f>SUMIFS('0214 4度C'!$AD:$AD,'0214 4度C'!$A:$A,"新豐9線",'0214 4度C'!$B:$B,"平均")</f>
        <v>0</v>
      </c>
      <c r="M21" s="89">
        <f>SUMIFS('0214 4度C'!$AD:$AD,'0214 4度C'!$A:$A,"新豐4線",'0214 4度C'!$B:$B,"平均")</f>
        <v>0</v>
      </c>
    </row>
    <row r="22" spans="2:13" ht="17.25" customHeight="1">
      <c r="B22" s="105" t="s">
        <v>1278</v>
      </c>
      <c r="C22" s="106"/>
      <c r="D22" s="91">
        <f>SUMIFS('0214 4度C'!$I:$I,'0214 4度C'!$A:$A,"新豐6線",'0214 4度C'!$B:$B,"平均")</f>
        <v>17.600000000000001</v>
      </c>
      <c r="E22" s="92">
        <f>SUMIFS('0214 4度C'!$I:$I,'0214 4度C'!$A:$A,"新豐2線",'0214 4度C'!$B:$B,"平均")</f>
        <v>18</v>
      </c>
      <c r="F22" s="92">
        <f>SUMIFS('0214 4度C'!$I:$I,'0214 4度C'!$A:$A,"新豐5線",'0214 4度C'!$B:$B,"平均")</f>
        <v>17.166666666666668</v>
      </c>
      <c r="G22" s="92">
        <f>SUMIFS('0214 4度C'!$I:$I,'0214 4度C'!$A:$A,"新豐7線",'0214 4度C'!$B:$B,"平均")</f>
        <v>15.333333333333334</v>
      </c>
      <c r="H22" s="92">
        <f>SUMIFS('0214 4度C'!$I:$I,'0214 4度C'!$A:$A,"新豐3線",'0214 4度C'!$B:$B,"平均")</f>
        <v>9.9</v>
      </c>
      <c r="I22" s="92">
        <f>SUMIFS('0214 4度C'!$I:$I,'0214 4度C'!$A:$A,"新豐1線",'0214 4度C'!$B:$B,"平均")</f>
        <v>18.666666666666668</v>
      </c>
      <c r="J22" s="93">
        <f>SUMIFS('0214 4度C'!$I:$I,'0214 4度C'!$A:$A,"新豐10線",'0214 4度C'!$B:$B,"平均")</f>
        <v>10.6</v>
      </c>
      <c r="K22" s="91">
        <f>SUMIFS('0214 4度C'!$I:$I,'0214 4度C'!$A:$A,"新豐8線",'0214 4度C'!$B:$B,"平均")</f>
        <v>18.2</v>
      </c>
      <c r="L22" s="92">
        <f>SUMIFS('0214 4度C'!$I:$I,'0214 4度C'!$A:$A,"新豐9線",'0214 4度C'!$B:$B,"平均")</f>
        <v>18</v>
      </c>
      <c r="M22" s="93">
        <f>SUMIFS('0214 4度C'!$I:$I,'0214 4度C'!$A:$A,"新豐4線",'0214 4度C'!$B:$B,"平均")</f>
        <v>16.600000000000001</v>
      </c>
    </row>
    <row r="23" spans="2:13" ht="17.25" customHeight="1">
      <c r="B23" s="105" t="s">
        <v>190</v>
      </c>
      <c r="C23" s="106"/>
      <c r="D23" s="94" t="s">
        <v>191</v>
      </c>
      <c r="E23" s="95" t="s">
        <v>192</v>
      </c>
      <c r="F23" s="95" t="s">
        <v>1279</v>
      </c>
      <c r="G23" s="95" t="s">
        <v>1279</v>
      </c>
      <c r="H23" s="95" t="s">
        <v>194</v>
      </c>
      <c r="I23" s="95" t="s">
        <v>191</v>
      </c>
      <c r="J23" s="96" t="s">
        <v>194</v>
      </c>
      <c r="K23" s="94" t="s">
        <v>1280</v>
      </c>
      <c r="L23" s="95" t="s">
        <v>1281</v>
      </c>
      <c r="M23" s="96" t="s">
        <v>1281</v>
      </c>
    </row>
    <row r="24" spans="2:13" ht="17.25" customHeight="1">
      <c r="B24" s="105" t="s">
        <v>1282</v>
      </c>
      <c r="C24" s="106"/>
      <c r="D24" s="94"/>
      <c r="E24" s="95"/>
      <c r="F24" s="95" t="s">
        <v>1283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1284</v>
      </c>
      <c r="C25" s="108"/>
      <c r="D25" s="97"/>
      <c r="E25" s="98" t="s">
        <v>1285</v>
      </c>
      <c r="F25" s="101" t="s">
        <v>1286</v>
      </c>
      <c r="G25" s="102"/>
      <c r="H25" s="98" t="s">
        <v>1287</v>
      </c>
      <c r="I25" s="98" t="s">
        <v>1288</v>
      </c>
      <c r="J25" s="99" t="s">
        <v>1287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G73"/>
  <sheetViews>
    <sheetView zoomScale="80" zoomScaleNormal="80" workbookViewId="0">
      <pane ySplit="4" topLeftCell="A5" activePane="bottomLeft" state="frozen"/>
      <selection activeCell="J13" sqref="J13"/>
      <selection pane="bottomLeft" activeCell="AC9" sqref="AC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1289</v>
      </c>
      <c r="B1" s="1"/>
      <c r="C1" s="2" t="s">
        <v>1290</v>
      </c>
      <c r="D1" s="3">
        <f>SUM(F5:F72)</f>
        <v>119834</v>
      </c>
      <c r="E1" s="4" t="s">
        <v>1291</v>
      </c>
      <c r="F1" s="1">
        <f>SUM(G5:G72)</f>
        <v>4267808.4000000013</v>
      </c>
      <c r="G1" s="1" t="s">
        <v>3</v>
      </c>
      <c r="H1" s="5">
        <f>L10+L13+L50+L60+L20+L66+L33+L39+L27+L72</f>
        <v>160.06666666666666</v>
      </c>
      <c r="I1" s="214" t="s">
        <v>4</v>
      </c>
      <c r="J1" s="214"/>
      <c r="K1" s="214"/>
      <c r="L1" s="214" t="s">
        <v>1292</v>
      </c>
      <c r="M1" s="214"/>
      <c r="N1" s="214"/>
      <c r="O1" s="214" t="s">
        <v>6</v>
      </c>
      <c r="P1" s="214"/>
      <c r="Q1" s="214"/>
      <c r="R1" s="214"/>
      <c r="S1" s="214" t="s">
        <v>1293</v>
      </c>
      <c r="T1" s="214"/>
      <c r="U1" s="214"/>
      <c r="V1" s="214"/>
      <c r="W1" s="214"/>
      <c r="X1" s="214"/>
      <c r="Y1" s="6" t="s">
        <v>1294</v>
      </c>
      <c r="Z1" s="7" t="s">
        <v>1295</v>
      </c>
      <c r="AA1" s="215" t="s">
        <v>10</v>
      </c>
      <c r="AB1" s="215"/>
      <c r="AC1" s="8" t="s">
        <v>8</v>
      </c>
      <c r="AD1" s="7" t="s">
        <v>11</v>
      </c>
      <c r="AE1" s="214" t="s">
        <v>1296</v>
      </c>
      <c r="AF1" s="216"/>
      <c r="AG1" s="216"/>
    </row>
    <row r="2" spans="1:33" ht="26.25" customHeight="1">
      <c r="A2" s="35">
        <v>46067</v>
      </c>
      <c r="B2" s="36" t="s">
        <v>687</v>
      </c>
      <c r="C2" s="2" t="s">
        <v>13</v>
      </c>
      <c r="D2" s="10">
        <f>AVERAGE(N10,N13,N50,N60,N20,N66,N27,N33,N39,N72)</f>
        <v>137.60721389155935</v>
      </c>
      <c r="E2" s="11" t="s">
        <v>14</v>
      </c>
      <c r="F2" s="12">
        <f>F1/D1</f>
        <v>35.614336498823384</v>
      </c>
      <c r="G2" s="1" t="s">
        <v>15</v>
      </c>
      <c r="H2" s="13">
        <f>COUNT(H5:H72)</f>
        <v>4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SUM(Y10+Y13+Y20+Y27+Y33+Y39+Y50+Y60+Y66+Y72)</f>
        <v>0</v>
      </c>
      <c r="Z2" s="14">
        <f>SUM(Z10+Z13+Z20+Z27+Z33+Z39+Z50+Z60+Z66+Z72)</f>
        <v>0</v>
      </c>
      <c r="AA2" s="215"/>
      <c r="AB2" s="215"/>
      <c r="AC2" s="14">
        <v>58</v>
      </c>
      <c r="AD2" s="14">
        <f>SUM(AD10+AD13+AD20+AD27+AD33+AD39+AD50+AD60+AD66+AD72)</f>
        <v>0</v>
      </c>
      <c r="AE2" s="216"/>
      <c r="AF2" s="216"/>
      <c r="AG2" s="216"/>
    </row>
    <row r="3" spans="1:33" ht="40.5" customHeight="1">
      <c r="A3" s="164" t="s">
        <v>16</v>
      </c>
      <c r="B3" s="164" t="s">
        <v>1297</v>
      </c>
      <c r="C3" s="164" t="s">
        <v>18</v>
      </c>
      <c r="D3" s="164"/>
      <c r="E3" s="212" t="s">
        <v>1298</v>
      </c>
      <c r="F3" s="164" t="s">
        <v>1299</v>
      </c>
      <c r="G3" s="212" t="s">
        <v>260</v>
      </c>
      <c r="H3" s="206" t="s">
        <v>1300</v>
      </c>
      <c r="I3" s="204" t="s">
        <v>1301</v>
      </c>
      <c r="J3" s="201" t="s">
        <v>24</v>
      </c>
      <c r="K3" s="211" t="s">
        <v>1267</v>
      </c>
      <c r="L3" s="204" t="s">
        <v>1301</v>
      </c>
      <c r="M3" s="201" t="s">
        <v>1302</v>
      </c>
      <c r="N3" s="211" t="s">
        <v>1267</v>
      </c>
      <c r="O3" s="204" t="s">
        <v>262</v>
      </c>
      <c r="P3" s="211" t="s">
        <v>13</v>
      </c>
      <c r="Q3" s="202" t="s">
        <v>263</v>
      </c>
      <c r="R3" s="182" t="s">
        <v>1303</v>
      </c>
      <c r="S3" s="164" t="s">
        <v>30</v>
      </c>
      <c r="T3" s="164"/>
      <c r="U3" s="206" t="s">
        <v>31</v>
      </c>
      <c r="V3" s="206" t="s">
        <v>32</v>
      </c>
      <c r="W3" s="164" t="s">
        <v>1304</v>
      </c>
      <c r="X3" s="164"/>
      <c r="Y3" s="207" t="s">
        <v>266</v>
      </c>
      <c r="Z3" s="168"/>
      <c r="AA3" s="208" t="s">
        <v>376</v>
      </c>
      <c r="AB3" s="209"/>
      <c r="AC3" s="207" t="s">
        <v>36</v>
      </c>
      <c r="AD3" s="168"/>
      <c r="AE3" s="201" t="s">
        <v>24</v>
      </c>
      <c r="AF3" s="202" t="s">
        <v>263</v>
      </c>
      <c r="AG3" s="182" t="s">
        <v>1303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1305</v>
      </c>
      <c r="X4" s="4" t="s">
        <v>270</v>
      </c>
      <c r="Y4" s="15" t="s">
        <v>1276</v>
      </c>
      <c r="Z4" s="15" t="s">
        <v>43</v>
      </c>
      <c r="AA4" s="210"/>
      <c r="AB4" s="209"/>
      <c r="AC4" s="15" t="s">
        <v>271</v>
      </c>
      <c r="AD4" s="15" t="s">
        <v>45</v>
      </c>
      <c r="AE4" s="201"/>
      <c r="AF4" s="202"/>
      <c r="AG4" s="182"/>
    </row>
    <row r="5" spans="1:33">
      <c r="A5" s="203" t="s">
        <v>46</v>
      </c>
      <c r="B5" s="37" t="s">
        <v>78</v>
      </c>
      <c r="C5" s="205" t="s">
        <v>79</v>
      </c>
      <c r="D5" s="205"/>
      <c r="E5" s="37">
        <v>50.67</v>
      </c>
      <c r="F5" s="4">
        <v>1248</v>
      </c>
      <c r="G5" s="4">
        <v>63236.160000000003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9" si="1">F5/V5*60</f>
        <v>1919.9999999999989</v>
      </c>
      <c r="N5" s="17">
        <f t="shared" ref="N5:N68" si="2">M5/L5</f>
        <v>112.94117647058818</v>
      </c>
      <c r="O5" s="19">
        <f t="shared" ref="O5:O68" si="3">L5-I5</f>
        <v>0</v>
      </c>
      <c r="P5" s="20">
        <f t="shared" ref="P5:P68" si="4">N5-K5</f>
        <v>-4.7058823529412308</v>
      </c>
      <c r="Q5" s="21">
        <f t="shared" ref="Q5:Q68" si="5">N5/K5</f>
        <v>0.95999999999999952</v>
      </c>
      <c r="R5" s="172">
        <f>Q10</f>
        <v>0.96649179028652821</v>
      </c>
      <c r="S5" s="28">
        <v>0.70833333333333337</v>
      </c>
      <c r="T5" s="28">
        <v>0.73541666666666672</v>
      </c>
      <c r="U5" s="4"/>
      <c r="V5" s="22">
        <f t="shared" ref="V5:V9" si="6">(T5-S5)*24*60</f>
        <v>39.000000000000021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9" si="7">M5-J5</f>
        <v>-80.000000000001137</v>
      </c>
      <c r="AF5" s="21">
        <f t="shared" ref="AF5:AF68" si="8">M5/J5</f>
        <v>0.95999999999999941</v>
      </c>
      <c r="AG5" s="172">
        <f>AF10</f>
        <v>0.96649179028652821</v>
      </c>
    </row>
    <row r="6" spans="1:33">
      <c r="A6" s="204" t="s">
        <v>46</v>
      </c>
      <c r="B6" s="37" t="s">
        <v>78</v>
      </c>
      <c r="C6" s="205" t="s">
        <v>80</v>
      </c>
      <c r="D6" s="205"/>
      <c r="E6" s="37">
        <v>54.09</v>
      </c>
      <c r="F6" s="4">
        <v>1193</v>
      </c>
      <c r="G6" s="4">
        <v>64529.37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1934.5945945945932</v>
      </c>
      <c r="N6" s="17">
        <f t="shared" si="2"/>
        <v>101.82076813655753</v>
      </c>
      <c r="O6" s="19">
        <f t="shared" si="3"/>
        <v>0</v>
      </c>
      <c r="P6" s="20">
        <f t="shared" si="4"/>
        <v>-3.4423897581793028</v>
      </c>
      <c r="Q6" s="21">
        <f t="shared" si="5"/>
        <v>0.96729729729729663</v>
      </c>
      <c r="R6" s="172"/>
      <c r="S6" s="28">
        <v>0.73888888888888893</v>
      </c>
      <c r="T6" s="28">
        <v>0.76458333333333339</v>
      </c>
      <c r="U6" s="4">
        <f t="shared" ref="U6:U9" si="9">IF(S6=TIME(17,0,0),"",(S6-T5)*24*60)</f>
        <v>4.9999999999999822</v>
      </c>
      <c r="V6" s="22">
        <f t="shared" si="6"/>
        <v>37.000000000000028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-65.405405405406782</v>
      </c>
      <c r="AF6" s="21">
        <f t="shared" si="8"/>
        <v>0.96729729729729663</v>
      </c>
      <c r="AG6" s="172"/>
    </row>
    <row r="7" spans="1:33">
      <c r="A7" s="204" t="s">
        <v>1306</v>
      </c>
      <c r="B7" s="37" t="s">
        <v>78</v>
      </c>
      <c r="C7" s="196" t="s">
        <v>81</v>
      </c>
      <c r="D7" s="197"/>
      <c r="E7" s="37">
        <v>50.29</v>
      </c>
      <c r="F7" s="4">
        <v>601</v>
      </c>
      <c r="G7" s="4">
        <v>30224.29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1897.894736842112</v>
      </c>
      <c r="N7" s="17">
        <f t="shared" si="2"/>
        <v>118.618421052632</v>
      </c>
      <c r="O7" s="19">
        <f t="shared" si="3"/>
        <v>0</v>
      </c>
      <c r="P7" s="20">
        <f t="shared" si="4"/>
        <v>-6.3815789473679985</v>
      </c>
      <c r="Q7" s="21">
        <f t="shared" si="5"/>
        <v>0.94894736842105598</v>
      </c>
      <c r="R7" s="172"/>
      <c r="S7" s="28">
        <v>0.77013888888888893</v>
      </c>
      <c r="T7" s="28">
        <v>0.78333333333333333</v>
      </c>
      <c r="U7" s="4">
        <f t="shared" si="9"/>
        <v>7.9999999999999716</v>
      </c>
      <c r="V7" s="22">
        <f t="shared" si="6"/>
        <v>18.999999999999932</v>
      </c>
      <c r="W7" s="23"/>
      <c r="X7" s="23"/>
      <c r="Y7" s="26"/>
      <c r="Z7" s="26"/>
      <c r="AA7" s="175"/>
      <c r="AB7" s="176"/>
      <c r="AC7" s="25"/>
      <c r="AD7" s="27"/>
      <c r="AE7" s="19">
        <f t="shared" si="7"/>
        <v>-102.10526315788798</v>
      </c>
      <c r="AF7" s="21">
        <f t="shared" si="8"/>
        <v>0.94894736842105598</v>
      </c>
      <c r="AG7" s="172"/>
    </row>
    <row r="8" spans="1:33">
      <c r="A8" s="204" t="s">
        <v>1306</v>
      </c>
      <c r="B8" s="37" t="s">
        <v>78</v>
      </c>
      <c r="C8" s="196" t="s">
        <v>82</v>
      </c>
      <c r="D8" s="197"/>
      <c r="E8" s="37">
        <v>57.3</v>
      </c>
      <c r="F8" s="4">
        <v>1359</v>
      </c>
      <c r="G8" s="4">
        <v>77870.7</v>
      </c>
      <c r="H8" s="22" t="s">
        <v>139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1941.4285714285709</v>
      </c>
      <c r="N8" s="17">
        <f t="shared" si="2"/>
        <v>129.42857142857139</v>
      </c>
      <c r="O8" s="19">
        <f t="shared" si="3"/>
        <v>0</v>
      </c>
      <c r="P8" s="20">
        <f t="shared" si="4"/>
        <v>-3.9047619047619548</v>
      </c>
      <c r="Q8" s="21">
        <f t="shared" si="5"/>
        <v>0.97071428571428531</v>
      </c>
      <c r="R8" s="172"/>
      <c r="S8" s="28">
        <v>0.78611111111111109</v>
      </c>
      <c r="T8" s="28">
        <v>0.81527777777777777</v>
      </c>
      <c r="U8" s="4">
        <f t="shared" si="9"/>
        <v>3.9999999999999858</v>
      </c>
      <c r="V8" s="22">
        <f t="shared" si="6"/>
        <v>42.000000000000014</v>
      </c>
      <c r="W8" s="28"/>
      <c r="X8" s="28"/>
      <c r="Y8" s="29"/>
      <c r="Z8" s="29"/>
      <c r="AA8" s="175"/>
      <c r="AB8" s="176"/>
      <c r="AC8" s="25"/>
      <c r="AD8" s="27"/>
      <c r="AE8" s="19">
        <f t="shared" si="7"/>
        <v>-58.571428571429124</v>
      </c>
      <c r="AF8" s="21">
        <f t="shared" si="8"/>
        <v>0.97071428571428542</v>
      </c>
      <c r="AG8" s="172"/>
    </row>
    <row r="9" spans="1:33">
      <c r="A9" s="204" t="s">
        <v>46</v>
      </c>
      <c r="B9" s="37" t="s">
        <v>78</v>
      </c>
      <c r="C9" s="196" t="s">
        <v>83</v>
      </c>
      <c r="D9" s="197"/>
      <c r="E9" s="37">
        <v>50.67</v>
      </c>
      <c r="F9" s="4">
        <v>657</v>
      </c>
      <c r="G9" s="4">
        <v>33290.19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1971.0000000000068</v>
      </c>
      <c r="N9" s="17">
        <f t="shared" si="2"/>
        <v>93.857142857143188</v>
      </c>
      <c r="O9" s="19">
        <f t="shared" si="3"/>
        <v>0</v>
      </c>
      <c r="P9" s="20">
        <f t="shared" si="4"/>
        <v>-1.3809523809520527</v>
      </c>
      <c r="Q9" s="21">
        <f t="shared" si="5"/>
        <v>0.98550000000000348</v>
      </c>
      <c r="R9" s="172"/>
      <c r="S9" s="28">
        <v>0.81874999999999998</v>
      </c>
      <c r="T9" s="28">
        <v>0.83263888888888882</v>
      </c>
      <c r="U9" s="4">
        <f t="shared" si="9"/>
        <v>4.9999999999999822</v>
      </c>
      <c r="V9" s="22">
        <f t="shared" si="6"/>
        <v>19.999999999999929</v>
      </c>
      <c r="W9" s="23"/>
      <c r="X9" s="23"/>
      <c r="Y9" s="26"/>
      <c r="Z9" s="26"/>
      <c r="AA9" s="175"/>
      <c r="AB9" s="176"/>
      <c r="AC9" s="25"/>
      <c r="AD9" s="27"/>
      <c r="AE9" s="19">
        <f t="shared" si="7"/>
        <v>-28.999999999993179</v>
      </c>
      <c r="AF9" s="21">
        <f t="shared" si="8"/>
        <v>0.98550000000000337</v>
      </c>
      <c r="AG9" s="172"/>
    </row>
    <row r="10" spans="1:33">
      <c r="A10" s="204" t="s">
        <v>1307</v>
      </c>
      <c r="B10" s="37" t="s">
        <v>1308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0"/>
        <v>113.63636363636363</v>
      </c>
      <c r="L10" s="30">
        <v>17.600000000000001</v>
      </c>
      <c r="M10" s="18">
        <f>AVERAGE(M5:M9)</f>
        <v>1932.9835805730563</v>
      </c>
      <c r="N10" s="17">
        <f t="shared" si="2"/>
        <v>109.82861253256002</v>
      </c>
      <c r="O10" s="19">
        <f t="shared" si="3"/>
        <v>0</v>
      </c>
      <c r="P10" s="20">
        <f t="shared" si="4"/>
        <v>-3.8077511038036107</v>
      </c>
      <c r="Q10" s="21">
        <f t="shared" si="5"/>
        <v>0.96649179028652821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7"/>
        <v>-67.016419426943685</v>
      </c>
      <c r="AF10" s="21">
        <f t="shared" si="8"/>
        <v>0.96649179028652821</v>
      </c>
      <c r="AG10" s="172"/>
    </row>
    <row r="11" spans="1:33" ht="15.75" customHeight="1">
      <c r="A11" s="200" t="s">
        <v>1309</v>
      </c>
      <c r="B11" s="37" t="s">
        <v>84</v>
      </c>
      <c r="C11" s="196" t="s">
        <v>85</v>
      </c>
      <c r="D11" s="197"/>
      <c r="E11" s="37">
        <v>39.619999999999997</v>
      </c>
      <c r="F11" s="4">
        <v>2432</v>
      </c>
      <c r="G11" s="4">
        <v>96355.839999999997</v>
      </c>
      <c r="H11" s="22" t="s">
        <v>139</v>
      </c>
      <c r="I11" s="16">
        <v>19</v>
      </c>
      <c r="J11" s="18">
        <v>1500</v>
      </c>
      <c r="K11" s="17">
        <f t="shared" si="0"/>
        <v>78.94736842105263</v>
      </c>
      <c r="L11" s="16">
        <v>19</v>
      </c>
      <c r="M11" s="18">
        <f t="shared" ref="M11:M12" si="10">F11/V11*60</f>
        <v>1430.5882352941176</v>
      </c>
      <c r="N11" s="17">
        <f t="shared" si="2"/>
        <v>75.294117647058826</v>
      </c>
      <c r="O11" s="19">
        <f t="shared" si="3"/>
        <v>0</v>
      </c>
      <c r="P11" s="20">
        <f t="shared" si="4"/>
        <v>-3.653250773993804</v>
      </c>
      <c r="Q11" s="21">
        <f t="shared" si="5"/>
        <v>0.95372549019607844</v>
      </c>
      <c r="R11" s="172">
        <f>Q13</f>
        <v>0.95580314244903242</v>
      </c>
      <c r="S11" s="28">
        <v>0.20833333333333334</v>
      </c>
      <c r="T11" s="28">
        <v>0.27916666666666667</v>
      </c>
      <c r="U11" s="4"/>
      <c r="V11" s="22">
        <f t="shared" ref="V11:V12" si="11">(T11-S11)*24*60</f>
        <v>102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7"/>
        <v>-69.411764705882433</v>
      </c>
      <c r="AF11" s="21">
        <f t="shared" si="8"/>
        <v>0.95372549019607833</v>
      </c>
      <c r="AG11" s="172">
        <f>AF13</f>
        <v>0.95580314244903242</v>
      </c>
    </row>
    <row r="12" spans="1:33" ht="15.75" customHeight="1">
      <c r="A12" s="200" t="s">
        <v>1309</v>
      </c>
      <c r="B12" s="37" t="s">
        <v>84</v>
      </c>
      <c r="C12" s="196" t="s">
        <v>86</v>
      </c>
      <c r="D12" s="197"/>
      <c r="E12" s="37">
        <v>39.799999999999997</v>
      </c>
      <c r="F12" s="4">
        <v>3616</v>
      </c>
      <c r="G12" s="4">
        <v>143916.79999999999</v>
      </c>
      <c r="H12" s="22" t="s">
        <v>139</v>
      </c>
      <c r="I12" s="16">
        <v>17</v>
      </c>
      <c r="J12" s="18">
        <v>1500</v>
      </c>
      <c r="K12" s="17">
        <f t="shared" si="0"/>
        <v>88.235294117647058</v>
      </c>
      <c r="L12" s="16">
        <v>17</v>
      </c>
      <c r="M12" s="18">
        <f t="shared" si="10"/>
        <v>1436.8211920529798</v>
      </c>
      <c r="N12" s="17">
        <f t="shared" si="2"/>
        <v>84.518893650175286</v>
      </c>
      <c r="O12" s="19">
        <f t="shared" si="3"/>
        <v>0</v>
      </c>
      <c r="P12" s="20">
        <f t="shared" si="4"/>
        <v>-3.7164004674717717</v>
      </c>
      <c r="Q12" s="21">
        <f t="shared" si="5"/>
        <v>0.95788079470198662</v>
      </c>
      <c r="R12" s="172"/>
      <c r="S12" s="28">
        <v>0.28402777777777777</v>
      </c>
      <c r="T12" s="28">
        <v>0.3888888888888889</v>
      </c>
      <c r="U12" s="4">
        <f t="shared" ref="U12" si="12">IF(S12=TIME(17,0,0),"",(S12-T11)*24*60)</f>
        <v>6.9999999999999751</v>
      </c>
      <c r="V12" s="22">
        <f t="shared" si="11"/>
        <v>151.00000000000003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7"/>
        <v>-63.178807947020232</v>
      </c>
      <c r="AF12" s="21">
        <f t="shared" si="8"/>
        <v>0.9578807947019865</v>
      </c>
      <c r="AG12" s="172"/>
    </row>
    <row r="13" spans="1:33" ht="16.5" customHeight="1">
      <c r="A13" s="200" t="s">
        <v>50</v>
      </c>
      <c r="B13" s="37" t="s">
        <v>1308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0"/>
        <v>83.333333333333329</v>
      </c>
      <c r="L13" s="30">
        <v>18</v>
      </c>
      <c r="M13" s="18">
        <f>AVERAGE(M11:M12)</f>
        <v>1433.7047136735487</v>
      </c>
      <c r="N13" s="17">
        <f t="shared" si="2"/>
        <v>79.650261870752701</v>
      </c>
      <c r="O13" s="19">
        <f t="shared" si="3"/>
        <v>0</v>
      </c>
      <c r="P13" s="20">
        <f t="shared" si="4"/>
        <v>-3.683071462580628</v>
      </c>
      <c r="Q13" s="21">
        <f t="shared" si="5"/>
        <v>0.95580314244903242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7"/>
        <v>-66.295286326451333</v>
      </c>
      <c r="AF13" s="21">
        <f t="shared" si="8"/>
        <v>0.95580314244903242</v>
      </c>
      <c r="AG13" s="172"/>
    </row>
    <row r="14" spans="1:33" ht="16.5" customHeight="1">
      <c r="A14" s="198" t="s">
        <v>1310</v>
      </c>
      <c r="B14" s="4" t="s">
        <v>87</v>
      </c>
      <c r="C14" s="190" t="s">
        <v>88</v>
      </c>
      <c r="D14" s="190"/>
      <c r="E14" s="37">
        <v>41</v>
      </c>
      <c r="F14" s="4">
        <v>2460</v>
      </c>
      <c r="G14" s="4">
        <v>100860</v>
      </c>
      <c r="H14" s="22" t="s">
        <v>139</v>
      </c>
      <c r="I14" s="16">
        <v>26</v>
      </c>
      <c r="J14" s="18">
        <v>1500</v>
      </c>
      <c r="K14" s="17">
        <f t="shared" si="0"/>
        <v>57.692307692307693</v>
      </c>
      <c r="L14" s="16">
        <v>26</v>
      </c>
      <c r="M14" s="18">
        <f t="shared" ref="M14:M19" si="13">F14/V14*60</f>
        <v>1433.009708737864</v>
      </c>
      <c r="N14" s="17">
        <f t="shared" si="2"/>
        <v>55.115758028379382</v>
      </c>
      <c r="O14" s="19">
        <f t="shared" si="3"/>
        <v>0</v>
      </c>
      <c r="P14" s="20">
        <f t="shared" si="4"/>
        <v>-2.5765496639283114</v>
      </c>
      <c r="Q14" s="21">
        <f t="shared" si="5"/>
        <v>0.95533980582524258</v>
      </c>
      <c r="R14" s="172">
        <f>Q20</f>
        <v>0.95934820087868211</v>
      </c>
      <c r="S14" s="28">
        <v>0.20833333333333334</v>
      </c>
      <c r="T14" s="28">
        <v>0.27986111111111112</v>
      </c>
      <c r="U14" s="4"/>
      <c r="V14" s="22">
        <f t="shared" ref="V14:V19" si="14">(T14-S14)*24*60</f>
        <v>103</v>
      </c>
      <c r="W14" s="28"/>
      <c r="X14" s="28"/>
      <c r="Y14" s="28"/>
      <c r="Z14" s="28"/>
      <c r="AA14" s="164"/>
      <c r="AB14" s="164"/>
      <c r="AC14" s="25">
        <v>6</v>
      </c>
      <c r="AD14" s="25"/>
      <c r="AE14" s="19">
        <f t="shared" si="7"/>
        <v>-66.990291262135997</v>
      </c>
      <c r="AF14" s="21">
        <f t="shared" si="8"/>
        <v>0.95533980582524269</v>
      </c>
      <c r="AG14" s="172">
        <f>AF20</f>
        <v>0.959348200878682</v>
      </c>
    </row>
    <row r="15" spans="1:33" ht="16.5" customHeight="1">
      <c r="A15" s="199" t="s">
        <v>1310</v>
      </c>
      <c r="B15" s="4" t="s">
        <v>89</v>
      </c>
      <c r="C15" s="190" t="s">
        <v>90</v>
      </c>
      <c r="D15" s="190"/>
      <c r="E15" s="37">
        <v>72.400000000000006</v>
      </c>
      <c r="F15" s="4">
        <v>770</v>
      </c>
      <c r="G15" s="4">
        <v>55748.000000000007</v>
      </c>
      <c r="H15" s="22" t="s">
        <v>139</v>
      </c>
      <c r="I15" s="16">
        <v>18</v>
      </c>
      <c r="J15" s="18">
        <v>1500</v>
      </c>
      <c r="K15" s="17">
        <f t="shared" si="0"/>
        <v>83.333333333333329</v>
      </c>
      <c r="L15" s="16">
        <v>18</v>
      </c>
      <c r="M15" s="18">
        <f t="shared" si="13"/>
        <v>1443.7500000000018</v>
      </c>
      <c r="N15" s="17">
        <f t="shared" si="2"/>
        <v>80.208333333333428</v>
      </c>
      <c r="O15" s="19">
        <f t="shared" si="3"/>
        <v>0</v>
      </c>
      <c r="P15" s="20">
        <f t="shared" si="4"/>
        <v>-3.1249999999999005</v>
      </c>
      <c r="Q15" s="21">
        <f t="shared" si="5"/>
        <v>0.96250000000000124</v>
      </c>
      <c r="R15" s="172"/>
      <c r="S15" s="28">
        <v>0.28541666666666665</v>
      </c>
      <c r="T15" s="28">
        <v>0.30763888888888885</v>
      </c>
      <c r="U15" s="4">
        <f t="shared" ref="U15:U19" si="15">IF(S15=TIME(17,0,0),"",(S15-T14)*24*60)</f>
        <v>7.9999999999999716</v>
      </c>
      <c r="V15" s="22">
        <f t="shared" si="14"/>
        <v>31.999999999999964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7"/>
        <v>-56.249999999998181</v>
      </c>
      <c r="AF15" s="21">
        <f t="shared" si="8"/>
        <v>0.96250000000000124</v>
      </c>
      <c r="AG15" s="172"/>
    </row>
    <row r="16" spans="1:33" ht="16.5" customHeight="1">
      <c r="A16" s="199" t="s">
        <v>1310</v>
      </c>
      <c r="B16" s="4" t="s">
        <v>78</v>
      </c>
      <c r="C16" s="190" t="s">
        <v>91</v>
      </c>
      <c r="D16" s="190"/>
      <c r="E16" s="37">
        <v>50.98</v>
      </c>
      <c r="F16" s="4">
        <v>2450</v>
      </c>
      <c r="G16" s="4">
        <v>124900.99999999999</v>
      </c>
      <c r="H16" s="22" t="s">
        <v>139</v>
      </c>
      <c r="I16" s="16">
        <v>16</v>
      </c>
      <c r="J16" s="18">
        <v>2000</v>
      </c>
      <c r="K16" s="17">
        <f t="shared" si="0"/>
        <v>125</v>
      </c>
      <c r="L16" s="16">
        <v>16</v>
      </c>
      <c r="M16" s="18">
        <f t="shared" si="13"/>
        <v>1909.0909090909079</v>
      </c>
      <c r="N16" s="17">
        <f t="shared" si="2"/>
        <v>119.31818181818174</v>
      </c>
      <c r="O16" s="19">
        <f t="shared" si="3"/>
        <v>0</v>
      </c>
      <c r="P16" s="20">
        <f t="shared" si="4"/>
        <v>-5.681818181818258</v>
      </c>
      <c r="Q16" s="21">
        <f t="shared" si="5"/>
        <v>0.95454545454545392</v>
      </c>
      <c r="R16" s="172"/>
      <c r="S16" s="28">
        <v>0.70833333333333337</v>
      </c>
      <c r="T16" s="28">
        <v>0.76180555555555562</v>
      </c>
      <c r="U16" s="4" t="str">
        <f t="shared" si="15"/>
        <v/>
      </c>
      <c r="V16" s="22">
        <f t="shared" si="14"/>
        <v>77.000000000000043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-90.909090909092129</v>
      </c>
      <c r="AF16" s="21">
        <f t="shared" si="8"/>
        <v>0.95454545454545392</v>
      </c>
      <c r="AG16" s="172"/>
    </row>
    <row r="17" spans="1:33" ht="16.5" customHeight="1">
      <c r="A17" s="199" t="s">
        <v>1310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v>40736</v>
      </c>
      <c r="H17" s="22">
        <v>2</v>
      </c>
      <c r="I17" s="16">
        <v>15</v>
      </c>
      <c r="J17" s="18">
        <v>2000</v>
      </c>
      <c r="K17" s="17">
        <f t="shared" si="0"/>
        <v>133.33333333333334</v>
      </c>
      <c r="L17" s="16">
        <v>15</v>
      </c>
      <c r="M17" s="18">
        <f t="shared" si="13"/>
        <v>1919.9999999999945</v>
      </c>
      <c r="N17" s="17">
        <f t="shared" si="2"/>
        <v>127.99999999999963</v>
      </c>
      <c r="O17" s="19">
        <f t="shared" si="3"/>
        <v>0</v>
      </c>
      <c r="P17" s="20">
        <f t="shared" si="4"/>
        <v>-5.3333333333337123</v>
      </c>
      <c r="Q17" s="21">
        <f t="shared" si="5"/>
        <v>0.95999999999999719</v>
      </c>
      <c r="R17" s="172"/>
      <c r="S17" s="28">
        <v>0.76666666666666672</v>
      </c>
      <c r="T17" s="28">
        <v>0.78402777777777788</v>
      </c>
      <c r="U17" s="4">
        <f t="shared" si="15"/>
        <v>6.9999999999999751</v>
      </c>
      <c r="V17" s="22">
        <f t="shared" si="14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-80.000000000005457</v>
      </c>
      <c r="AF17" s="21">
        <f t="shared" si="8"/>
        <v>0.9599999999999973</v>
      </c>
      <c r="AG17" s="172"/>
    </row>
    <row r="18" spans="1:33" ht="16.5" customHeight="1">
      <c r="A18" s="199" t="s">
        <v>1310</v>
      </c>
      <c r="B18" s="4" t="s">
        <v>78</v>
      </c>
      <c r="C18" s="190" t="s">
        <v>93</v>
      </c>
      <c r="D18" s="190"/>
      <c r="E18" s="37">
        <v>50.67</v>
      </c>
      <c r="F18" s="4">
        <v>1292</v>
      </c>
      <c r="G18" s="4">
        <v>65465.64</v>
      </c>
      <c r="H18" s="22" t="s">
        <v>139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1937.9999999999993</v>
      </c>
      <c r="N18" s="17">
        <f t="shared" si="2"/>
        <v>129.19999999999996</v>
      </c>
      <c r="O18" s="19">
        <f t="shared" si="3"/>
        <v>0</v>
      </c>
      <c r="P18" s="20">
        <f t="shared" si="4"/>
        <v>-4.1333333333333826</v>
      </c>
      <c r="Q18" s="21">
        <f t="shared" si="5"/>
        <v>0.96899999999999964</v>
      </c>
      <c r="R18" s="172"/>
      <c r="S18" s="28">
        <v>0.78958333333333341</v>
      </c>
      <c r="T18" s="28">
        <v>0.8173611111111112</v>
      </c>
      <c r="U18" s="4">
        <f t="shared" si="15"/>
        <v>7.9999999999999716</v>
      </c>
      <c r="V18" s="22">
        <f t="shared" si="14"/>
        <v>40.000000000000014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-62.000000000000682</v>
      </c>
      <c r="AF18" s="21">
        <f t="shared" si="8"/>
        <v>0.96899999999999964</v>
      </c>
      <c r="AG18" s="172"/>
    </row>
    <row r="19" spans="1:33" ht="16.5" customHeight="1">
      <c r="A19" s="199" t="s">
        <v>1310</v>
      </c>
      <c r="B19" s="4" t="s">
        <v>78</v>
      </c>
      <c r="C19" s="217" t="s">
        <v>94</v>
      </c>
      <c r="D19" s="218"/>
      <c r="E19" s="37">
        <v>57.3</v>
      </c>
      <c r="F19" s="4">
        <v>1559</v>
      </c>
      <c r="G19" s="4">
        <v>89330.7</v>
      </c>
      <c r="H19" s="22" t="s">
        <v>139</v>
      </c>
      <c r="I19" s="16">
        <v>13</v>
      </c>
      <c r="J19" s="18">
        <v>2000</v>
      </c>
      <c r="K19" s="17">
        <f t="shared" si="0"/>
        <v>153.84615384615384</v>
      </c>
      <c r="L19" s="16">
        <v>13</v>
      </c>
      <c r="M19" s="18">
        <f t="shared" si="13"/>
        <v>1908.9795918367354</v>
      </c>
      <c r="N19" s="17">
        <f t="shared" si="2"/>
        <v>146.84458398744118</v>
      </c>
      <c r="O19" s="19">
        <f t="shared" si="3"/>
        <v>0</v>
      </c>
      <c r="P19" s="20">
        <f t="shared" si="4"/>
        <v>-7.0015698587126565</v>
      </c>
      <c r="Q19" s="21">
        <f t="shared" si="5"/>
        <v>0.95448979591836769</v>
      </c>
      <c r="R19" s="172"/>
      <c r="S19" s="28">
        <v>0.82152777777777786</v>
      </c>
      <c r="T19" s="28">
        <v>0.85555555555555562</v>
      </c>
      <c r="U19" s="4">
        <f t="shared" si="15"/>
        <v>5.9999999999999787</v>
      </c>
      <c r="V19" s="22">
        <f t="shared" si="14"/>
        <v>48.999999999999986</v>
      </c>
      <c r="W19" s="23"/>
      <c r="X19" s="23"/>
      <c r="Y19" s="26"/>
      <c r="Z19" s="26"/>
      <c r="AA19" s="175"/>
      <c r="AB19" s="176"/>
      <c r="AC19" s="25"/>
      <c r="AD19" s="25"/>
      <c r="AE19" s="19">
        <f t="shared" si="7"/>
        <v>-91.020408163264619</v>
      </c>
      <c r="AF19" s="21">
        <f t="shared" si="8"/>
        <v>0.95448979591836769</v>
      </c>
      <c r="AG19" s="172"/>
    </row>
    <row r="20" spans="1:33" ht="16.5" customHeight="1">
      <c r="A20" s="199" t="s">
        <v>1310</v>
      </c>
      <c r="B20" s="37" t="s">
        <v>1308</v>
      </c>
      <c r="C20" s="177"/>
      <c r="D20" s="177"/>
      <c r="E20" s="38"/>
      <c r="F20" s="17"/>
      <c r="G20" s="17"/>
      <c r="H20" s="4"/>
      <c r="I20" s="30">
        <v>17.166666666666668</v>
      </c>
      <c r="J20" s="18">
        <v>1833.3333333333333</v>
      </c>
      <c r="K20" s="17">
        <f t="shared" si="0"/>
        <v>106.79611650485435</v>
      </c>
      <c r="L20" s="30">
        <v>17.166666666666668</v>
      </c>
      <c r="M20" s="18">
        <f>AVERAGE(M14:M19)</f>
        <v>1758.8050349442503</v>
      </c>
      <c r="N20" s="17">
        <f t="shared" si="2"/>
        <v>102.45466222976215</v>
      </c>
      <c r="O20" s="19">
        <f t="shared" si="3"/>
        <v>0</v>
      </c>
      <c r="P20" s="20">
        <f t="shared" si="4"/>
        <v>-4.3414542750922038</v>
      </c>
      <c r="Q20" s="21">
        <f t="shared" si="5"/>
        <v>0.95934820087868211</v>
      </c>
      <c r="R20" s="172"/>
      <c r="S20" s="28"/>
      <c r="T20" s="28"/>
      <c r="U20" s="4"/>
      <c r="V20" s="22"/>
      <c r="W20" s="17"/>
      <c r="X20" s="17"/>
      <c r="Y20" s="31">
        <f>SUM(Y14:Y19)</f>
        <v>0</v>
      </c>
      <c r="Z20" s="31">
        <f>SUM(Z14:Z19)</f>
        <v>0</v>
      </c>
      <c r="AA20" s="168"/>
      <c r="AB20" s="168"/>
      <c r="AC20" s="31">
        <v>6</v>
      </c>
      <c r="AD20" s="31">
        <f>SUM(AD14:AD19)</f>
        <v>0</v>
      </c>
      <c r="AE20" s="19">
        <f t="shared" si="7"/>
        <v>-74.52829838908292</v>
      </c>
      <c r="AF20" s="21">
        <f t="shared" si="8"/>
        <v>0.959348200878682</v>
      </c>
      <c r="AG20" s="172"/>
    </row>
    <row r="21" spans="1:33" ht="15.75" customHeight="1">
      <c r="A21" s="194" t="s">
        <v>1311</v>
      </c>
      <c r="B21" s="37" t="s">
        <v>78</v>
      </c>
      <c r="C21" s="190" t="s">
        <v>95</v>
      </c>
      <c r="D21" s="190"/>
      <c r="E21" s="37">
        <v>57.73</v>
      </c>
      <c r="F21" s="4">
        <v>2268</v>
      </c>
      <c r="G21" s="4">
        <v>130931.64</v>
      </c>
      <c r="H21" s="22" t="s">
        <v>139</v>
      </c>
      <c r="I21" s="16">
        <v>14</v>
      </c>
      <c r="J21" s="18">
        <v>2000</v>
      </c>
      <c r="K21" s="17">
        <f t="shared" si="0"/>
        <v>142.85714285714286</v>
      </c>
      <c r="L21" s="16">
        <v>14</v>
      </c>
      <c r="M21" s="18">
        <f t="shared" ref="M21:M26" si="16">F21/V21*60</f>
        <v>1916.6197183098584</v>
      </c>
      <c r="N21" s="17">
        <f t="shared" si="2"/>
        <v>136.90140845070417</v>
      </c>
      <c r="O21" s="19">
        <f t="shared" si="3"/>
        <v>0</v>
      </c>
      <c r="P21" s="20">
        <f t="shared" si="4"/>
        <v>-5.9557344064386939</v>
      </c>
      <c r="Q21" s="21">
        <f t="shared" si="5"/>
        <v>0.95830985915492917</v>
      </c>
      <c r="R21" s="172">
        <f>Q27</f>
        <v>0.96161936944459869</v>
      </c>
      <c r="S21" s="28">
        <v>0.20833333333333334</v>
      </c>
      <c r="T21" s="28">
        <v>0.25763888888888892</v>
      </c>
      <c r="U21" s="4"/>
      <c r="V21" s="22">
        <f t="shared" ref="V21:V26" si="17">(T21-S21)*24*60</f>
        <v>71.000000000000028</v>
      </c>
      <c r="W21" s="28"/>
      <c r="X21" s="28"/>
      <c r="Y21" s="28"/>
      <c r="Z21" s="28"/>
      <c r="AA21" s="164"/>
      <c r="AB21" s="164"/>
      <c r="AC21" s="25">
        <v>6</v>
      </c>
      <c r="AD21" s="25"/>
      <c r="AE21" s="19">
        <f t="shared" si="7"/>
        <v>-83.380281690141601</v>
      </c>
      <c r="AF21" s="21">
        <f t="shared" si="8"/>
        <v>0.95830985915492917</v>
      </c>
      <c r="AG21" s="172">
        <f>AF27</f>
        <v>0.96161936944459869</v>
      </c>
    </row>
    <row r="22" spans="1:33" ht="15.75" customHeight="1">
      <c r="A22" s="195" t="s">
        <v>59</v>
      </c>
      <c r="B22" s="37" t="s">
        <v>78</v>
      </c>
      <c r="C22" s="190" t="s">
        <v>96</v>
      </c>
      <c r="D22" s="190"/>
      <c r="E22" s="37">
        <v>53.68</v>
      </c>
      <c r="F22" s="4">
        <v>1396</v>
      </c>
      <c r="G22" s="4">
        <v>74937.279999999999</v>
      </c>
      <c r="H22" s="22" t="s">
        <v>139</v>
      </c>
      <c r="I22" s="16">
        <v>16</v>
      </c>
      <c r="J22" s="18">
        <v>2000</v>
      </c>
      <c r="K22" s="17">
        <f t="shared" si="0"/>
        <v>125</v>
      </c>
      <c r="L22" s="16">
        <v>16</v>
      </c>
      <c r="M22" s="18">
        <f t="shared" si="16"/>
        <v>1903.6363636363635</v>
      </c>
      <c r="N22" s="17">
        <f t="shared" si="2"/>
        <v>118.97727272727272</v>
      </c>
      <c r="O22" s="19">
        <f t="shared" si="3"/>
        <v>0</v>
      </c>
      <c r="P22" s="20">
        <f t="shared" si="4"/>
        <v>-6.0227272727272805</v>
      </c>
      <c r="Q22" s="21">
        <f t="shared" si="5"/>
        <v>0.95181818181818179</v>
      </c>
      <c r="R22" s="172"/>
      <c r="S22" s="28">
        <v>0.26250000000000001</v>
      </c>
      <c r="T22" s="28">
        <v>0.29305555555555557</v>
      </c>
      <c r="U22" s="4">
        <f t="shared" ref="U22:U26" si="18">IF(S22=TIME(17,0,0),"",(S22-T21)*24*60)</f>
        <v>6.9999999999999751</v>
      </c>
      <c r="V22" s="22">
        <f t="shared" si="17"/>
        <v>44</v>
      </c>
      <c r="W22" s="23"/>
      <c r="X22" s="4"/>
      <c r="Y22" s="4"/>
      <c r="Z22" s="4"/>
      <c r="AA22" s="164"/>
      <c r="AB22" s="164"/>
      <c r="AC22" s="25"/>
      <c r="AD22" s="25"/>
      <c r="AE22" s="19">
        <f t="shared" si="7"/>
        <v>-96.363636363636488</v>
      </c>
      <c r="AF22" s="21">
        <f t="shared" si="8"/>
        <v>0.95181818181818179</v>
      </c>
      <c r="AG22" s="172"/>
    </row>
    <row r="23" spans="1:33" ht="15.75" customHeight="1">
      <c r="A23" s="195" t="s">
        <v>59</v>
      </c>
      <c r="B23" s="37" t="s">
        <v>78</v>
      </c>
      <c r="C23" s="190" t="s">
        <v>97</v>
      </c>
      <c r="D23" s="190"/>
      <c r="E23" s="37">
        <v>50.49</v>
      </c>
      <c r="F23" s="4">
        <v>1600</v>
      </c>
      <c r="G23" s="4">
        <v>80784</v>
      </c>
      <c r="H23" s="22" t="s">
        <v>139</v>
      </c>
      <c r="I23" s="16">
        <v>15</v>
      </c>
      <c r="J23" s="18">
        <v>2000</v>
      </c>
      <c r="K23" s="17">
        <f t="shared" si="0"/>
        <v>133.33333333333334</v>
      </c>
      <c r="L23" s="16">
        <v>15</v>
      </c>
      <c r="M23" s="18">
        <f t="shared" si="16"/>
        <v>1920.0000000000005</v>
      </c>
      <c r="N23" s="17">
        <f t="shared" si="2"/>
        <v>128.00000000000003</v>
      </c>
      <c r="O23" s="19">
        <f t="shared" si="3"/>
        <v>0</v>
      </c>
      <c r="P23" s="20">
        <f t="shared" si="4"/>
        <v>-5.3333333333333144</v>
      </c>
      <c r="Q23" s="21">
        <f t="shared" si="5"/>
        <v>0.96000000000000019</v>
      </c>
      <c r="R23" s="172"/>
      <c r="S23" s="28">
        <v>0.70833333333333337</v>
      </c>
      <c r="T23" s="28">
        <v>0.74305555555555558</v>
      </c>
      <c r="U23" s="4" t="str">
        <f t="shared" si="18"/>
        <v/>
      </c>
      <c r="V23" s="22">
        <f t="shared" si="17"/>
        <v>49.999999999999986</v>
      </c>
      <c r="W23" s="23"/>
      <c r="X23" s="4"/>
      <c r="Y23" s="4"/>
      <c r="Z23" s="4"/>
      <c r="AA23" s="164"/>
      <c r="AB23" s="164"/>
      <c r="AC23" s="25"/>
      <c r="AD23" s="25"/>
      <c r="AE23" s="19">
        <f t="shared" si="7"/>
        <v>-79.999999999999545</v>
      </c>
      <c r="AF23" s="21">
        <f t="shared" si="8"/>
        <v>0.96000000000000019</v>
      </c>
      <c r="AG23" s="172"/>
    </row>
    <row r="24" spans="1:33" ht="15.75" customHeight="1">
      <c r="A24" s="195" t="s">
        <v>1311</v>
      </c>
      <c r="B24" s="37" t="s">
        <v>78</v>
      </c>
      <c r="C24" s="190" t="s">
        <v>98</v>
      </c>
      <c r="D24" s="190"/>
      <c r="E24" s="37">
        <v>50.67</v>
      </c>
      <c r="F24" s="4">
        <v>879</v>
      </c>
      <c r="G24" s="4">
        <v>44538.93</v>
      </c>
      <c r="H24" s="22" t="s">
        <v>139</v>
      </c>
      <c r="I24" s="16">
        <v>16</v>
      </c>
      <c r="J24" s="18">
        <v>2000</v>
      </c>
      <c r="K24" s="17">
        <f t="shared" si="0"/>
        <v>125</v>
      </c>
      <c r="L24" s="16">
        <v>16</v>
      </c>
      <c r="M24" s="18">
        <f t="shared" si="16"/>
        <v>1953.3333333333287</v>
      </c>
      <c r="N24" s="17">
        <f t="shared" si="2"/>
        <v>122.08333333333304</v>
      </c>
      <c r="O24" s="19">
        <f t="shared" si="3"/>
        <v>0</v>
      </c>
      <c r="P24" s="20">
        <f t="shared" si="4"/>
        <v>-2.9166666666669556</v>
      </c>
      <c r="Q24" s="21">
        <f t="shared" si="5"/>
        <v>0.97666666666666435</v>
      </c>
      <c r="R24" s="172"/>
      <c r="S24" s="28">
        <v>0.74722222222222223</v>
      </c>
      <c r="T24" s="28">
        <v>0.76597222222222228</v>
      </c>
      <c r="U24" s="4">
        <f t="shared" si="18"/>
        <v>5.9999999999999787</v>
      </c>
      <c r="V24" s="22">
        <f t="shared" si="17"/>
        <v>27.000000000000064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-46.66666666667129</v>
      </c>
      <c r="AF24" s="21">
        <f t="shared" si="8"/>
        <v>0.97666666666666435</v>
      </c>
      <c r="AG24" s="172"/>
    </row>
    <row r="25" spans="1:33" ht="15.75" customHeight="1">
      <c r="A25" s="195" t="s">
        <v>1312</v>
      </c>
      <c r="B25" s="37" t="s">
        <v>78</v>
      </c>
      <c r="C25" s="190" t="s">
        <v>99</v>
      </c>
      <c r="D25" s="190"/>
      <c r="E25" s="37">
        <v>53.68</v>
      </c>
      <c r="F25" s="4">
        <v>1711</v>
      </c>
      <c r="G25" s="4">
        <v>91846.48</v>
      </c>
      <c r="H25" s="22" t="s">
        <v>139</v>
      </c>
      <c r="I25" s="16">
        <v>16</v>
      </c>
      <c r="J25" s="18">
        <v>1500</v>
      </c>
      <c r="K25" s="17">
        <f t="shared" si="0"/>
        <v>93.75</v>
      </c>
      <c r="L25" s="16">
        <v>16</v>
      </c>
      <c r="M25" s="18">
        <f t="shared" si="16"/>
        <v>1425.8333333333323</v>
      </c>
      <c r="N25" s="17">
        <f t="shared" si="2"/>
        <v>89.114583333333272</v>
      </c>
      <c r="O25" s="19">
        <f t="shared" si="3"/>
        <v>0</v>
      </c>
      <c r="P25" s="20">
        <f t="shared" si="4"/>
        <v>-4.6354166666667282</v>
      </c>
      <c r="Q25" s="21">
        <f t="shared" si="5"/>
        <v>0.95055555555555493</v>
      </c>
      <c r="R25" s="172"/>
      <c r="S25" s="28">
        <v>0.76944444444444449</v>
      </c>
      <c r="T25" s="28">
        <v>0.81944444444444453</v>
      </c>
      <c r="U25" s="4">
        <f t="shared" si="18"/>
        <v>4.9999999999999822</v>
      </c>
      <c r="V25" s="22">
        <f t="shared" si="17"/>
        <v>72.000000000000057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-74.166666666667652</v>
      </c>
      <c r="AF25" s="21">
        <f t="shared" si="8"/>
        <v>0.95055555555555493</v>
      </c>
      <c r="AG25" s="172"/>
    </row>
    <row r="26" spans="1:33" ht="15.75" customHeight="1">
      <c r="A26" s="195" t="s">
        <v>59</v>
      </c>
      <c r="B26" s="37" t="s">
        <v>78</v>
      </c>
      <c r="C26" s="190" t="s">
        <v>92</v>
      </c>
      <c r="D26" s="190"/>
      <c r="E26" s="37">
        <v>50.92</v>
      </c>
      <c r="F26" s="4">
        <v>1616</v>
      </c>
      <c r="G26" s="4">
        <v>82286.720000000001</v>
      </c>
      <c r="H26" s="22" t="s">
        <v>139</v>
      </c>
      <c r="I26" s="16">
        <v>15</v>
      </c>
      <c r="J26" s="18">
        <v>2000</v>
      </c>
      <c r="K26" s="17">
        <f t="shared" si="0"/>
        <v>133.33333333333334</v>
      </c>
      <c r="L26" s="16">
        <v>15</v>
      </c>
      <c r="M26" s="18">
        <f t="shared" si="16"/>
        <v>1939.2000000000005</v>
      </c>
      <c r="N26" s="17">
        <f t="shared" si="2"/>
        <v>129.28000000000003</v>
      </c>
      <c r="O26" s="19">
        <f t="shared" si="3"/>
        <v>0</v>
      </c>
      <c r="P26" s="20">
        <f t="shared" si="4"/>
        <v>-4.0533333333333132</v>
      </c>
      <c r="Q26" s="21">
        <f t="shared" si="5"/>
        <v>0.96960000000000013</v>
      </c>
      <c r="R26" s="172"/>
      <c r="S26" s="28">
        <v>0.82361111111111118</v>
      </c>
      <c r="T26" s="28">
        <v>0.85833333333333339</v>
      </c>
      <c r="U26" s="4">
        <f t="shared" si="18"/>
        <v>5.9999999999999787</v>
      </c>
      <c r="V26" s="22">
        <f t="shared" si="17"/>
        <v>49.999999999999986</v>
      </c>
      <c r="W26" s="23"/>
      <c r="X26" s="28"/>
      <c r="Y26" s="28"/>
      <c r="Z26" s="28"/>
      <c r="AA26" s="164"/>
      <c r="AB26" s="164"/>
      <c r="AC26" s="25"/>
      <c r="AD26" s="25"/>
      <c r="AE26" s="19">
        <f t="shared" si="7"/>
        <v>-60.7999999999995</v>
      </c>
      <c r="AF26" s="21">
        <f t="shared" si="8"/>
        <v>0.96960000000000024</v>
      </c>
      <c r="AG26" s="172"/>
    </row>
    <row r="27" spans="1:33" ht="15.75" customHeight="1">
      <c r="A27" s="195" t="s">
        <v>1311</v>
      </c>
      <c r="B27" s="37" t="s">
        <v>1308</v>
      </c>
      <c r="C27" s="177"/>
      <c r="D27" s="177"/>
      <c r="E27" s="38"/>
      <c r="F27" s="4"/>
      <c r="G27" s="4"/>
      <c r="H27" s="4"/>
      <c r="I27" s="30">
        <v>15.333333333333334</v>
      </c>
      <c r="J27" s="18">
        <v>1916.6666666666667</v>
      </c>
      <c r="K27" s="17">
        <f t="shared" si="0"/>
        <v>125</v>
      </c>
      <c r="L27" s="30">
        <v>15.333333333333334</v>
      </c>
      <c r="M27" s="18">
        <f>AVERAGE(M21:M26)</f>
        <v>1843.1037914354808</v>
      </c>
      <c r="N27" s="17">
        <f t="shared" si="2"/>
        <v>120.20242118057483</v>
      </c>
      <c r="O27" s="19">
        <f t="shared" si="3"/>
        <v>0</v>
      </c>
      <c r="P27" s="20">
        <f t="shared" si="4"/>
        <v>-4.7975788194251692</v>
      </c>
      <c r="Q27" s="21">
        <f t="shared" si="5"/>
        <v>0.96161936944459869</v>
      </c>
      <c r="R27" s="172"/>
      <c r="S27" s="28"/>
      <c r="T27" s="28"/>
      <c r="U27" s="17"/>
      <c r="V27" s="22"/>
      <c r="W27" s="17"/>
      <c r="X27" s="17"/>
      <c r="Y27" s="31">
        <f>SUM(Y21:Y26)</f>
        <v>0</v>
      </c>
      <c r="Z27" s="31">
        <f>SUM(Z21:Z26)</f>
        <v>0</v>
      </c>
      <c r="AA27" s="168"/>
      <c r="AB27" s="168"/>
      <c r="AC27" s="31">
        <v>6</v>
      </c>
      <c r="AD27" s="31">
        <f>SUM(AD21:AD26)</f>
        <v>0</v>
      </c>
      <c r="AE27" s="19">
        <f t="shared" si="7"/>
        <v>-73.562875231185899</v>
      </c>
      <c r="AF27" s="21">
        <f t="shared" si="8"/>
        <v>0.96161936944459869</v>
      </c>
      <c r="AG27" s="172"/>
    </row>
    <row r="28" spans="1:33" ht="15.75" customHeight="1">
      <c r="A28" s="193" t="s">
        <v>61</v>
      </c>
      <c r="B28" s="37" t="s">
        <v>100</v>
      </c>
      <c r="C28" s="190" t="s">
        <v>101</v>
      </c>
      <c r="D28" s="190"/>
      <c r="E28" s="37">
        <v>31.29</v>
      </c>
      <c r="F28" s="4">
        <v>5910</v>
      </c>
      <c r="G28" s="4">
        <v>184923.9</v>
      </c>
      <c r="H28" s="22" t="s">
        <v>139</v>
      </c>
      <c r="I28" s="16">
        <v>18</v>
      </c>
      <c r="J28" s="18">
        <v>2400</v>
      </c>
      <c r="K28" s="17">
        <f t="shared" si="0"/>
        <v>133.33333333333334</v>
      </c>
      <c r="L28" s="16">
        <v>18</v>
      </c>
      <c r="M28" s="18">
        <f t="shared" ref="M28:M32" si="19">F28/V28*60</f>
        <v>2287.7419354838712</v>
      </c>
      <c r="N28" s="17">
        <f t="shared" si="2"/>
        <v>127.0967741935484</v>
      </c>
      <c r="O28" s="19">
        <f t="shared" si="3"/>
        <v>0</v>
      </c>
      <c r="P28" s="20">
        <f t="shared" si="4"/>
        <v>-6.2365591397849443</v>
      </c>
      <c r="Q28" s="21">
        <f t="shared" si="5"/>
        <v>0.95322580645161292</v>
      </c>
      <c r="R28" s="172">
        <f>Q33</f>
        <v>0.95790004507381643</v>
      </c>
      <c r="S28" s="28">
        <v>0.125</v>
      </c>
      <c r="T28" s="28">
        <v>0.2326388888888889</v>
      </c>
      <c r="U28" s="4"/>
      <c r="V28" s="22">
        <f t="shared" ref="V28:V32" si="20">(T28-S28)*24*60</f>
        <v>155</v>
      </c>
      <c r="W28" s="23">
        <f>T28</f>
        <v>0.2326388888888889</v>
      </c>
      <c r="X28" s="23">
        <f>S29</f>
        <v>0.25138888888888888</v>
      </c>
      <c r="Y28" s="23"/>
      <c r="Z28" s="23"/>
      <c r="AA28" s="164"/>
      <c r="AB28" s="164"/>
      <c r="AC28" s="25">
        <v>5</v>
      </c>
      <c r="AD28" s="25"/>
      <c r="AE28" s="19">
        <f t="shared" si="7"/>
        <v>-112.2580645161288</v>
      </c>
      <c r="AF28" s="21">
        <f t="shared" si="8"/>
        <v>0.95322580645161303</v>
      </c>
      <c r="AG28" s="172">
        <f>AF33</f>
        <v>0.95790004507381654</v>
      </c>
    </row>
    <row r="29" spans="1:33" ht="15.75" customHeight="1">
      <c r="A29" s="193" t="s">
        <v>61</v>
      </c>
      <c r="B29" s="37" t="s">
        <v>100</v>
      </c>
      <c r="C29" s="190" t="s">
        <v>102</v>
      </c>
      <c r="D29" s="190"/>
      <c r="E29" s="37">
        <v>26.2</v>
      </c>
      <c r="F29" s="4">
        <v>3236</v>
      </c>
      <c r="G29" s="4">
        <v>84783.2</v>
      </c>
      <c r="H29" s="22" t="s">
        <v>139</v>
      </c>
      <c r="I29" s="16">
        <v>20</v>
      </c>
      <c r="J29" s="18">
        <v>2400</v>
      </c>
      <c r="K29" s="17">
        <f t="shared" si="0"/>
        <v>120</v>
      </c>
      <c r="L29" s="16">
        <v>20</v>
      </c>
      <c r="M29" s="18">
        <f t="shared" si="19"/>
        <v>2311.4285714285706</v>
      </c>
      <c r="N29" s="17">
        <f t="shared" si="2"/>
        <v>115.57142857142853</v>
      </c>
      <c r="O29" s="19">
        <f t="shared" si="3"/>
        <v>0</v>
      </c>
      <c r="P29" s="20">
        <f t="shared" si="4"/>
        <v>-4.4285714285714732</v>
      </c>
      <c r="Q29" s="21">
        <f t="shared" si="5"/>
        <v>0.96309523809523767</v>
      </c>
      <c r="R29" s="172"/>
      <c r="S29" s="28">
        <v>0.25138888888888888</v>
      </c>
      <c r="T29" s="28">
        <v>0.30972222222222223</v>
      </c>
      <c r="U29" s="4">
        <f t="shared" ref="U29:U32" si="21">(S29-T28)*24*60</f>
        <v>26.999999999999986</v>
      </c>
      <c r="V29" s="22">
        <f t="shared" si="20"/>
        <v>84.000000000000028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7"/>
        <v>-88.571428571429351</v>
      </c>
      <c r="AF29" s="21">
        <f t="shared" si="8"/>
        <v>0.96309523809523778</v>
      </c>
      <c r="AG29" s="172"/>
    </row>
    <row r="30" spans="1:33" ht="15.75" customHeight="1">
      <c r="A30" s="193" t="s">
        <v>61</v>
      </c>
      <c r="B30" s="37" t="s">
        <v>100</v>
      </c>
      <c r="C30" s="190" t="s">
        <v>103</v>
      </c>
      <c r="D30" s="190"/>
      <c r="E30" s="37">
        <v>25.99</v>
      </c>
      <c r="F30" s="4">
        <v>2628</v>
      </c>
      <c r="G30" s="4">
        <v>68301.72</v>
      </c>
      <c r="H30" s="22" t="s">
        <v>139</v>
      </c>
      <c r="I30" s="16">
        <v>14</v>
      </c>
      <c r="J30" s="18">
        <v>2400</v>
      </c>
      <c r="K30" s="17">
        <f t="shared" si="0"/>
        <v>171.42857142857142</v>
      </c>
      <c r="L30" s="16">
        <v>14</v>
      </c>
      <c r="M30" s="18">
        <f t="shared" si="19"/>
        <v>2285.217391304348</v>
      </c>
      <c r="N30" s="17">
        <f t="shared" si="2"/>
        <v>163.22981366459629</v>
      </c>
      <c r="O30" s="19">
        <f t="shared" si="3"/>
        <v>0</v>
      </c>
      <c r="P30" s="20">
        <f t="shared" si="4"/>
        <v>-8.1987577639751237</v>
      </c>
      <c r="Q30" s="21">
        <f t="shared" si="5"/>
        <v>0.95217391304347843</v>
      </c>
      <c r="R30" s="172"/>
      <c r="S30" s="28">
        <v>0.31388888888888888</v>
      </c>
      <c r="T30" s="28">
        <v>0.36180555555555555</v>
      </c>
      <c r="U30" s="4">
        <f t="shared" si="21"/>
        <v>5.9999999999999787</v>
      </c>
      <c r="V30" s="22">
        <f t="shared" si="20"/>
        <v>69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7"/>
        <v>-114.78260869565202</v>
      </c>
      <c r="AF30" s="21">
        <f t="shared" si="8"/>
        <v>0.95217391304347831</v>
      </c>
      <c r="AG30" s="172"/>
    </row>
    <row r="31" spans="1:33" ht="15.75" customHeight="1">
      <c r="A31" s="193" t="s">
        <v>1313</v>
      </c>
      <c r="B31" s="37" t="s">
        <v>100</v>
      </c>
      <c r="C31" s="190" t="s">
        <v>105</v>
      </c>
      <c r="D31" s="190"/>
      <c r="E31" s="37">
        <v>25.98</v>
      </c>
      <c r="F31" s="4">
        <v>1974</v>
      </c>
      <c r="G31" s="4">
        <v>51284.520000000004</v>
      </c>
      <c r="H31" s="22" t="s">
        <v>139</v>
      </c>
      <c r="I31" s="16">
        <v>21</v>
      </c>
      <c r="J31" s="18">
        <v>2400</v>
      </c>
      <c r="K31" s="17">
        <f t="shared" si="0"/>
        <v>114.28571428571429</v>
      </c>
      <c r="L31" s="16">
        <v>21</v>
      </c>
      <c r="M31" s="18">
        <f t="shared" si="19"/>
        <v>2322.3529411764716</v>
      </c>
      <c r="N31" s="17">
        <f t="shared" si="2"/>
        <v>110.58823529411769</v>
      </c>
      <c r="O31" s="19">
        <f t="shared" si="3"/>
        <v>0</v>
      </c>
      <c r="P31" s="20">
        <f t="shared" si="4"/>
        <v>-3.6974789915965971</v>
      </c>
      <c r="Q31" s="21">
        <f t="shared" si="5"/>
        <v>0.96764705882352975</v>
      </c>
      <c r="R31" s="172"/>
      <c r="S31" s="28">
        <v>0.3659722222222222</v>
      </c>
      <c r="T31" s="28">
        <v>0.40138888888888885</v>
      </c>
      <c r="U31" s="4">
        <f t="shared" si="21"/>
        <v>5.9999999999999787</v>
      </c>
      <c r="V31" s="22">
        <f t="shared" si="20"/>
        <v>50.999999999999979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-77.647058823528369</v>
      </c>
      <c r="AF31" s="21">
        <f t="shared" si="8"/>
        <v>0.96764705882352986</v>
      </c>
      <c r="AG31" s="172"/>
    </row>
    <row r="32" spans="1:33" ht="15.75" customHeight="1">
      <c r="A32" s="193" t="s">
        <v>61</v>
      </c>
      <c r="B32" s="37" t="s">
        <v>100</v>
      </c>
      <c r="C32" s="190" t="s">
        <v>104</v>
      </c>
      <c r="D32" s="190"/>
      <c r="E32" s="37">
        <v>20.52</v>
      </c>
      <c r="F32" s="4">
        <v>2555</v>
      </c>
      <c r="G32" s="4">
        <v>52428.6</v>
      </c>
      <c r="H32" s="22" t="s">
        <v>139</v>
      </c>
      <c r="I32" s="16">
        <v>18</v>
      </c>
      <c r="J32" s="18">
        <v>2400</v>
      </c>
      <c r="K32" s="17">
        <f t="shared" si="0"/>
        <v>133.33333333333334</v>
      </c>
      <c r="L32" s="16">
        <v>18</v>
      </c>
      <c r="M32" s="18">
        <f t="shared" si="19"/>
        <v>2288.0597014925374</v>
      </c>
      <c r="N32" s="17">
        <f t="shared" si="2"/>
        <v>127.11442786069652</v>
      </c>
      <c r="O32" s="19">
        <f t="shared" si="3"/>
        <v>0</v>
      </c>
      <c r="P32" s="20">
        <f t="shared" si="4"/>
        <v>-6.2189054726368198</v>
      </c>
      <c r="Q32" s="21">
        <f t="shared" si="5"/>
        <v>0.95335820895522383</v>
      </c>
      <c r="R32" s="172"/>
      <c r="S32" s="28">
        <v>0.40624999999999994</v>
      </c>
      <c r="T32" s="28">
        <v>0.45277777777777772</v>
      </c>
      <c r="U32" s="4">
        <f t="shared" si="21"/>
        <v>6.9999999999999751</v>
      </c>
      <c r="V32" s="22">
        <f t="shared" si="20"/>
        <v>67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-111.94029850746256</v>
      </c>
      <c r="AF32" s="21">
        <f t="shared" si="8"/>
        <v>0.95335820895522394</v>
      </c>
      <c r="AG32" s="172"/>
    </row>
    <row r="33" spans="1:33" ht="15.75" customHeight="1">
      <c r="A33" s="193" t="s">
        <v>1313</v>
      </c>
      <c r="B33" s="37" t="s">
        <v>1308</v>
      </c>
      <c r="C33" s="177"/>
      <c r="D33" s="177"/>
      <c r="E33" s="38"/>
      <c r="F33" s="4"/>
      <c r="G33" s="4"/>
      <c r="H33" s="4"/>
      <c r="I33" s="30">
        <v>18.2</v>
      </c>
      <c r="J33" s="18">
        <v>2400</v>
      </c>
      <c r="K33" s="17">
        <f t="shared" si="0"/>
        <v>131.86813186813188</v>
      </c>
      <c r="L33" s="30">
        <v>18.2</v>
      </c>
      <c r="M33" s="18">
        <f>AVERAGE(M28:M32)</f>
        <v>2298.9601081771598</v>
      </c>
      <c r="N33" s="17">
        <f t="shared" si="2"/>
        <v>126.31648946028351</v>
      </c>
      <c r="O33" s="19">
        <f t="shared" si="3"/>
        <v>0</v>
      </c>
      <c r="P33" s="20">
        <f t="shared" si="4"/>
        <v>-5.5516424078483766</v>
      </c>
      <c r="Q33" s="21">
        <f t="shared" si="5"/>
        <v>0.95790004507381643</v>
      </c>
      <c r="R33" s="172"/>
      <c r="S33" s="28"/>
      <c r="T33" s="28"/>
      <c r="U33" s="4"/>
      <c r="V33" s="22"/>
      <c r="W33" s="4"/>
      <c r="X33" s="4"/>
      <c r="Y33" s="31">
        <f>SUM(Y28:Y32)</f>
        <v>0</v>
      </c>
      <c r="Z33" s="31">
        <f>SUM(Z28:Z32)</f>
        <v>0</v>
      </c>
      <c r="AA33" s="168"/>
      <c r="AB33" s="168"/>
      <c r="AC33" s="31">
        <v>5</v>
      </c>
      <c r="AD33" s="31">
        <f>SUM(AD28:AD32)</f>
        <v>0</v>
      </c>
      <c r="AE33" s="19">
        <f t="shared" si="7"/>
        <v>-101.03989182284022</v>
      </c>
      <c r="AF33" s="21">
        <f t="shared" si="8"/>
        <v>0.95790004507381654</v>
      </c>
      <c r="AG33" s="172"/>
    </row>
    <row r="34" spans="1:33" ht="15.75" customHeight="1">
      <c r="A34" s="191" t="s">
        <v>1314</v>
      </c>
      <c r="B34" s="37" t="s">
        <v>100</v>
      </c>
      <c r="C34" s="165" t="s">
        <v>106</v>
      </c>
      <c r="D34" s="165"/>
      <c r="E34" s="37">
        <v>26.2</v>
      </c>
      <c r="F34" s="4">
        <v>4258</v>
      </c>
      <c r="G34" s="4">
        <v>111559.59999999999</v>
      </c>
      <c r="H34" s="22" t="s">
        <v>139</v>
      </c>
      <c r="I34" s="16">
        <v>18</v>
      </c>
      <c r="J34" s="18">
        <v>2400</v>
      </c>
      <c r="K34" s="17">
        <f t="shared" si="0"/>
        <v>133.33333333333334</v>
      </c>
      <c r="L34" s="16">
        <v>18</v>
      </c>
      <c r="M34" s="18">
        <f t="shared" ref="M34:M38" si="22">F34/V34*60</f>
        <v>2301.6216216216217</v>
      </c>
      <c r="N34" s="17">
        <f t="shared" si="2"/>
        <v>127.86786786786787</v>
      </c>
      <c r="O34" s="19">
        <f t="shared" si="3"/>
        <v>0</v>
      </c>
      <c r="P34" s="20">
        <f t="shared" si="4"/>
        <v>-5.4654654654654706</v>
      </c>
      <c r="Q34" s="21">
        <f t="shared" si="5"/>
        <v>0.95900900900900898</v>
      </c>
      <c r="R34" s="172">
        <f>Q39</f>
        <v>0.95527797544933302</v>
      </c>
      <c r="S34" s="28">
        <v>0.125</v>
      </c>
      <c r="T34" s="28">
        <v>0.20208333333333334</v>
      </c>
      <c r="U34" s="4"/>
      <c r="V34" s="22">
        <f t="shared" ref="V34:V38" si="23">(T34-S34)*24*60</f>
        <v>111</v>
      </c>
      <c r="W34" s="28">
        <f>T34</f>
        <v>0.20208333333333334</v>
      </c>
      <c r="X34" s="28">
        <f>S35</f>
        <v>0.22152777777777777</v>
      </c>
      <c r="Y34" s="28"/>
      <c r="Z34" s="28"/>
      <c r="AA34" s="164"/>
      <c r="AB34" s="164"/>
      <c r="AC34" s="25">
        <v>5</v>
      </c>
      <c r="AD34" s="25"/>
      <c r="AE34" s="19">
        <f t="shared" si="7"/>
        <v>-98.378378378378329</v>
      </c>
      <c r="AF34" s="21">
        <f t="shared" si="8"/>
        <v>0.95900900900900898</v>
      </c>
      <c r="AG34" s="172">
        <f>AF39</f>
        <v>0.95527797544933302</v>
      </c>
    </row>
    <row r="35" spans="1:33" ht="15.75" customHeight="1">
      <c r="A35" s="191" t="s">
        <v>64</v>
      </c>
      <c r="B35" s="37" t="s">
        <v>100</v>
      </c>
      <c r="C35" s="165" t="s">
        <v>107</v>
      </c>
      <c r="D35" s="165"/>
      <c r="E35" s="37">
        <v>26.18</v>
      </c>
      <c r="F35" s="4">
        <v>1260</v>
      </c>
      <c r="G35" s="4">
        <v>32986.800000000003</v>
      </c>
      <c r="H35" s="22" t="s">
        <v>139</v>
      </c>
      <c r="I35" s="16">
        <v>19</v>
      </c>
      <c r="J35" s="18">
        <v>2400</v>
      </c>
      <c r="K35" s="17">
        <f t="shared" si="0"/>
        <v>126.31578947368421</v>
      </c>
      <c r="L35" s="16">
        <v>19</v>
      </c>
      <c r="M35" s="18">
        <f t="shared" si="22"/>
        <v>2290.909090909091</v>
      </c>
      <c r="N35" s="17">
        <f t="shared" si="2"/>
        <v>120.57416267942584</v>
      </c>
      <c r="O35" s="19">
        <f t="shared" si="3"/>
        <v>0</v>
      </c>
      <c r="P35" s="20">
        <f t="shared" si="4"/>
        <v>-5.7416267942583659</v>
      </c>
      <c r="Q35" s="21">
        <f t="shared" si="5"/>
        <v>0.95454545454545459</v>
      </c>
      <c r="R35" s="172"/>
      <c r="S35" s="28">
        <v>0.22152777777777777</v>
      </c>
      <c r="T35" s="28">
        <v>0.24444444444444444</v>
      </c>
      <c r="U35" s="4">
        <f t="shared" ref="U35:U38" si="24">(S35-T34)*24*60</f>
        <v>27.999999999999979</v>
      </c>
      <c r="V35" s="22">
        <f t="shared" si="23"/>
        <v>33</v>
      </c>
      <c r="W35" s="4"/>
      <c r="X35" s="4"/>
      <c r="Y35" s="4"/>
      <c r="Z35" s="4"/>
      <c r="AA35" s="164"/>
      <c r="AB35" s="164"/>
      <c r="AC35" s="25"/>
      <c r="AD35" s="25"/>
      <c r="AE35" s="19">
        <f t="shared" si="7"/>
        <v>-109.09090909090901</v>
      </c>
      <c r="AF35" s="21">
        <f t="shared" si="8"/>
        <v>0.95454545454545459</v>
      </c>
      <c r="AG35" s="172"/>
    </row>
    <row r="36" spans="1:33">
      <c r="A36" s="192" t="s">
        <v>64</v>
      </c>
      <c r="B36" s="37" t="s">
        <v>100</v>
      </c>
      <c r="C36" s="165" t="s">
        <v>108</v>
      </c>
      <c r="D36" s="165"/>
      <c r="E36" s="37">
        <v>26.39</v>
      </c>
      <c r="F36" s="4">
        <v>4168</v>
      </c>
      <c r="G36" s="4">
        <v>109993.52</v>
      </c>
      <c r="H36" s="22" t="s">
        <v>139</v>
      </c>
      <c r="I36" s="16">
        <v>19</v>
      </c>
      <c r="J36" s="18">
        <v>2400</v>
      </c>
      <c r="K36" s="17">
        <f t="shared" si="0"/>
        <v>126.31578947368421</v>
      </c>
      <c r="L36" s="16">
        <v>19</v>
      </c>
      <c r="M36" s="18">
        <f t="shared" si="22"/>
        <v>2294.3119266055051</v>
      </c>
      <c r="N36" s="17">
        <f t="shared" si="2"/>
        <v>120.75325929502658</v>
      </c>
      <c r="O36" s="19">
        <f t="shared" si="3"/>
        <v>0</v>
      </c>
      <c r="P36" s="20">
        <f t="shared" si="4"/>
        <v>-5.5625301786576244</v>
      </c>
      <c r="Q36" s="21">
        <f t="shared" si="5"/>
        <v>0.9559633027522938</v>
      </c>
      <c r="R36" s="172"/>
      <c r="S36" s="28">
        <v>0.24791666666666665</v>
      </c>
      <c r="T36" s="28">
        <v>0.32361111111111107</v>
      </c>
      <c r="U36" s="4">
        <f t="shared" si="24"/>
        <v>4.9999999999999822</v>
      </c>
      <c r="V36" s="22">
        <f t="shared" si="23"/>
        <v>108.99999999999997</v>
      </c>
      <c r="W36" s="4"/>
      <c r="X36" s="4"/>
      <c r="Y36" s="4"/>
      <c r="Z36" s="4"/>
      <c r="AA36" s="164"/>
      <c r="AB36" s="164"/>
      <c r="AC36" s="25"/>
      <c r="AD36" s="25"/>
      <c r="AE36" s="19">
        <f t="shared" si="7"/>
        <v>-105.68807339449495</v>
      </c>
      <c r="AF36" s="21">
        <f t="shared" si="8"/>
        <v>0.9559633027522938</v>
      </c>
      <c r="AG36" s="172"/>
    </row>
    <row r="37" spans="1:33">
      <c r="A37" s="192" t="s">
        <v>64</v>
      </c>
      <c r="B37" s="37" t="s">
        <v>100</v>
      </c>
      <c r="C37" s="165" t="s">
        <v>137</v>
      </c>
      <c r="D37" s="165"/>
      <c r="E37" s="37">
        <v>20.21</v>
      </c>
      <c r="F37" s="4">
        <v>2255</v>
      </c>
      <c r="G37" s="4">
        <v>45573.55</v>
      </c>
      <c r="H37" s="22" t="s">
        <v>139</v>
      </c>
      <c r="I37" s="16">
        <v>16</v>
      </c>
      <c r="J37" s="18">
        <v>2400</v>
      </c>
      <c r="K37" s="17">
        <f t="shared" si="0"/>
        <v>150</v>
      </c>
      <c r="L37" s="16">
        <v>16</v>
      </c>
      <c r="M37" s="18">
        <f t="shared" si="22"/>
        <v>2293.2203389830497</v>
      </c>
      <c r="N37" s="17">
        <f t="shared" si="2"/>
        <v>143.32627118644061</v>
      </c>
      <c r="O37" s="19">
        <f t="shared" si="3"/>
        <v>0</v>
      </c>
      <c r="P37" s="20">
        <f t="shared" si="4"/>
        <v>-6.6737288135593928</v>
      </c>
      <c r="Q37" s="21">
        <f t="shared" si="5"/>
        <v>0.95550847457627075</v>
      </c>
      <c r="R37" s="172"/>
      <c r="S37" s="28">
        <v>0.32777777777777772</v>
      </c>
      <c r="T37" s="28">
        <v>0.36874999999999997</v>
      </c>
      <c r="U37" s="4">
        <f t="shared" si="24"/>
        <v>5.9999999999999787</v>
      </c>
      <c r="V37" s="22">
        <f t="shared" si="23"/>
        <v>59.000000000000028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7"/>
        <v>-106.77966101695029</v>
      </c>
      <c r="AF37" s="21">
        <f t="shared" si="8"/>
        <v>0.95550847457627075</v>
      </c>
      <c r="AG37" s="172"/>
    </row>
    <row r="38" spans="1:33">
      <c r="A38" s="192" t="s">
        <v>1314</v>
      </c>
      <c r="B38" s="37" t="s">
        <v>100</v>
      </c>
      <c r="C38" s="165" t="s">
        <v>134</v>
      </c>
      <c r="D38" s="165"/>
      <c r="E38" s="37">
        <v>20.52</v>
      </c>
      <c r="F38" s="4">
        <v>2093</v>
      </c>
      <c r="G38" s="4">
        <v>42948.36</v>
      </c>
      <c r="H38" s="22" t="s">
        <v>139</v>
      </c>
      <c r="I38" s="16">
        <v>18</v>
      </c>
      <c r="J38" s="18">
        <v>2400</v>
      </c>
      <c r="K38" s="17">
        <f t="shared" si="0"/>
        <v>133.33333333333334</v>
      </c>
      <c r="L38" s="16">
        <v>18</v>
      </c>
      <c r="M38" s="18">
        <f t="shared" si="22"/>
        <v>2283.2727272727284</v>
      </c>
      <c r="N38" s="17">
        <f t="shared" si="2"/>
        <v>126.84848484848492</v>
      </c>
      <c r="O38" s="19">
        <f t="shared" si="3"/>
        <v>0</v>
      </c>
      <c r="P38" s="20">
        <f t="shared" si="4"/>
        <v>-6.4848484848484276</v>
      </c>
      <c r="Q38" s="21">
        <f t="shared" si="5"/>
        <v>0.95136363636363674</v>
      </c>
      <c r="R38" s="172"/>
      <c r="S38" s="28">
        <v>0.37291666666666662</v>
      </c>
      <c r="T38" s="28">
        <v>0.41111111111111104</v>
      </c>
      <c r="U38" s="4">
        <f t="shared" si="24"/>
        <v>5.9999999999999787</v>
      </c>
      <c r="V38" s="22">
        <f t="shared" si="23"/>
        <v>54.999999999999964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7"/>
        <v>-116.72727272727161</v>
      </c>
      <c r="AF38" s="21">
        <f t="shared" si="8"/>
        <v>0.95136363636363686</v>
      </c>
      <c r="AG38" s="172"/>
    </row>
    <row r="39" spans="1:33">
      <c r="A39" s="192" t="s">
        <v>64</v>
      </c>
      <c r="B39" s="17" t="s">
        <v>48</v>
      </c>
      <c r="C39" s="177"/>
      <c r="D39" s="177"/>
      <c r="E39" s="38"/>
      <c r="F39" s="17"/>
      <c r="G39" s="17"/>
      <c r="H39" s="4"/>
      <c r="I39" s="30">
        <v>18</v>
      </c>
      <c r="J39" s="18">
        <v>2400</v>
      </c>
      <c r="K39" s="17">
        <f t="shared" si="0"/>
        <v>133.33333333333334</v>
      </c>
      <c r="L39" s="30">
        <v>18</v>
      </c>
      <c r="M39" s="18">
        <f>AVERAGE(M34:M38)</f>
        <v>2292.6671410783993</v>
      </c>
      <c r="N39" s="17">
        <f t="shared" si="2"/>
        <v>127.37039672657774</v>
      </c>
      <c r="O39" s="19">
        <f t="shared" si="3"/>
        <v>0</v>
      </c>
      <c r="P39" s="20">
        <f t="shared" si="4"/>
        <v>-5.9629366067556049</v>
      </c>
      <c r="Q39" s="21">
        <f t="shared" si="5"/>
        <v>0.95527797544933302</v>
      </c>
      <c r="R39" s="172"/>
      <c r="S39" s="28"/>
      <c r="T39" s="28"/>
      <c r="U39" s="17"/>
      <c r="V39" s="22"/>
      <c r="W39" s="17"/>
      <c r="X39" s="17"/>
      <c r="Y39" s="31">
        <f>SUM(Y34:Y38)</f>
        <v>0</v>
      </c>
      <c r="Z39" s="31">
        <f>SUM(Z34:Z38)</f>
        <v>0</v>
      </c>
      <c r="AA39" s="168"/>
      <c r="AB39" s="168"/>
      <c r="AC39" s="31">
        <v>5</v>
      </c>
      <c r="AD39" s="31">
        <f>SUM(AD34:AD38)</f>
        <v>0</v>
      </c>
      <c r="AE39" s="19">
        <f t="shared" si="7"/>
        <v>-107.33285892160075</v>
      </c>
      <c r="AF39" s="21">
        <f t="shared" si="8"/>
        <v>0.95527797544933302</v>
      </c>
      <c r="AG39" s="172"/>
    </row>
    <row r="40" spans="1:33" ht="15.75" customHeight="1">
      <c r="A40" s="184" t="s">
        <v>1315</v>
      </c>
      <c r="B40" s="37" t="s">
        <v>111</v>
      </c>
      <c r="C40" s="173" t="s">
        <v>403</v>
      </c>
      <c r="D40" s="174"/>
      <c r="E40" s="37">
        <v>34.36</v>
      </c>
      <c r="F40" s="4">
        <v>3090</v>
      </c>
      <c r="G40" s="4">
        <v>106172.4</v>
      </c>
      <c r="H40" s="22" t="s">
        <v>139</v>
      </c>
      <c r="I40" s="16">
        <v>10</v>
      </c>
      <c r="J40" s="18">
        <v>3000</v>
      </c>
      <c r="K40" s="17">
        <f t="shared" si="0"/>
        <v>300</v>
      </c>
      <c r="L40" s="16">
        <v>10</v>
      </c>
      <c r="M40" s="18">
        <f t="shared" ref="M40:M49" si="25">F40/V40*60</f>
        <v>2896.8750000000014</v>
      </c>
      <c r="N40" s="18">
        <f t="shared" si="2"/>
        <v>289.68750000000011</v>
      </c>
      <c r="O40" s="19">
        <f t="shared" si="3"/>
        <v>0</v>
      </c>
      <c r="P40" s="20">
        <f t="shared" si="4"/>
        <v>-10.312499999999886</v>
      </c>
      <c r="Q40" s="21">
        <f t="shared" si="5"/>
        <v>0.9656250000000004</v>
      </c>
      <c r="R40" s="187">
        <f>Q50</f>
        <v>0.96345290364212133</v>
      </c>
      <c r="S40" s="28">
        <v>0.20833333333333334</v>
      </c>
      <c r="T40" s="28">
        <v>0.25277777777777777</v>
      </c>
      <c r="U40" s="28"/>
      <c r="V40" s="22">
        <f t="shared" ref="V40:V49" si="26">(T40-S40)*24*60</f>
        <v>63.999999999999972</v>
      </c>
      <c r="W40" s="23"/>
      <c r="X40" s="23"/>
      <c r="Y40" s="26"/>
      <c r="Z40" s="26"/>
      <c r="AA40" s="175"/>
      <c r="AB40" s="176"/>
      <c r="AC40" s="25">
        <v>10</v>
      </c>
      <c r="AD40" s="25"/>
      <c r="AE40" s="19">
        <f t="shared" si="7"/>
        <v>-103.12499999999864</v>
      </c>
      <c r="AF40" s="21">
        <f t="shared" si="8"/>
        <v>0.9656250000000004</v>
      </c>
      <c r="AG40" s="187">
        <f>AF50</f>
        <v>0.96345290364212122</v>
      </c>
    </row>
    <row r="41" spans="1:33" ht="15.75" customHeight="1">
      <c r="A41" s="185" t="s">
        <v>1315</v>
      </c>
      <c r="B41" s="37" t="s">
        <v>111</v>
      </c>
      <c r="C41" s="173" t="s">
        <v>114</v>
      </c>
      <c r="D41" s="174"/>
      <c r="E41" s="37">
        <v>35.119999999999997</v>
      </c>
      <c r="F41" s="4">
        <v>3000</v>
      </c>
      <c r="G41" s="4">
        <v>105359.99999999999</v>
      </c>
      <c r="H41" s="22">
        <v>2</v>
      </c>
      <c r="I41" s="16">
        <v>10</v>
      </c>
      <c r="J41" s="18">
        <v>3000</v>
      </c>
      <c r="K41" s="17">
        <f t="shared" si="0"/>
        <v>300</v>
      </c>
      <c r="L41" s="16">
        <v>10</v>
      </c>
      <c r="M41" s="18">
        <f t="shared" si="25"/>
        <v>2857.1428571428564</v>
      </c>
      <c r="N41" s="18">
        <f t="shared" si="2"/>
        <v>285.71428571428567</v>
      </c>
      <c r="O41" s="19">
        <f t="shared" si="3"/>
        <v>0</v>
      </c>
      <c r="P41" s="20">
        <f t="shared" si="4"/>
        <v>-14.285714285714334</v>
      </c>
      <c r="Q41" s="21">
        <f t="shared" si="5"/>
        <v>0.95238095238095222</v>
      </c>
      <c r="R41" s="188"/>
      <c r="S41" s="28">
        <v>0.25694444444444442</v>
      </c>
      <c r="T41" s="28">
        <v>0.30069444444444443</v>
      </c>
      <c r="U41" s="4">
        <f t="shared" ref="U41:U49" si="27">(S41-T40)*24*60</f>
        <v>5.9999999999999787</v>
      </c>
      <c r="V41" s="22">
        <f t="shared" si="26"/>
        <v>63.000000000000014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7"/>
        <v>-142.85714285714357</v>
      </c>
      <c r="AF41" s="21">
        <f t="shared" si="8"/>
        <v>0.95238095238095211</v>
      </c>
      <c r="AG41" s="188"/>
    </row>
    <row r="42" spans="1:33" ht="15.75" customHeight="1">
      <c r="A42" s="185" t="s">
        <v>1315</v>
      </c>
      <c r="B42" s="37" t="s">
        <v>111</v>
      </c>
      <c r="C42" s="173" t="s">
        <v>115</v>
      </c>
      <c r="D42" s="174"/>
      <c r="E42" s="37">
        <v>26.78</v>
      </c>
      <c r="F42" s="4">
        <v>2518</v>
      </c>
      <c r="G42" s="4">
        <v>67432.040000000008</v>
      </c>
      <c r="H42" s="22" t="s">
        <v>139</v>
      </c>
      <c r="I42" s="16">
        <v>10</v>
      </c>
      <c r="J42" s="18">
        <v>3000</v>
      </c>
      <c r="K42" s="17">
        <f t="shared" si="0"/>
        <v>300</v>
      </c>
      <c r="L42" s="16">
        <v>10</v>
      </c>
      <c r="M42" s="18">
        <f t="shared" si="25"/>
        <v>2905.3846153846171</v>
      </c>
      <c r="N42" s="18">
        <f t="shared" si="2"/>
        <v>290.53846153846172</v>
      </c>
      <c r="O42" s="19">
        <f t="shared" si="3"/>
        <v>0</v>
      </c>
      <c r="P42" s="20">
        <f t="shared" si="4"/>
        <v>-9.4615384615382823</v>
      </c>
      <c r="Q42" s="21">
        <f t="shared" si="5"/>
        <v>0.96846153846153904</v>
      </c>
      <c r="R42" s="188"/>
      <c r="S42" s="28">
        <v>0.30555555555555552</v>
      </c>
      <c r="T42" s="28">
        <v>0.34166666666666662</v>
      </c>
      <c r="U42" s="4">
        <f t="shared" si="27"/>
        <v>6.9999999999999751</v>
      </c>
      <c r="V42" s="22">
        <f t="shared" si="26"/>
        <v>51.999999999999972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7"/>
        <v>-94.615384615382936</v>
      </c>
      <c r="AF42" s="21">
        <f t="shared" si="8"/>
        <v>0.96846153846153904</v>
      </c>
      <c r="AG42" s="188"/>
    </row>
    <row r="43" spans="1:33" ht="15.75" customHeight="1">
      <c r="A43" s="185" t="s">
        <v>1315</v>
      </c>
      <c r="B43" s="37" t="s">
        <v>111</v>
      </c>
      <c r="C43" s="173" t="s">
        <v>117</v>
      </c>
      <c r="D43" s="174"/>
      <c r="E43" s="37">
        <v>44.03</v>
      </c>
      <c r="F43" s="4">
        <v>1259</v>
      </c>
      <c r="G43" s="4">
        <v>55433.770000000004</v>
      </c>
      <c r="H43" s="22" t="s">
        <v>139</v>
      </c>
      <c r="I43" s="16">
        <v>10</v>
      </c>
      <c r="J43" s="18">
        <v>3000</v>
      </c>
      <c r="K43" s="17">
        <f t="shared" si="0"/>
        <v>300</v>
      </c>
      <c r="L43" s="16">
        <v>10</v>
      </c>
      <c r="M43" s="18">
        <f t="shared" si="25"/>
        <v>2905.3846153846171</v>
      </c>
      <c r="N43" s="18">
        <f t="shared" si="2"/>
        <v>290.53846153846172</v>
      </c>
      <c r="O43" s="19">
        <f t="shared" si="3"/>
        <v>0</v>
      </c>
      <c r="P43" s="20">
        <f t="shared" si="4"/>
        <v>-9.4615384615382823</v>
      </c>
      <c r="Q43" s="21">
        <f t="shared" si="5"/>
        <v>0.96846153846153904</v>
      </c>
      <c r="R43" s="188"/>
      <c r="S43" s="28">
        <v>0.34652777777777771</v>
      </c>
      <c r="T43" s="28">
        <v>0.36458333333333326</v>
      </c>
      <c r="U43" s="4">
        <f t="shared" si="27"/>
        <v>6.9999999999999751</v>
      </c>
      <c r="V43" s="22">
        <f t="shared" si="26"/>
        <v>25.999999999999986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7"/>
        <v>-94.615384615382936</v>
      </c>
      <c r="AF43" s="21">
        <f t="shared" si="8"/>
        <v>0.96846153846153904</v>
      </c>
      <c r="AG43" s="188"/>
    </row>
    <row r="44" spans="1:33" ht="15.75" customHeight="1">
      <c r="A44" s="185" t="s">
        <v>1315</v>
      </c>
      <c r="B44" s="37" t="s">
        <v>111</v>
      </c>
      <c r="C44" s="173" t="s">
        <v>113</v>
      </c>
      <c r="D44" s="174"/>
      <c r="E44" s="37">
        <v>27.17</v>
      </c>
      <c r="F44" s="4">
        <v>3650</v>
      </c>
      <c r="G44" s="4">
        <v>99170.5</v>
      </c>
      <c r="H44" s="22">
        <v>2</v>
      </c>
      <c r="I44" s="16">
        <v>10</v>
      </c>
      <c r="J44" s="18">
        <v>3000</v>
      </c>
      <c r="K44" s="17">
        <f t="shared" si="0"/>
        <v>300</v>
      </c>
      <c r="L44" s="16">
        <v>10</v>
      </c>
      <c r="M44" s="18">
        <f t="shared" si="25"/>
        <v>2881.5789473684217</v>
      </c>
      <c r="N44" s="18">
        <f t="shared" si="2"/>
        <v>288.1578947368422</v>
      </c>
      <c r="O44" s="19">
        <f t="shared" si="3"/>
        <v>0</v>
      </c>
      <c r="P44" s="20">
        <f t="shared" si="4"/>
        <v>-11.842105263157805</v>
      </c>
      <c r="Q44" s="21">
        <f t="shared" si="5"/>
        <v>0.96052631578947401</v>
      </c>
      <c r="R44" s="188"/>
      <c r="S44" s="28">
        <v>0.3701388888888888</v>
      </c>
      <c r="T44" s="28">
        <v>0.42291666666666655</v>
      </c>
      <c r="U44" s="4">
        <f t="shared" si="27"/>
        <v>7.9999999999999716</v>
      </c>
      <c r="V44" s="22">
        <f t="shared" si="26"/>
        <v>75.999999999999972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7"/>
        <v>-118.42105263157828</v>
      </c>
      <c r="AF44" s="21">
        <f t="shared" si="8"/>
        <v>0.96052631578947389</v>
      </c>
      <c r="AG44" s="188"/>
    </row>
    <row r="45" spans="1:33" ht="15.75" customHeight="1">
      <c r="A45" s="185" t="s">
        <v>1315</v>
      </c>
      <c r="B45" s="37" t="s">
        <v>111</v>
      </c>
      <c r="C45" s="173" t="s">
        <v>112</v>
      </c>
      <c r="D45" s="174"/>
      <c r="E45" s="37">
        <v>21.13</v>
      </c>
      <c r="F45" s="4">
        <v>2800</v>
      </c>
      <c r="G45" s="4">
        <v>59164</v>
      </c>
      <c r="H45" s="22">
        <v>2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2896.5517241379293</v>
      </c>
      <c r="N45" s="18">
        <f t="shared" si="2"/>
        <v>289.65517241379291</v>
      </c>
      <c r="O45" s="19">
        <f t="shared" si="3"/>
        <v>0</v>
      </c>
      <c r="P45" s="20">
        <f t="shared" si="4"/>
        <v>-10.344827586207089</v>
      </c>
      <c r="Q45" s="21">
        <f t="shared" si="5"/>
        <v>0.96551724137930972</v>
      </c>
      <c r="R45" s="188"/>
      <c r="S45" s="28">
        <v>0.42777777777777765</v>
      </c>
      <c r="T45" s="28">
        <v>0.46805555555555545</v>
      </c>
      <c r="U45" s="4">
        <f t="shared" si="27"/>
        <v>6.9999999999999751</v>
      </c>
      <c r="V45" s="22">
        <f t="shared" si="26"/>
        <v>58.000000000000036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7"/>
        <v>-103.44827586207066</v>
      </c>
      <c r="AF45" s="21">
        <f t="shared" si="8"/>
        <v>0.96551724137930983</v>
      </c>
      <c r="AG45" s="188"/>
    </row>
    <row r="46" spans="1:33" ht="15.75" customHeight="1">
      <c r="A46" s="185" t="s">
        <v>1315</v>
      </c>
      <c r="B46" s="37" t="s">
        <v>111</v>
      </c>
      <c r="C46" s="173" t="s">
        <v>116</v>
      </c>
      <c r="D46" s="174"/>
      <c r="E46" s="37">
        <v>35.869999999999997</v>
      </c>
      <c r="F46" s="4">
        <v>3568</v>
      </c>
      <c r="G46" s="4">
        <v>127984.15999999999</v>
      </c>
      <c r="H46" s="22" t="s">
        <v>139</v>
      </c>
      <c r="I46" s="16">
        <v>9</v>
      </c>
      <c r="J46" s="18">
        <v>3000</v>
      </c>
      <c r="K46" s="17">
        <f t="shared" si="0"/>
        <v>333.33333333333331</v>
      </c>
      <c r="L46" s="16">
        <v>9</v>
      </c>
      <c r="M46" s="18">
        <f t="shared" si="25"/>
        <v>2854.3999999999978</v>
      </c>
      <c r="N46" s="18">
        <f t="shared" si="2"/>
        <v>317.15555555555534</v>
      </c>
      <c r="O46" s="19">
        <f t="shared" si="3"/>
        <v>0</v>
      </c>
      <c r="P46" s="20">
        <f t="shared" si="4"/>
        <v>-16.177777777777976</v>
      </c>
      <c r="Q46" s="21">
        <f t="shared" si="5"/>
        <v>0.95146666666666602</v>
      </c>
      <c r="R46" s="188"/>
      <c r="S46" s="28">
        <v>0.47361111111111098</v>
      </c>
      <c r="T46" s="28">
        <v>0.52569444444444435</v>
      </c>
      <c r="U46" s="4">
        <f t="shared" si="27"/>
        <v>7.9999999999999716</v>
      </c>
      <c r="V46" s="22">
        <f t="shared" si="26"/>
        <v>75.000000000000057</v>
      </c>
      <c r="W46" s="23">
        <f>T46</f>
        <v>0.52569444444444435</v>
      </c>
      <c r="X46" s="23">
        <f>S47</f>
        <v>0.56388888888888877</v>
      </c>
      <c r="Y46" s="26"/>
      <c r="Z46" s="26"/>
      <c r="AA46" s="175"/>
      <c r="AB46" s="176"/>
      <c r="AC46" s="25"/>
      <c r="AD46" s="25"/>
      <c r="AE46" s="19">
        <f t="shared" si="7"/>
        <v>-145.60000000000218</v>
      </c>
      <c r="AF46" s="21">
        <f t="shared" si="8"/>
        <v>0.95146666666666591</v>
      </c>
      <c r="AG46" s="188"/>
    </row>
    <row r="47" spans="1:33" ht="15.75" customHeight="1">
      <c r="A47" s="185" t="s">
        <v>1315</v>
      </c>
      <c r="B47" s="37" t="s">
        <v>111</v>
      </c>
      <c r="C47" s="173" t="s">
        <v>113</v>
      </c>
      <c r="D47" s="174"/>
      <c r="E47" s="37">
        <v>27.17</v>
      </c>
      <c r="F47" s="4">
        <v>2123</v>
      </c>
      <c r="G47" s="4">
        <v>57681.91</v>
      </c>
      <c r="H47" s="22" t="s">
        <v>139</v>
      </c>
      <c r="I47" s="16">
        <v>10</v>
      </c>
      <c r="J47" s="18">
        <v>3000</v>
      </c>
      <c r="K47" s="17">
        <f t="shared" si="0"/>
        <v>300</v>
      </c>
      <c r="L47" s="16">
        <v>10</v>
      </c>
      <c r="M47" s="18">
        <f t="shared" si="25"/>
        <v>2895</v>
      </c>
      <c r="N47" s="18">
        <f t="shared" si="2"/>
        <v>289.5</v>
      </c>
      <c r="O47" s="19">
        <f t="shared" si="3"/>
        <v>0</v>
      </c>
      <c r="P47" s="20">
        <f t="shared" si="4"/>
        <v>-10.5</v>
      </c>
      <c r="Q47" s="21">
        <f t="shared" si="5"/>
        <v>0.96499999999999997</v>
      </c>
      <c r="R47" s="188"/>
      <c r="S47" s="28">
        <v>0.56388888888888877</v>
      </c>
      <c r="T47" s="28">
        <v>0.59444444444444433</v>
      </c>
      <c r="U47" s="4">
        <f t="shared" si="27"/>
        <v>54.999999999999964</v>
      </c>
      <c r="V47" s="22">
        <f t="shared" si="26"/>
        <v>44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7"/>
        <v>-105</v>
      </c>
      <c r="AF47" s="21">
        <f t="shared" si="8"/>
        <v>0.96499999999999997</v>
      </c>
      <c r="AG47" s="188"/>
    </row>
    <row r="48" spans="1:33" ht="15.75" customHeight="1">
      <c r="A48" s="185" t="s">
        <v>1315</v>
      </c>
      <c r="B48" s="37" t="s">
        <v>111</v>
      </c>
      <c r="C48" s="173" t="s">
        <v>114</v>
      </c>
      <c r="D48" s="174"/>
      <c r="E48" s="37">
        <v>35.119999999999997</v>
      </c>
      <c r="F48" s="4">
        <v>1833</v>
      </c>
      <c r="G48" s="4">
        <v>64374.959999999992</v>
      </c>
      <c r="H48" s="22" t="s">
        <v>139</v>
      </c>
      <c r="I48" s="16">
        <v>10</v>
      </c>
      <c r="J48" s="18">
        <v>3000</v>
      </c>
      <c r="K48" s="17">
        <f t="shared" si="0"/>
        <v>300</v>
      </c>
      <c r="L48" s="16">
        <v>10</v>
      </c>
      <c r="M48" s="18">
        <f t="shared" si="25"/>
        <v>2894.2105263157873</v>
      </c>
      <c r="N48" s="18">
        <f t="shared" si="2"/>
        <v>289.42105263157873</v>
      </c>
      <c r="O48" s="19">
        <f t="shared" si="3"/>
        <v>0</v>
      </c>
      <c r="P48" s="20">
        <f t="shared" si="4"/>
        <v>-10.578947368421268</v>
      </c>
      <c r="Q48" s="21">
        <f t="shared" si="5"/>
        <v>0.96473684210526245</v>
      </c>
      <c r="R48" s="188"/>
      <c r="S48" s="28">
        <v>0.59791666666666654</v>
      </c>
      <c r="T48" s="28">
        <v>0.62430555555555545</v>
      </c>
      <c r="U48" s="4">
        <f t="shared" si="27"/>
        <v>4.9999999999999822</v>
      </c>
      <c r="V48" s="22">
        <f t="shared" si="26"/>
        <v>38.000000000000028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7"/>
        <v>-105.78947368421268</v>
      </c>
      <c r="AF48" s="21">
        <f t="shared" si="8"/>
        <v>0.96473684210526245</v>
      </c>
      <c r="AG48" s="188"/>
    </row>
    <row r="49" spans="1:33" ht="15.75" customHeight="1">
      <c r="A49" s="185" t="s">
        <v>1315</v>
      </c>
      <c r="B49" s="37" t="s">
        <v>111</v>
      </c>
      <c r="C49" s="173" t="s">
        <v>112</v>
      </c>
      <c r="D49" s="174"/>
      <c r="E49" s="37">
        <v>21.13</v>
      </c>
      <c r="F49" s="4">
        <v>1653</v>
      </c>
      <c r="G49" s="4">
        <v>34927.89</v>
      </c>
      <c r="H49" s="22" t="s">
        <v>139</v>
      </c>
      <c r="I49" s="16">
        <v>10</v>
      </c>
      <c r="J49" s="18">
        <v>3000</v>
      </c>
      <c r="K49" s="17">
        <f t="shared" si="0"/>
        <v>300</v>
      </c>
      <c r="L49" s="16">
        <v>10</v>
      </c>
      <c r="M49" s="18">
        <f t="shared" si="25"/>
        <v>2917.0588235294081</v>
      </c>
      <c r="N49" s="18">
        <f t="shared" si="2"/>
        <v>291.70588235294082</v>
      </c>
      <c r="O49" s="19">
        <f t="shared" si="3"/>
        <v>0</v>
      </c>
      <c r="P49" s="20">
        <f t="shared" si="4"/>
        <v>-8.2941176470591813</v>
      </c>
      <c r="Q49" s="21">
        <f t="shared" si="5"/>
        <v>0.97235294117646942</v>
      </c>
      <c r="R49" s="188"/>
      <c r="S49" s="28">
        <v>0.62777777777777766</v>
      </c>
      <c r="T49" s="28">
        <v>0.6513888888888888</v>
      </c>
      <c r="U49" s="4">
        <f t="shared" si="27"/>
        <v>4.9999999999999822</v>
      </c>
      <c r="V49" s="22">
        <f t="shared" si="26"/>
        <v>34.000000000000043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7"/>
        <v>-82.941176470591927</v>
      </c>
      <c r="AF49" s="21">
        <f t="shared" si="8"/>
        <v>0.97235294117646931</v>
      </c>
      <c r="AG49" s="188"/>
    </row>
    <row r="50" spans="1:33" ht="15.75" customHeight="1">
      <c r="A50" s="186" t="s">
        <v>1315</v>
      </c>
      <c r="B50" s="37" t="s">
        <v>1308</v>
      </c>
      <c r="C50" s="166"/>
      <c r="D50" s="167"/>
      <c r="E50" s="41"/>
      <c r="F50" s="4"/>
      <c r="G50" s="4"/>
      <c r="H50" s="4"/>
      <c r="I50" s="30">
        <v>9.9</v>
      </c>
      <c r="J50" s="18">
        <v>3000</v>
      </c>
      <c r="K50" s="17">
        <f t="shared" si="0"/>
        <v>303.030303030303</v>
      </c>
      <c r="L50" s="30">
        <v>9.9</v>
      </c>
      <c r="M50" s="18">
        <f>AVERAGE(M40:M49)</f>
        <v>2890.3587109263635</v>
      </c>
      <c r="N50" s="17">
        <f t="shared" si="2"/>
        <v>291.95542534609734</v>
      </c>
      <c r="O50" s="19">
        <f t="shared" si="3"/>
        <v>0</v>
      </c>
      <c r="P50" s="20">
        <f t="shared" si="4"/>
        <v>-11.07487768420566</v>
      </c>
      <c r="Q50" s="21">
        <f t="shared" si="5"/>
        <v>0.96345290364212133</v>
      </c>
      <c r="R50" s="189"/>
      <c r="S50" s="28"/>
      <c r="T50" s="28"/>
      <c r="U50" s="4"/>
      <c r="V50" s="22"/>
      <c r="W50" s="23"/>
      <c r="X50" s="23"/>
      <c r="Y50" s="31">
        <f>SUM(Y40:Y49)</f>
        <v>0</v>
      </c>
      <c r="Z50" s="31">
        <f>SUM(Z40:Z49)</f>
        <v>0</v>
      </c>
      <c r="AA50" s="180"/>
      <c r="AB50" s="181"/>
      <c r="AC50" s="31">
        <v>10</v>
      </c>
      <c r="AD50" s="31">
        <f>SUM(AD40:AD49)</f>
        <v>0</v>
      </c>
      <c r="AE50" s="19">
        <f t="shared" si="7"/>
        <v>-109.64128907363647</v>
      </c>
      <c r="AF50" s="21">
        <f t="shared" si="8"/>
        <v>0.96345290364212122</v>
      </c>
      <c r="AG50" s="189"/>
    </row>
    <row r="51" spans="1:33" ht="15.75" customHeight="1">
      <c r="A51" s="182" t="s">
        <v>1316</v>
      </c>
      <c r="B51" s="37" t="s">
        <v>84</v>
      </c>
      <c r="C51" s="165" t="s">
        <v>118</v>
      </c>
      <c r="D51" s="165"/>
      <c r="E51" s="37">
        <v>46</v>
      </c>
      <c r="F51" s="42">
        <v>1183</v>
      </c>
      <c r="G51" s="4">
        <v>54418</v>
      </c>
      <c r="H51" s="22" t="s">
        <v>139</v>
      </c>
      <c r="I51" s="16">
        <v>17</v>
      </c>
      <c r="J51" s="18">
        <v>2000</v>
      </c>
      <c r="K51" s="17">
        <f t="shared" si="0"/>
        <v>117.64705882352941</v>
      </c>
      <c r="L51" s="16">
        <v>17</v>
      </c>
      <c r="M51" s="18">
        <f t="shared" ref="M51:M59" si="28">F51/V51*60</f>
        <v>1918.3783783783792</v>
      </c>
      <c r="N51" s="18">
        <f t="shared" si="2"/>
        <v>112.84578696343408</v>
      </c>
      <c r="O51" s="19">
        <f t="shared" si="3"/>
        <v>0</v>
      </c>
      <c r="P51" s="20">
        <f t="shared" si="4"/>
        <v>-4.8012718600953264</v>
      </c>
      <c r="Q51" s="21">
        <f t="shared" si="5"/>
        <v>0.95918918918918972</v>
      </c>
      <c r="R51" s="172">
        <f>Q60</f>
        <v>0.93517731648957236</v>
      </c>
      <c r="S51" s="28">
        <v>0.20833333333333334</v>
      </c>
      <c r="T51" s="28">
        <v>0.23402777777777778</v>
      </c>
      <c r="U51" s="28"/>
      <c r="V51" s="22">
        <f t="shared" ref="V51:V59" si="29">(T51-S51)*24*60</f>
        <v>36.999999999999986</v>
      </c>
      <c r="W51" s="28"/>
      <c r="X51" s="28"/>
      <c r="Y51" s="28"/>
      <c r="Z51" s="28"/>
      <c r="AA51" s="164"/>
      <c r="AB51" s="164"/>
      <c r="AC51" s="25">
        <v>9</v>
      </c>
      <c r="AD51" s="25"/>
      <c r="AE51" s="19">
        <f t="shared" si="7"/>
        <v>-81.621621621620761</v>
      </c>
      <c r="AF51" s="21">
        <f t="shared" si="8"/>
        <v>0.95918918918918961</v>
      </c>
      <c r="AG51" s="172">
        <f>AF60</f>
        <v>0.93517731648957247</v>
      </c>
    </row>
    <row r="52" spans="1:33" ht="15.75" customHeight="1">
      <c r="A52" s="182" t="s">
        <v>70</v>
      </c>
      <c r="B52" s="37" t="s">
        <v>84</v>
      </c>
      <c r="C52" s="165" t="s">
        <v>119</v>
      </c>
      <c r="D52" s="165"/>
      <c r="E52" s="37">
        <v>46</v>
      </c>
      <c r="F52" s="42">
        <v>1326</v>
      </c>
      <c r="G52" s="4">
        <v>60996</v>
      </c>
      <c r="H52" s="22" t="s">
        <v>139</v>
      </c>
      <c r="I52" s="16">
        <v>17</v>
      </c>
      <c r="J52" s="18">
        <v>2000</v>
      </c>
      <c r="K52" s="17">
        <f t="shared" si="0"/>
        <v>117.64705882352941</v>
      </c>
      <c r="L52" s="16">
        <v>17</v>
      </c>
      <c r="M52" s="18">
        <f t="shared" si="28"/>
        <v>1940.4878048780481</v>
      </c>
      <c r="N52" s="18">
        <f t="shared" si="2"/>
        <v>114.1463414634146</v>
      </c>
      <c r="O52" s="19">
        <f t="shared" si="3"/>
        <v>0</v>
      </c>
      <c r="P52" s="20">
        <f t="shared" si="4"/>
        <v>-3.5007173601148054</v>
      </c>
      <c r="Q52" s="21">
        <f t="shared" si="5"/>
        <v>0.97024390243902414</v>
      </c>
      <c r="R52" s="172"/>
      <c r="S52" s="28">
        <v>0.23749999999999999</v>
      </c>
      <c r="T52" s="28">
        <v>0.26597222222222222</v>
      </c>
      <c r="U52" s="4">
        <f t="shared" ref="U52:U59" si="30">IF(S52=TIME(17,0,0),"",(S52-T51)*24*60)</f>
        <v>4.9999999999999822</v>
      </c>
      <c r="V52" s="22">
        <f t="shared" si="29"/>
        <v>41.000000000000014</v>
      </c>
      <c r="W52" s="23"/>
      <c r="X52" s="23"/>
      <c r="Y52" s="23"/>
      <c r="Z52" s="23"/>
      <c r="AA52" s="164"/>
      <c r="AB52" s="164"/>
      <c r="AC52" s="25"/>
      <c r="AD52" s="25"/>
      <c r="AE52" s="19">
        <f t="shared" si="7"/>
        <v>-59.512195121951891</v>
      </c>
      <c r="AF52" s="21">
        <f t="shared" si="8"/>
        <v>0.97024390243902403</v>
      </c>
      <c r="AG52" s="172"/>
    </row>
    <row r="53" spans="1:33" ht="15.75" customHeight="1">
      <c r="A53" s="182" t="s">
        <v>70</v>
      </c>
      <c r="B53" s="37" t="s">
        <v>78</v>
      </c>
      <c r="C53" s="173" t="s">
        <v>120</v>
      </c>
      <c r="D53" s="174"/>
      <c r="E53" s="37">
        <v>56.43</v>
      </c>
      <c r="F53" s="42">
        <v>1729</v>
      </c>
      <c r="G53" s="4">
        <v>97567.47</v>
      </c>
      <c r="H53" s="22" t="s">
        <v>139</v>
      </c>
      <c r="I53" s="16">
        <v>22</v>
      </c>
      <c r="J53" s="18">
        <v>2000</v>
      </c>
      <c r="K53" s="17">
        <f t="shared" si="0"/>
        <v>90.909090909090907</v>
      </c>
      <c r="L53" s="16">
        <v>22</v>
      </c>
      <c r="M53" s="18">
        <f t="shared" si="28"/>
        <v>1788.6206896551714</v>
      </c>
      <c r="N53" s="18">
        <f t="shared" si="2"/>
        <v>81.300940438871422</v>
      </c>
      <c r="O53" s="19">
        <f t="shared" si="3"/>
        <v>0</v>
      </c>
      <c r="P53" s="20">
        <f t="shared" si="4"/>
        <v>-9.6081504702194849</v>
      </c>
      <c r="Q53" s="21">
        <f t="shared" si="5"/>
        <v>0.89431034482758565</v>
      </c>
      <c r="R53" s="172"/>
      <c r="S53" s="28">
        <v>0.26944444444444443</v>
      </c>
      <c r="T53" s="28">
        <v>0.30972222222222223</v>
      </c>
      <c r="U53" s="4">
        <f t="shared" si="30"/>
        <v>4.9999999999999822</v>
      </c>
      <c r="V53" s="22">
        <f t="shared" si="29"/>
        <v>58.000000000000036</v>
      </c>
      <c r="W53" s="23"/>
      <c r="X53" s="23"/>
      <c r="Y53" s="26"/>
      <c r="Z53" s="26"/>
      <c r="AA53" s="164"/>
      <c r="AB53" s="164"/>
      <c r="AC53" s="25"/>
      <c r="AD53" s="25"/>
      <c r="AE53" s="19">
        <f t="shared" si="7"/>
        <v>-211.37931034482858</v>
      </c>
      <c r="AF53" s="21">
        <f t="shared" si="8"/>
        <v>0.89431034482758576</v>
      </c>
      <c r="AG53" s="172"/>
    </row>
    <row r="54" spans="1:33" ht="15.75" customHeight="1">
      <c r="A54" s="182" t="s">
        <v>70</v>
      </c>
      <c r="B54" s="37" t="s">
        <v>78</v>
      </c>
      <c r="C54" s="43" t="s">
        <v>121</v>
      </c>
      <c r="D54" s="44"/>
      <c r="E54" s="37">
        <v>51.75</v>
      </c>
      <c r="F54" s="42">
        <v>1587</v>
      </c>
      <c r="G54" s="4">
        <v>82127.25</v>
      </c>
      <c r="H54" s="22" t="s">
        <v>139</v>
      </c>
      <c r="I54" s="16">
        <v>25</v>
      </c>
      <c r="J54" s="18">
        <v>2000</v>
      </c>
      <c r="K54" s="17">
        <f t="shared" si="0"/>
        <v>80</v>
      </c>
      <c r="L54" s="16">
        <v>25</v>
      </c>
      <c r="M54" s="18">
        <f t="shared" si="28"/>
        <v>1670.5263157894749</v>
      </c>
      <c r="N54" s="18">
        <f t="shared" si="2"/>
        <v>66.821052631578993</v>
      </c>
      <c r="O54" s="19">
        <f t="shared" si="3"/>
        <v>0</v>
      </c>
      <c r="P54" s="20">
        <f t="shared" si="4"/>
        <v>-13.178947368421007</v>
      </c>
      <c r="Q54" s="21">
        <f t="shared" si="5"/>
        <v>0.83526315789473737</v>
      </c>
      <c r="R54" s="172"/>
      <c r="S54" s="28">
        <v>0.31388888888888888</v>
      </c>
      <c r="T54" s="28">
        <v>0.35347222222222219</v>
      </c>
      <c r="U54" s="4">
        <f t="shared" si="30"/>
        <v>5.9999999999999787</v>
      </c>
      <c r="V54" s="22">
        <f t="shared" si="29"/>
        <v>56.999999999999957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7"/>
        <v>-329.47368421052511</v>
      </c>
      <c r="AF54" s="21">
        <f t="shared" si="8"/>
        <v>0.83526315789473748</v>
      </c>
      <c r="AG54" s="172"/>
    </row>
    <row r="55" spans="1:33" ht="15.75" customHeight="1">
      <c r="A55" s="182" t="s">
        <v>1316</v>
      </c>
      <c r="B55" s="37" t="s">
        <v>78</v>
      </c>
      <c r="C55" s="43" t="s">
        <v>122</v>
      </c>
      <c r="D55" s="44"/>
      <c r="E55" s="37">
        <v>54.09</v>
      </c>
      <c r="F55" s="42">
        <v>1375</v>
      </c>
      <c r="G55" s="4">
        <v>74373.75</v>
      </c>
      <c r="H55" s="22" t="s">
        <v>139</v>
      </c>
      <c r="I55" s="16">
        <v>19</v>
      </c>
      <c r="J55" s="18">
        <v>2000</v>
      </c>
      <c r="K55" s="17">
        <f t="shared" si="0"/>
        <v>105.26315789473684</v>
      </c>
      <c r="L55" s="16">
        <v>19</v>
      </c>
      <c r="M55" s="18">
        <f t="shared" si="28"/>
        <v>1833.3333333333335</v>
      </c>
      <c r="N55" s="18">
        <f t="shared" si="2"/>
        <v>96.491228070175453</v>
      </c>
      <c r="O55" s="19">
        <f t="shared" si="3"/>
        <v>0</v>
      </c>
      <c r="P55" s="20">
        <f t="shared" si="4"/>
        <v>-8.7719298245613828</v>
      </c>
      <c r="Q55" s="21">
        <f t="shared" si="5"/>
        <v>0.91666666666666685</v>
      </c>
      <c r="R55" s="172"/>
      <c r="S55" s="28">
        <v>0.3569444444444444</v>
      </c>
      <c r="T55" s="28">
        <v>0.3881944444444444</v>
      </c>
      <c r="U55" s="4">
        <f t="shared" si="30"/>
        <v>4.9999999999999822</v>
      </c>
      <c r="V55" s="22">
        <f t="shared" si="29"/>
        <v>45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7"/>
        <v>-166.66666666666652</v>
      </c>
      <c r="AF55" s="21">
        <f t="shared" si="8"/>
        <v>0.91666666666666674</v>
      </c>
      <c r="AG55" s="172"/>
    </row>
    <row r="56" spans="1:33" ht="15.75" customHeight="1">
      <c r="A56" s="182" t="s">
        <v>1316</v>
      </c>
      <c r="B56" s="37" t="s">
        <v>78</v>
      </c>
      <c r="C56" s="173" t="s">
        <v>123</v>
      </c>
      <c r="D56" s="174"/>
      <c r="E56" s="37">
        <v>55.56</v>
      </c>
      <c r="F56" s="42">
        <v>1752</v>
      </c>
      <c r="G56" s="4">
        <v>97341.12000000001</v>
      </c>
      <c r="H56" s="22" t="s">
        <v>139</v>
      </c>
      <c r="I56" s="16">
        <v>17</v>
      </c>
      <c r="J56" s="18">
        <v>2000</v>
      </c>
      <c r="K56" s="17">
        <f t="shared" si="0"/>
        <v>117.64705882352941</v>
      </c>
      <c r="L56" s="16">
        <v>17</v>
      </c>
      <c r="M56" s="18">
        <f t="shared" si="28"/>
        <v>1911.2727272727286</v>
      </c>
      <c r="N56" s="18">
        <f t="shared" si="2"/>
        <v>112.4278074866311</v>
      </c>
      <c r="O56" s="19">
        <f t="shared" si="3"/>
        <v>0</v>
      </c>
      <c r="P56" s="20">
        <f t="shared" si="4"/>
        <v>-5.21925133689831</v>
      </c>
      <c r="Q56" s="21">
        <f t="shared" si="5"/>
        <v>0.95563636363636439</v>
      </c>
      <c r="R56" s="172"/>
      <c r="S56" s="28">
        <v>0.70833333333333337</v>
      </c>
      <c r="T56" s="28">
        <v>0.74652777777777779</v>
      </c>
      <c r="U56" s="4" t="str">
        <f t="shared" si="30"/>
        <v/>
      </c>
      <c r="V56" s="22">
        <f t="shared" si="29"/>
        <v>54.999999999999964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7"/>
        <v>-88.727272727271384</v>
      </c>
      <c r="AF56" s="21">
        <f t="shared" si="8"/>
        <v>0.95563636363636428</v>
      </c>
      <c r="AG56" s="172"/>
    </row>
    <row r="57" spans="1:33" ht="15.75" customHeight="1">
      <c r="A57" s="182" t="s">
        <v>1316</v>
      </c>
      <c r="B57" s="37" t="s">
        <v>78</v>
      </c>
      <c r="C57" s="173" t="s">
        <v>124</v>
      </c>
      <c r="D57" s="174"/>
      <c r="E57" s="37">
        <v>55.32</v>
      </c>
      <c r="F57" s="42">
        <v>1169</v>
      </c>
      <c r="G57" s="4">
        <v>64669.08</v>
      </c>
      <c r="H57" s="22" t="s">
        <v>139</v>
      </c>
      <c r="I57" s="16">
        <v>15</v>
      </c>
      <c r="J57" s="18">
        <v>2000</v>
      </c>
      <c r="K57" s="17">
        <f t="shared" si="0"/>
        <v>133.33333333333334</v>
      </c>
      <c r="L57" s="16">
        <v>15</v>
      </c>
      <c r="M57" s="18">
        <f t="shared" si="28"/>
        <v>1948.3333333333321</v>
      </c>
      <c r="N57" s="18">
        <f t="shared" si="2"/>
        <v>129.8888888888888</v>
      </c>
      <c r="O57" s="19">
        <f t="shared" si="3"/>
        <v>0</v>
      </c>
      <c r="P57" s="20">
        <f t="shared" si="4"/>
        <v>-3.4444444444445423</v>
      </c>
      <c r="Q57" s="21">
        <f t="shared" si="5"/>
        <v>0.97416666666666596</v>
      </c>
      <c r="R57" s="172"/>
      <c r="S57" s="28">
        <v>0.75</v>
      </c>
      <c r="T57" s="28">
        <v>0.77500000000000002</v>
      </c>
      <c r="U57" s="4">
        <f t="shared" si="30"/>
        <v>4.9999999999999822</v>
      </c>
      <c r="V57" s="22">
        <f t="shared" si="29"/>
        <v>36.000000000000028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7"/>
        <v>-51.666666666667879</v>
      </c>
      <c r="AF57" s="21">
        <f t="shared" si="8"/>
        <v>0.97416666666666607</v>
      </c>
      <c r="AG57" s="172"/>
    </row>
    <row r="58" spans="1:33" ht="15.75" customHeight="1">
      <c r="A58" s="182" t="s">
        <v>1316</v>
      </c>
      <c r="B58" s="37" t="s">
        <v>78</v>
      </c>
      <c r="C58" s="173" t="s">
        <v>125</v>
      </c>
      <c r="D58" s="174"/>
      <c r="E58" s="37">
        <v>54.29</v>
      </c>
      <c r="F58" s="42">
        <v>1511</v>
      </c>
      <c r="G58" s="4">
        <v>82032.19</v>
      </c>
      <c r="H58" s="22" t="s">
        <v>139</v>
      </c>
      <c r="I58" s="16">
        <v>20</v>
      </c>
      <c r="J58" s="18">
        <v>2000</v>
      </c>
      <c r="K58" s="17">
        <f t="shared" si="0"/>
        <v>100</v>
      </c>
      <c r="L58" s="16">
        <v>20</v>
      </c>
      <c r="M58" s="18">
        <f t="shared" si="28"/>
        <v>1928.9361702127662</v>
      </c>
      <c r="N58" s="18">
        <f t="shared" si="2"/>
        <v>96.446808510638306</v>
      </c>
      <c r="O58" s="19">
        <f t="shared" si="3"/>
        <v>0</v>
      </c>
      <c r="P58" s="20">
        <f t="shared" si="4"/>
        <v>-3.5531914893616943</v>
      </c>
      <c r="Q58" s="21">
        <f t="shared" si="5"/>
        <v>0.96446808510638304</v>
      </c>
      <c r="R58" s="172"/>
      <c r="S58" s="28">
        <v>0.77916666666666667</v>
      </c>
      <c r="T58" s="28">
        <v>0.81180555555555556</v>
      </c>
      <c r="U58" s="4">
        <f t="shared" si="30"/>
        <v>5.9999999999999787</v>
      </c>
      <c r="V58" s="22">
        <f t="shared" si="29"/>
        <v>46.999999999999993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7"/>
        <v>-71.063829787233772</v>
      </c>
      <c r="AF58" s="21">
        <f t="shared" si="8"/>
        <v>0.96446808510638316</v>
      </c>
      <c r="AG58" s="172"/>
    </row>
    <row r="59" spans="1:33">
      <c r="A59" s="182" t="s">
        <v>1316</v>
      </c>
      <c r="B59" s="37" t="s">
        <v>78</v>
      </c>
      <c r="C59" s="173" t="s">
        <v>126</v>
      </c>
      <c r="D59" s="174"/>
      <c r="E59" s="37">
        <v>57.73</v>
      </c>
      <c r="F59" s="42">
        <v>998</v>
      </c>
      <c r="G59" s="4">
        <v>57614.539999999994</v>
      </c>
      <c r="H59" s="22" t="s">
        <v>139</v>
      </c>
      <c r="I59" s="16">
        <v>16</v>
      </c>
      <c r="J59" s="18">
        <v>1500</v>
      </c>
      <c r="K59" s="17">
        <f t="shared" si="0"/>
        <v>93.75</v>
      </c>
      <c r="L59" s="16">
        <v>16</v>
      </c>
      <c r="M59" s="18">
        <f t="shared" si="28"/>
        <v>1425.7142857142851</v>
      </c>
      <c r="N59" s="18">
        <f t="shared" si="2"/>
        <v>89.107142857142819</v>
      </c>
      <c r="O59" s="19">
        <f t="shared" si="3"/>
        <v>0</v>
      </c>
      <c r="P59" s="20">
        <f t="shared" si="4"/>
        <v>-4.6428571428571814</v>
      </c>
      <c r="Q59" s="21">
        <f t="shared" si="5"/>
        <v>0.95047619047619003</v>
      </c>
      <c r="R59" s="172"/>
      <c r="S59" s="28">
        <v>0.81597222222222221</v>
      </c>
      <c r="T59" s="28">
        <v>0.84513888888888888</v>
      </c>
      <c r="U59" s="4">
        <f t="shared" si="30"/>
        <v>5.9999999999999787</v>
      </c>
      <c r="V59" s="22">
        <f t="shared" si="29"/>
        <v>42.000000000000014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7"/>
        <v>-74.285714285714903</v>
      </c>
      <c r="AF59" s="21">
        <f t="shared" si="8"/>
        <v>0.95047619047619003</v>
      </c>
      <c r="AG59" s="172"/>
    </row>
    <row r="60" spans="1:33">
      <c r="A60" s="183" t="s">
        <v>1316</v>
      </c>
      <c r="B60" s="37" t="s">
        <v>48</v>
      </c>
      <c r="C60" s="177"/>
      <c r="D60" s="177"/>
      <c r="E60" s="38"/>
      <c r="F60" s="17"/>
      <c r="G60" s="17"/>
      <c r="H60" s="4"/>
      <c r="I60" s="30">
        <v>18.666666666666668</v>
      </c>
      <c r="J60" s="18">
        <v>1944.4444444444443</v>
      </c>
      <c r="K60" s="17">
        <f t="shared" si="0"/>
        <v>104.16666666666666</v>
      </c>
      <c r="L60" s="30">
        <v>18.666666666666668</v>
      </c>
      <c r="M60" s="18">
        <f>AVERAGE(M51:M59)</f>
        <v>1818.4003376186131</v>
      </c>
      <c r="N60" s="17">
        <f t="shared" si="2"/>
        <v>97.414303800997118</v>
      </c>
      <c r="O60" s="19">
        <f t="shared" si="3"/>
        <v>0</v>
      </c>
      <c r="P60" s="20">
        <f t="shared" si="4"/>
        <v>-6.7523628656695394</v>
      </c>
      <c r="Q60" s="21">
        <f t="shared" si="5"/>
        <v>0.93517731648957236</v>
      </c>
      <c r="R60" s="172"/>
      <c r="S60" s="28"/>
      <c r="T60" s="28"/>
      <c r="U60" s="4"/>
      <c r="V60" s="22"/>
      <c r="W60" s="17"/>
      <c r="X60" s="17"/>
      <c r="Y60" s="31">
        <f>SUM(Y51:Y59)</f>
        <v>0</v>
      </c>
      <c r="Z60" s="31">
        <f>SUM(Z51:Z59)</f>
        <v>0</v>
      </c>
      <c r="AA60" s="168"/>
      <c r="AB60" s="168"/>
      <c r="AC60" s="31">
        <v>9</v>
      </c>
      <c r="AD60" s="31">
        <f>SUM(AD51:AD59)</f>
        <v>0</v>
      </c>
      <c r="AE60" s="19">
        <f>M60-J60</f>
        <v>-126.04410682583125</v>
      </c>
      <c r="AF60" s="21">
        <f t="shared" si="8"/>
        <v>0.93517731648957247</v>
      </c>
      <c r="AG60" s="172"/>
    </row>
    <row r="61" spans="1:33" ht="15.75" customHeight="1">
      <c r="A61" s="178" t="s">
        <v>73</v>
      </c>
      <c r="B61" s="4" t="s">
        <v>84</v>
      </c>
      <c r="C61" s="165" t="s">
        <v>127</v>
      </c>
      <c r="D61" s="165"/>
      <c r="E61" s="37">
        <v>26.97</v>
      </c>
      <c r="F61" s="42">
        <v>1928</v>
      </c>
      <c r="G61" s="4">
        <v>51998.159999999996</v>
      </c>
      <c r="H61" s="22" t="s">
        <v>139</v>
      </c>
      <c r="I61" s="16">
        <v>8</v>
      </c>
      <c r="J61" s="18">
        <v>1500</v>
      </c>
      <c r="K61" s="17">
        <f t="shared" si="0"/>
        <v>187.5</v>
      </c>
      <c r="L61" s="16">
        <v>8</v>
      </c>
      <c r="M61" s="18">
        <f t="shared" ref="M61:M65" si="31">F61/V61*60</f>
        <v>1446</v>
      </c>
      <c r="N61" s="17">
        <f t="shared" si="2"/>
        <v>180.75</v>
      </c>
      <c r="O61" s="19">
        <f t="shared" si="3"/>
        <v>0</v>
      </c>
      <c r="P61" s="20">
        <f t="shared" si="4"/>
        <v>-6.75</v>
      </c>
      <c r="Q61" s="21">
        <f t="shared" si="5"/>
        <v>0.96399999999999997</v>
      </c>
      <c r="R61" s="172">
        <f>Q66</f>
        <v>0.96380581188997383</v>
      </c>
      <c r="S61" s="28">
        <v>0.20833333333333334</v>
      </c>
      <c r="T61" s="28">
        <v>0.2638888888888889</v>
      </c>
      <c r="U61" s="4"/>
      <c r="V61" s="22">
        <f t="shared" ref="V61:V65" si="32">(T61-S61)*24*60</f>
        <v>80</v>
      </c>
      <c r="W61" s="28"/>
      <c r="X61" s="28"/>
      <c r="Y61" s="28"/>
      <c r="Z61" s="28"/>
      <c r="AA61" s="164"/>
      <c r="AB61" s="164"/>
      <c r="AC61" s="25">
        <v>5</v>
      </c>
      <c r="AD61" s="25"/>
      <c r="AE61" s="19">
        <f t="shared" ref="AE61:AE72" si="33">M61-J61</f>
        <v>-54</v>
      </c>
      <c r="AF61" s="21">
        <f t="shared" si="8"/>
        <v>0.96399999999999997</v>
      </c>
      <c r="AG61" s="172">
        <f>AF66</f>
        <v>0.96380581188997383</v>
      </c>
    </row>
    <row r="62" spans="1:33" ht="15.75" customHeight="1">
      <c r="A62" s="178" t="s">
        <v>1317</v>
      </c>
      <c r="B62" s="4" t="s">
        <v>84</v>
      </c>
      <c r="C62" s="165" t="s">
        <v>128</v>
      </c>
      <c r="D62" s="165"/>
      <c r="E62" s="37">
        <v>27.4</v>
      </c>
      <c r="F62" s="42">
        <v>1175</v>
      </c>
      <c r="G62" s="4">
        <v>32195</v>
      </c>
      <c r="H62" s="22" t="s">
        <v>139</v>
      </c>
      <c r="I62" s="16">
        <v>10</v>
      </c>
      <c r="J62" s="18">
        <v>1500</v>
      </c>
      <c r="K62" s="17">
        <f t="shared" si="0"/>
        <v>150</v>
      </c>
      <c r="L62" s="16">
        <v>10</v>
      </c>
      <c r="M62" s="18">
        <f t="shared" si="31"/>
        <v>1438.7755102040821</v>
      </c>
      <c r="N62" s="17">
        <f t="shared" si="2"/>
        <v>143.87755102040822</v>
      </c>
      <c r="O62" s="19">
        <f t="shared" si="3"/>
        <v>0</v>
      </c>
      <c r="P62" s="20">
        <f t="shared" si="4"/>
        <v>-6.1224489795917805</v>
      </c>
      <c r="Q62" s="21">
        <f t="shared" si="5"/>
        <v>0.95918367346938815</v>
      </c>
      <c r="R62" s="172"/>
      <c r="S62" s="28">
        <v>0.26874999999999999</v>
      </c>
      <c r="T62" s="28">
        <v>0.30277777777777776</v>
      </c>
      <c r="U62" s="4">
        <f t="shared" ref="U62:U65" si="34">(S62-T61)*24*60</f>
        <v>6.9999999999999751</v>
      </c>
      <c r="V62" s="22">
        <f t="shared" si="32"/>
        <v>48.999999999999986</v>
      </c>
      <c r="W62" s="4"/>
      <c r="X62" s="4"/>
      <c r="Y62" s="4"/>
      <c r="Z62" s="4"/>
      <c r="AA62" s="164"/>
      <c r="AB62" s="164"/>
      <c r="AC62" s="25"/>
      <c r="AD62" s="25"/>
      <c r="AE62" s="19">
        <f t="shared" si="33"/>
        <v>-61.224489795917862</v>
      </c>
      <c r="AF62" s="21">
        <f t="shared" si="8"/>
        <v>0.95918367346938804</v>
      </c>
      <c r="AG62" s="172"/>
    </row>
    <row r="63" spans="1:33" ht="15.75" customHeight="1">
      <c r="A63" s="178" t="s">
        <v>73</v>
      </c>
      <c r="B63" s="4" t="s">
        <v>111</v>
      </c>
      <c r="C63" s="165" t="s">
        <v>129</v>
      </c>
      <c r="D63" s="165"/>
      <c r="E63" s="37">
        <v>31</v>
      </c>
      <c r="F63" s="42">
        <v>781</v>
      </c>
      <c r="G63" s="4">
        <v>24211</v>
      </c>
      <c r="H63" s="22" t="s">
        <v>139</v>
      </c>
      <c r="I63" s="16">
        <v>13</v>
      </c>
      <c r="J63" s="18">
        <v>2000</v>
      </c>
      <c r="K63" s="17">
        <f t="shared" si="0"/>
        <v>153.84615384615384</v>
      </c>
      <c r="L63" s="16">
        <v>13</v>
      </c>
      <c r="M63" s="18">
        <f t="shared" si="31"/>
        <v>1952.5000000000007</v>
      </c>
      <c r="N63" s="17">
        <f t="shared" si="2"/>
        <v>150.19230769230774</v>
      </c>
      <c r="O63" s="19">
        <f t="shared" si="3"/>
        <v>0</v>
      </c>
      <c r="P63" s="20">
        <f t="shared" si="4"/>
        <v>-3.6538461538461036</v>
      </c>
      <c r="Q63" s="21">
        <f t="shared" si="5"/>
        <v>0.97625000000000028</v>
      </c>
      <c r="R63" s="172"/>
      <c r="S63" s="28">
        <v>0.30624999999999997</v>
      </c>
      <c r="T63" s="28">
        <v>0.32291666666666663</v>
      </c>
      <c r="U63" s="4">
        <f t="shared" si="34"/>
        <v>4.9999999999999822</v>
      </c>
      <c r="V63" s="22">
        <f t="shared" si="32"/>
        <v>23.999999999999993</v>
      </c>
      <c r="W63" s="4"/>
      <c r="X63" s="4"/>
      <c r="Y63" s="4"/>
      <c r="Z63" s="4"/>
      <c r="AA63" s="164"/>
      <c r="AB63" s="164"/>
      <c r="AC63" s="25"/>
      <c r="AD63" s="25"/>
      <c r="AE63" s="19">
        <f t="shared" si="33"/>
        <v>-47.499999999999318</v>
      </c>
      <c r="AF63" s="21">
        <f t="shared" si="8"/>
        <v>0.9762500000000004</v>
      </c>
      <c r="AG63" s="172"/>
    </row>
    <row r="64" spans="1:33" ht="15.75" customHeight="1">
      <c r="A64" s="178" t="s">
        <v>73</v>
      </c>
      <c r="B64" s="4" t="s">
        <v>111</v>
      </c>
      <c r="C64" s="165" t="s">
        <v>130</v>
      </c>
      <c r="D64" s="165"/>
      <c r="E64" s="37">
        <v>37.85</v>
      </c>
      <c r="F64" s="42">
        <v>2202</v>
      </c>
      <c r="G64" s="4">
        <v>83345.7</v>
      </c>
      <c r="H64" s="22" t="s">
        <v>139</v>
      </c>
      <c r="I64" s="16">
        <v>12</v>
      </c>
      <c r="J64" s="18">
        <v>2000</v>
      </c>
      <c r="K64" s="17">
        <f t="shared" si="0"/>
        <v>166.66666666666666</v>
      </c>
      <c r="L64" s="16">
        <v>12</v>
      </c>
      <c r="M64" s="18">
        <f t="shared" si="31"/>
        <v>1914.7826086956522</v>
      </c>
      <c r="N64" s="17">
        <f t="shared" si="2"/>
        <v>159.56521739130434</v>
      </c>
      <c r="O64" s="19">
        <f t="shared" si="3"/>
        <v>0</v>
      </c>
      <c r="P64" s="20">
        <f t="shared" si="4"/>
        <v>-7.1014492753623131</v>
      </c>
      <c r="Q64" s="21">
        <f t="shared" si="5"/>
        <v>0.95739130434782616</v>
      </c>
      <c r="R64" s="172"/>
      <c r="S64" s="28">
        <v>0.32708333333333328</v>
      </c>
      <c r="T64" s="28">
        <v>0.37499999999999994</v>
      </c>
      <c r="U64" s="4">
        <f t="shared" si="34"/>
        <v>5.9999999999999787</v>
      </c>
      <c r="V64" s="22">
        <f t="shared" si="32"/>
        <v>69</v>
      </c>
      <c r="W64" s="4"/>
      <c r="X64" s="4"/>
      <c r="Y64" s="4"/>
      <c r="Z64" s="4"/>
      <c r="AA64" s="164"/>
      <c r="AB64" s="164"/>
      <c r="AC64" s="25"/>
      <c r="AD64" s="25"/>
      <c r="AE64" s="19">
        <f t="shared" si="33"/>
        <v>-85.217391304347757</v>
      </c>
      <c r="AF64" s="21">
        <f t="shared" si="8"/>
        <v>0.95739130434782616</v>
      </c>
      <c r="AG64" s="172"/>
    </row>
    <row r="65" spans="1:33">
      <c r="A65" s="179" t="s">
        <v>73</v>
      </c>
      <c r="B65" s="4" t="s">
        <v>111</v>
      </c>
      <c r="C65" s="165" t="s">
        <v>131</v>
      </c>
      <c r="D65" s="165"/>
      <c r="E65" s="37">
        <v>34.36</v>
      </c>
      <c r="F65" s="42">
        <v>1443</v>
      </c>
      <c r="G65" s="4">
        <v>49581.479999999996</v>
      </c>
      <c r="H65" s="22" t="s">
        <v>139</v>
      </c>
      <c r="I65" s="16">
        <v>10</v>
      </c>
      <c r="J65" s="18">
        <v>3000</v>
      </c>
      <c r="K65" s="17">
        <f t="shared" si="0"/>
        <v>300</v>
      </c>
      <c r="L65" s="16">
        <v>10</v>
      </c>
      <c r="M65" s="18">
        <f t="shared" si="31"/>
        <v>2886.0000000000027</v>
      </c>
      <c r="N65" s="17">
        <f t="shared" si="2"/>
        <v>288.60000000000025</v>
      </c>
      <c r="O65" s="19">
        <f t="shared" si="3"/>
        <v>0</v>
      </c>
      <c r="P65" s="20">
        <f t="shared" si="4"/>
        <v>-11.39999999999975</v>
      </c>
      <c r="Q65" s="21">
        <f t="shared" si="5"/>
        <v>0.96200000000000085</v>
      </c>
      <c r="R65" s="172"/>
      <c r="S65" s="28">
        <v>0.38055555555555548</v>
      </c>
      <c r="T65" s="28">
        <v>0.4013888888888888</v>
      </c>
      <c r="U65" s="4">
        <f t="shared" si="34"/>
        <v>7.9999999999999716</v>
      </c>
      <c r="V65" s="22">
        <f t="shared" si="32"/>
        <v>29.999999999999972</v>
      </c>
      <c r="W65" s="23"/>
      <c r="X65" s="23"/>
      <c r="Y65" s="23"/>
      <c r="Z65" s="23"/>
      <c r="AA65" s="164"/>
      <c r="AB65" s="164"/>
      <c r="AC65" s="25"/>
      <c r="AD65" s="25"/>
      <c r="AE65" s="19">
        <f t="shared" si="33"/>
        <v>-113.99999999999727</v>
      </c>
      <c r="AF65" s="21">
        <f t="shared" si="8"/>
        <v>0.96200000000000085</v>
      </c>
      <c r="AG65" s="172"/>
    </row>
    <row r="66" spans="1:33">
      <c r="A66" s="179" t="s">
        <v>1317</v>
      </c>
      <c r="B66" s="37" t="s">
        <v>1308</v>
      </c>
      <c r="C66" s="177"/>
      <c r="D66" s="177"/>
      <c r="E66" s="38"/>
      <c r="F66" s="17"/>
      <c r="G66" s="17"/>
      <c r="H66" s="4"/>
      <c r="I66" s="30">
        <v>10.6</v>
      </c>
      <c r="J66" s="18">
        <v>2000</v>
      </c>
      <c r="K66" s="17">
        <f t="shared" si="0"/>
        <v>188.67924528301887</v>
      </c>
      <c r="L66" s="30">
        <v>10.6</v>
      </c>
      <c r="M66" s="18">
        <f>AVERAGE(M61:M65)</f>
        <v>1927.6116237799476</v>
      </c>
      <c r="N66" s="17">
        <f t="shared" si="2"/>
        <v>181.85015318678751</v>
      </c>
      <c r="O66" s="19">
        <f t="shared" si="3"/>
        <v>0</v>
      </c>
      <c r="P66" s="20">
        <f t="shared" si="4"/>
        <v>-6.8290920962313635</v>
      </c>
      <c r="Q66" s="21">
        <f t="shared" si="5"/>
        <v>0.96380581188997383</v>
      </c>
      <c r="R66" s="172"/>
      <c r="S66" s="28"/>
      <c r="T66" s="28"/>
      <c r="U66" s="17"/>
      <c r="V66" s="22"/>
      <c r="W66" s="17"/>
      <c r="X66" s="17"/>
      <c r="Y66" s="31">
        <f>SUM(Y61:Y65)</f>
        <v>0</v>
      </c>
      <c r="Z66" s="31">
        <f>SUM(Z61:Z65)</f>
        <v>0</v>
      </c>
      <c r="AA66" s="168"/>
      <c r="AB66" s="168"/>
      <c r="AC66" s="31">
        <v>5</v>
      </c>
      <c r="AD66" s="31">
        <f>SUM(AD61:AD65)</f>
        <v>0</v>
      </c>
      <c r="AE66" s="19">
        <f t="shared" si="33"/>
        <v>-72.388376220052351</v>
      </c>
      <c r="AF66" s="21">
        <f t="shared" si="8"/>
        <v>0.96380581188997383</v>
      </c>
      <c r="AG66" s="172"/>
    </row>
    <row r="67" spans="1:33" ht="15.75" customHeight="1">
      <c r="A67" s="169" t="s">
        <v>75</v>
      </c>
      <c r="B67" s="4" t="s">
        <v>100</v>
      </c>
      <c r="C67" s="165" t="s">
        <v>133</v>
      </c>
      <c r="D67" s="165"/>
      <c r="E67" s="37">
        <v>20.2</v>
      </c>
      <c r="F67" s="4">
        <v>1185</v>
      </c>
      <c r="G67" s="4">
        <v>23937</v>
      </c>
      <c r="H67" s="22" t="s">
        <v>139</v>
      </c>
      <c r="I67" s="16">
        <v>19</v>
      </c>
      <c r="J67" s="18">
        <v>2400</v>
      </c>
      <c r="K67" s="17">
        <f t="shared" si="0"/>
        <v>126.31578947368421</v>
      </c>
      <c r="L67" s="16">
        <v>19</v>
      </c>
      <c r="M67" s="18">
        <f t="shared" ref="M67:M71" si="35">F67/V67*60</f>
        <v>2293.5483870967732</v>
      </c>
      <c r="N67" s="17">
        <f t="shared" si="2"/>
        <v>120.71307300509334</v>
      </c>
      <c r="O67" s="19">
        <f t="shared" si="3"/>
        <v>0</v>
      </c>
      <c r="P67" s="20">
        <f t="shared" si="4"/>
        <v>-5.6027164685908701</v>
      </c>
      <c r="Q67" s="21">
        <f t="shared" si="5"/>
        <v>0.95564516129032229</v>
      </c>
      <c r="R67" s="172">
        <f>Q72</f>
        <v>0.96162010368663586</v>
      </c>
      <c r="S67" s="28">
        <v>0.125</v>
      </c>
      <c r="T67" s="28">
        <v>0.14652777777777778</v>
      </c>
      <c r="U67" s="28"/>
      <c r="V67" s="22">
        <f t="shared" ref="V67:V71" si="36">(T67-S67)*24*60</f>
        <v>31.000000000000011</v>
      </c>
      <c r="W67" s="23">
        <f>T67</f>
        <v>0.14652777777777778</v>
      </c>
      <c r="X67" s="23">
        <f>S68</f>
        <v>0.1652777777777778</v>
      </c>
      <c r="Y67" s="23"/>
      <c r="Z67" s="23"/>
      <c r="AA67" s="164"/>
      <c r="AB67" s="164"/>
      <c r="AC67" s="25">
        <v>5</v>
      </c>
      <c r="AD67" s="25"/>
      <c r="AE67" s="19">
        <f t="shared" si="33"/>
        <v>-106.45161290322676</v>
      </c>
      <c r="AF67" s="21">
        <f t="shared" si="8"/>
        <v>0.95564516129032218</v>
      </c>
      <c r="AG67" s="172">
        <f>AF72</f>
        <v>0.96162010368663575</v>
      </c>
    </row>
    <row r="68" spans="1:33" ht="15.75" customHeight="1">
      <c r="A68" s="170" t="s">
        <v>1318</v>
      </c>
      <c r="B68" s="4" t="s">
        <v>100</v>
      </c>
      <c r="C68" s="165" t="s">
        <v>109</v>
      </c>
      <c r="D68" s="165"/>
      <c r="E68" s="37">
        <v>24.45</v>
      </c>
      <c r="F68" s="4">
        <v>1714</v>
      </c>
      <c r="G68" s="4">
        <v>41907.299999999996</v>
      </c>
      <c r="H68" s="22" t="s">
        <v>139</v>
      </c>
      <c r="I68" s="16">
        <v>20</v>
      </c>
      <c r="J68" s="18">
        <v>2400</v>
      </c>
      <c r="K68" s="17">
        <f t="shared" si="0"/>
        <v>120</v>
      </c>
      <c r="L68" s="16">
        <v>20</v>
      </c>
      <c r="M68" s="18">
        <f t="shared" si="35"/>
        <v>2285.3333333333335</v>
      </c>
      <c r="N68" s="17">
        <f t="shared" si="2"/>
        <v>114.26666666666668</v>
      </c>
      <c r="O68" s="19">
        <f t="shared" si="3"/>
        <v>0</v>
      </c>
      <c r="P68" s="20">
        <f t="shared" si="4"/>
        <v>-5.7333333333333201</v>
      </c>
      <c r="Q68" s="21">
        <f t="shared" si="5"/>
        <v>0.9522222222222223</v>
      </c>
      <c r="R68" s="172"/>
      <c r="S68" s="28">
        <v>0.1652777777777778</v>
      </c>
      <c r="T68" s="28">
        <v>0.1965277777777778</v>
      </c>
      <c r="U68" s="4">
        <f t="shared" ref="U68:U71" si="37">(S68-T67)*24*60</f>
        <v>27.000000000000025</v>
      </c>
      <c r="V68" s="22">
        <f t="shared" si="36"/>
        <v>45</v>
      </c>
      <c r="W68" s="23"/>
      <c r="X68" s="23"/>
      <c r="Y68" s="23"/>
      <c r="Z68" s="23"/>
      <c r="AA68" s="164"/>
      <c r="AB68" s="164"/>
      <c r="AC68" s="25"/>
      <c r="AD68" s="25"/>
      <c r="AE68" s="19">
        <f t="shared" si="33"/>
        <v>-114.66666666666652</v>
      </c>
      <c r="AF68" s="21">
        <f t="shared" si="8"/>
        <v>0.9522222222222223</v>
      </c>
      <c r="AG68" s="172"/>
    </row>
    <row r="69" spans="1:33" ht="15.75" customHeight="1">
      <c r="A69" s="170" t="s">
        <v>1318</v>
      </c>
      <c r="B69" s="4" t="s">
        <v>100</v>
      </c>
      <c r="C69" s="165" t="s">
        <v>136</v>
      </c>
      <c r="D69" s="165"/>
      <c r="E69" s="37">
        <v>24.43</v>
      </c>
      <c r="F69" s="4">
        <v>4267</v>
      </c>
      <c r="G69" s="4">
        <v>104242.81</v>
      </c>
      <c r="H69" s="22" t="s">
        <v>139</v>
      </c>
      <c r="I69" s="16">
        <v>14</v>
      </c>
      <c r="J69" s="18">
        <v>2400</v>
      </c>
      <c r="K69" s="17">
        <f t="shared" ref="K69:K72" si="38">J69/I69</f>
        <v>171.42857142857142</v>
      </c>
      <c r="L69" s="16">
        <v>14</v>
      </c>
      <c r="M69" s="18">
        <f t="shared" si="35"/>
        <v>2285.8928571428578</v>
      </c>
      <c r="N69" s="17">
        <f t="shared" ref="N69:N72" si="39">M69/L69</f>
        <v>163.27806122448985</v>
      </c>
      <c r="O69" s="19">
        <f t="shared" ref="O69:O72" si="40">L69-I69</f>
        <v>0</v>
      </c>
      <c r="P69" s="20">
        <f t="shared" ref="P69:P72" si="41">N69-K69</f>
        <v>-8.15051020408157</v>
      </c>
      <c r="Q69" s="21">
        <f t="shared" ref="Q69:Q72" si="42">N69/K69</f>
        <v>0.95245535714285745</v>
      </c>
      <c r="R69" s="172"/>
      <c r="S69" s="28">
        <v>0.20208333333333336</v>
      </c>
      <c r="T69" s="28">
        <v>0.27986111111111112</v>
      </c>
      <c r="U69" s="4">
        <f t="shared" si="37"/>
        <v>8.0000000000000107</v>
      </c>
      <c r="V69" s="22">
        <f t="shared" si="36"/>
        <v>111.99999999999996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33"/>
        <v>-114.10714285714221</v>
      </c>
      <c r="AF69" s="21">
        <f t="shared" ref="AF69:AF72" si="43">M69/J69</f>
        <v>0.95245535714285745</v>
      </c>
      <c r="AG69" s="172"/>
    </row>
    <row r="70" spans="1:33" ht="15.75" customHeight="1">
      <c r="A70" s="170" t="s">
        <v>1318</v>
      </c>
      <c r="B70" s="4" t="s">
        <v>100</v>
      </c>
      <c r="C70" s="165" t="s">
        <v>138</v>
      </c>
      <c r="D70" s="165"/>
      <c r="E70" s="37">
        <v>22.69</v>
      </c>
      <c r="F70" s="4">
        <v>597</v>
      </c>
      <c r="G70" s="4">
        <v>13545.93</v>
      </c>
      <c r="H70" s="22" t="s">
        <v>139</v>
      </c>
      <c r="I70" s="16">
        <v>15</v>
      </c>
      <c r="J70" s="18">
        <v>2400</v>
      </c>
      <c r="K70" s="17">
        <f t="shared" si="38"/>
        <v>160</v>
      </c>
      <c r="L70" s="16">
        <v>15</v>
      </c>
      <c r="M70" s="18">
        <f t="shared" si="35"/>
        <v>2387.9999999999955</v>
      </c>
      <c r="N70" s="17">
        <f t="shared" si="39"/>
        <v>159.1999999999997</v>
      </c>
      <c r="O70" s="19">
        <f t="shared" si="40"/>
        <v>0</v>
      </c>
      <c r="P70" s="20">
        <f t="shared" si="41"/>
        <v>-0.80000000000029559</v>
      </c>
      <c r="Q70" s="21">
        <f t="shared" si="42"/>
        <v>0.99499999999999811</v>
      </c>
      <c r="R70" s="172"/>
      <c r="S70" s="28">
        <v>0.28333333333333333</v>
      </c>
      <c r="T70" s="28">
        <v>0.29375000000000001</v>
      </c>
      <c r="U70" s="4">
        <f t="shared" si="37"/>
        <v>4.9999999999999822</v>
      </c>
      <c r="V70" s="22">
        <f t="shared" si="36"/>
        <v>15.000000000000027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33"/>
        <v>-12.000000000004547</v>
      </c>
      <c r="AF70" s="21">
        <f t="shared" si="43"/>
        <v>0.99499999999999811</v>
      </c>
      <c r="AG70" s="172"/>
    </row>
    <row r="71" spans="1:33" ht="15.75" customHeight="1">
      <c r="A71" s="170" t="s">
        <v>75</v>
      </c>
      <c r="B71" s="4" t="s">
        <v>100</v>
      </c>
      <c r="C71" s="165" t="s">
        <v>135</v>
      </c>
      <c r="D71" s="165"/>
      <c r="E71" s="37">
        <v>19.02</v>
      </c>
      <c r="F71" s="4">
        <v>6174</v>
      </c>
      <c r="G71" s="4">
        <v>117429.48</v>
      </c>
      <c r="H71" s="22" t="s">
        <v>139</v>
      </c>
      <c r="I71" s="16">
        <v>15</v>
      </c>
      <c r="J71" s="18">
        <v>2400</v>
      </c>
      <c r="K71" s="17">
        <f t="shared" si="38"/>
        <v>160</v>
      </c>
      <c r="L71" s="16">
        <v>15</v>
      </c>
      <c r="M71" s="18">
        <f t="shared" si="35"/>
        <v>2286.666666666667</v>
      </c>
      <c r="N71" s="17">
        <f t="shared" si="39"/>
        <v>152.44444444444446</v>
      </c>
      <c r="O71" s="19">
        <f t="shared" si="40"/>
        <v>0</v>
      </c>
      <c r="P71" s="20">
        <f t="shared" si="41"/>
        <v>-7.5555555555555429</v>
      </c>
      <c r="Q71" s="21">
        <f t="shared" si="42"/>
        <v>0.95277777777777783</v>
      </c>
      <c r="R71" s="172"/>
      <c r="S71" s="28">
        <v>0.29930555555555555</v>
      </c>
      <c r="T71" s="28">
        <v>0.41180555555555554</v>
      </c>
      <c r="U71" s="4">
        <f t="shared" si="37"/>
        <v>7.9999999999999716</v>
      </c>
      <c r="V71" s="22">
        <f t="shared" si="36"/>
        <v>161.99999999999997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33"/>
        <v>-113.33333333333303</v>
      </c>
      <c r="AF71" s="21">
        <f t="shared" si="43"/>
        <v>0.95277777777777795</v>
      </c>
      <c r="AG71" s="172"/>
    </row>
    <row r="72" spans="1:33" ht="16.5" customHeight="1">
      <c r="A72" s="171" t="s">
        <v>75</v>
      </c>
      <c r="B72" s="37" t="s">
        <v>1308</v>
      </c>
      <c r="C72" s="166"/>
      <c r="D72" s="167"/>
      <c r="E72" s="38"/>
      <c r="F72" s="17"/>
      <c r="G72" s="17"/>
      <c r="H72" s="4"/>
      <c r="I72" s="30">
        <v>16.600000000000001</v>
      </c>
      <c r="J72" s="18">
        <v>2400</v>
      </c>
      <c r="K72" s="17">
        <f t="shared" si="38"/>
        <v>144.57831325301203</v>
      </c>
      <c r="L72" s="30">
        <v>16.600000000000001</v>
      </c>
      <c r="M72" s="18">
        <f>AVERAGE(M67:M71)</f>
        <v>2307.8882488479258</v>
      </c>
      <c r="N72" s="17">
        <f t="shared" si="39"/>
        <v>139.02941258120035</v>
      </c>
      <c r="O72" s="19">
        <f t="shared" si="40"/>
        <v>0</v>
      </c>
      <c r="P72" s="20">
        <f t="shared" si="41"/>
        <v>-5.5489006718116798</v>
      </c>
      <c r="Q72" s="21">
        <f t="shared" si="42"/>
        <v>0.96162010368663586</v>
      </c>
      <c r="R72" s="172"/>
      <c r="S72" s="28"/>
      <c r="T72" s="28"/>
      <c r="U72" s="17"/>
      <c r="V72" s="22"/>
      <c r="W72" s="17"/>
      <c r="X72" s="17"/>
      <c r="Y72" s="31">
        <f>SUM(Y67:Y71)</f>
        <v>0</v>
      </c>
      <c r="Z72" s="31">
        <f>SUM(Z67:Z71)</f>
        <v>0</v>
      </c>
      <c r="AA72" s="168"/>
      <c r="AB72" s="168"/>
      <c r="AC72" s="31">
        <v>5</v>
      </c>
      <c r="AD72" s="31">
        <f>SUM(AD67:AD71)</f>
        <v>0</v>
      </c>
      <c r="AE72" s="19">
        <f t="shared" si="33"/>
        <v>-92.111751152074248</v>
      </c>
      <c r="AF72" s="21">
        <f t="shared" si="43"/>
        <v>0.96162010368663575</v>
      </c>
      <c r="AG72" s="172"/>
    </row>
    <row r="73" spans="1:33">
      <c r="D73" s="33"/>
      <c r="E73" s="33"/>
    </row>
  </sheetData>
  <mergeCells count="197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14:A20"/>
    <mergeCell ref="C14:D14"/>
    <mergeCell ref="R14:R20"/>
    <mergeCell ref="AA14:AB14"/>
    <mergeCell ref="AG14:AG20"/>
    <mergeCell ref="C18:D18"/>
    <mergeCell ref="AA18:AB18"/>
    <mergeCell ref="C19:D19"/>
    <mergeCell ref="AA19:AB19"/>
    <mergeCell ref="C20:D20"/>
    <mergeCell ref="AA20:AB20"/>
    <mergeCell ref="C15:D15"/>
    <mergeCell ref="AA15:AB15"/>
    <mergeCell ref="C16:D16"/>
    <mergeCell ref="AA16:AB16"/>
    <mergeCell ref="C17:D17"/>
    <mergeCell ref="AA17:AB17"/>
    <mergeCell ref="A11:A13"/>
    <mergeCell ref="C11:D11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G28:AG33"/>
    <mergeCell ref="C29:D29"/>
    <mergeCell ref="AA29:AB29"/>
    <mergeCell ref="C30:D30"/>
    <mergeCell ref="AA30:AB30"/>
    <mergeCell ref="C31:D31"/>
    <mergeCell ref="AA24:AB24"/>
    <mergeCell ref="C25:D25"/>
    <mergeCell ref="AA25:AB25"/>
    <mergeCell ref="C26:D26"/>
    <mergeCell ref="AA26:AB26"/>
    <mergeCell ref="C27:D27"/>
    <mergeCell ref="AA27:AB27"/>
    <mergeCell ref="AA31:AB31"/>
    <mergeCell ref="C32:D32"/>
    <mergeCell ref="AA32:AB32"/>
    <mergeCell ref="C33:D33"/>
    <mergeCell ref="AA33:AB33"/>
    <mergeCell ref="A34:A39"/>
    <mergeCell ref="C34:D34"/>
    <mergeCell ref="R34:R39"/>
    <mergeCell ref="AA34:AB34"/>
    <mergeCell ref="AA39:AB39"/>
    <mergeCell ref="A28:A33"/>
    <mergeCell ref="C28:D28"/>
    <mergeCell ref="R28:R33"/>
    <mergeCell ref="AA28:AB28"/>
    <mergeCell ref="AG40:AG50"/>
    <mergeCell ref="C41:D41"/>
    <mergeCell ref="AA41:AB41"/>
    <mergeCell ref="C42:D42"/>
    <mergeCell ref="AA42:AB42"/>
    <mergeCell ref="C43:D43"/>
    <mergeCell ref="AG34:AG39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C47:D47"/>
    <mergeCell ref="AA47:AB47"/>
    <mergeCell ref="C48:D48"/>
    <mergeCell ref="AA48:AB48"/>
    <mergeCell ref="C49:D49"/>
    <mergeCell ref="AA49:AB49"/>
    <mergeCell ref="AA43:AB43"/>
    <mergeCell ref="C44:D44"/>
    <mergeCell ref="A40:A50"/>
    <mergeCell ref="C40:D40"/>
    <mergeCell ref="AA59:AB59"/>
    <mergeCell ref="C60:D60"/>
    <mergeCell ref="AA60:AB60"/>
    <mergeCell ref="AA44:AB44"/>
    <mergeCell ref="C45:D45"/>
    <mergeCell ref="AA45:AB45"/>
    <mergeCell ref="C46:D46"/>
    <mergeCell ref="AA46:AB46"/>
    <mergeCell ref="R40:R50"/>
    <mergeCell ref="AA40:AB40"/>
    <mergeCell ref="C50:D50"/>
    <mergeCell ref="AA50:AB50"/>
    <mergeCell ref="A61:A66"/>
    <mergeCell ref="C61:D61"/>
    <mergeCell ref="R61:R66"/>
    <mergeCell ref="AA61:AB61"/>
    <mergeCell ref="AA66:AB66"/>
    <mergeCell ref="AG51:AG60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51:A60"/>
    <mergeCell ref="C51:D51"/>
    <mergeCell ref="R51:R60"/>
    <mergeCell ref="AA51:AB51"/>
    <mergeCell ref="AA57:AB57"/>
    <mergeCell ref="C58:D58"/>
    <mergeCell ref="AA58:AB58"/>
    <mergeCell ref="C59:D59"/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7:A72"/>
    <mergeCell ref="C67:D67"/>
    <mergeCell ref="R67:R72"/>
    <mergeCell ref="AA67:AB67"/>
    <mergeCell ref="AG67:AG72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  <mergeCell ref="AA72:AB72"/>
  </mergeCells>
  <phoneticPr fontId="3" type="noConversion"/>
  <conditionalFormatting sqref="O5:O72">
    <cfRule type="cellIs" dxfId="138" priority="1" operator="greaterThan">
      <formula>0</formula>
    </cfRule>
  </conditionalFormatting>
  <conditionalFormatting sqref="P5:P72">
    <cfRule type="cellIs" dxfId="137" priority="4" operator="lessThan">
      <formula>0</formula>
    </cfRule>
  </conditionalFormatting>
  <conditionalFormatting sqref="Q5:Q72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R5:R11 AG5:AG11">
    <cfRule type="cellIs" dxfId="134" priority="81" operator="lessThan">
      <formula>0.8</formula>
    </cfRule>
  </conditionalFormatting>
  <conditionalFormatting sqref="AE5:AE72">
    <cfRule type="cellIs" dxfId="133" priority="17" operator="lessThan">
      <formula>0</formula>
    </cfRule>
  </conditionalFormatting>
  <conditionalFormatting sqref="AF5:AF72">
    <cfRule type="cellIs" dxfId="132" priority="15" operator="greaterThan">
      <formula>1</formula>
    </cfRule>
    <cfRule type="cellIs" dxfId="131" priority="16" operator="lessThan">
      <formula>0.8</formula>
    </cfRule>
  </conditionalFormatting>
  <conditionalFormatting sqref="AG14:AG64 R14:R72">
    <cfRule type="cellIs" dxfId="130" priority="5" operator="lessThan">
      <formula>0.8</formula>
    </cfRule>
  </conditionalFormatting>
  <dataValidations count="1">
    <dataValidation type="list" allowBlank="1" showInputMessage="1" showErrorMessage="1" sqref="AB10 AA5:AB9 AB65 AA10:AA65 AB12:AB61 AA66:AB72" xr:uid="{00000000-0002-0000-1D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Q32"/>
  <sheetViews>
    <sheetView zoomScale="85" zoomScaleNormal="85" workbookViewId="0">
      <selection activeCell="M6" sqref="M6:M8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140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298</v>
      </c>
      <c r="C3" s="153" t="str">
        <f>TEXT('0213 4度C'!A2,"yyyy.mm.ddaaaa")</f>
        <v>2026.02.13星期五</v>
      </c>
      <c r="D3" s="154"/>
      <c r="E3" s="47" t="s">
        <v>1146</v>
      </c>
      <c r="F3" s="155">
        <f>'0213 4度C'!D1</f>
        <v>116787</v>
      </c>
      <c r="G3" s="156"/>
      <c r="H3" s="47" t="s">
        <v>143</v>
      </c>
      <c r="I3" s="157">
        <f>'0213 4度C'!F1</f>
        <v>4137143.1800000006</v>
      </c>
      <c r="J3" s="158"/>
      <c r="K3" s="48"/>
      <c r="L3" s="49"/>
      <c r="M3" s="49"/>
      <c r="N3" s="49"/>
    </row>
    <row r="4" spans="2:17" ht="28.5" customHeight="1">
      <c r="B4" s="159" t="s">
        <v>1147</v>
      </c>
      <c r="C4" s="145" t="s">
        <v>145</v>
      </c>
      <c r="D4" s="146"/>
      <c r="E4" s="162" t="s">
        <v>1148</v>
      </c>
      <c r="F4" s="163"/>
      <c r="G4" s="162" t="s">
        <v>209</v>
      </c>
      <c r="H4" s="163"/>
      <c r="I4" s="162" t="s">
        <v>1149</v>
      </c>
      <c r="J4" s="163"/>
      <c r="K4" s="143" t="s">
        <v>1150</v>
      </c>
      <c r="L4" s="144"/>
      <c r="M4" s="144" t="s">
        <v>1151</v>
      </c>
      <c r="N4" s="144"/>
    </row>
    <row r="5" spans="2:17" ht="28.5" customHeight="1">
      <c r="B5" s="160"/>
      <c r="C5" s="145" t="s">
        <v>308</v>
      </c>
      <c r="D5" s="146"/>
      <c r="E5" s="145" t="s">
        <v>1152</v>
      </c>
      <c r="F5" s="146"/>
      <c r="G5" s="147" t="s">
        <v>1153</v>
      </c>
      <c r="H5" s="148"/>
      <c r="I5" s="149" t="s">
        <v>1154</v>
      </c>
      <c r="J5" s="150"/>
      <c r="K5" s="50" t="s">
        <v>312</v>
      </c>
      <c r="L5" s="51" t="s">
        <v>313</v>
      </c>
      <c r="M5" s="50" t="s">
        <v>1155</v>
      </c>
      <c r="N5" s="51" t="s">
        <v>219</v>
      </c>
    </row>
    <row r="6" spans="2:17" ht="28.5" customHeight="1">
      <c r="B6" s="160"/>
      <c r="C6" s="145" t="s">
        <v>158</v>
      </c>
      <c r="D6" s="146"/>
      <c r="E6" s="137">
        <f>AVERAGE(D13:M13)</f>
        <v>143.44218069090169</v>
      </c>
      <c r="F6" s="138">
        <f>AVERAGE(D31:O31,D13:J13)</f>
        <v>146.37743263636281</v>
      </c>
      <c r="G6" s="139">
        <f>AVERAGE(D13:J13)</f>
        <v>146.37743263636281</v>
      </c>
      <c r="H6" s="140"/>
      <c r="I6" s="139">
        <f>AVERAGE(K13:M13)</f>
        <v>136.59325948482575</v>
      </c>
      <c r="J6" s="140"/>
      <c r="K6" s="141">
        <f>'0213 4度C'!Y2</f>
        <v>0</v>
      </c>
      <c r="L6" s="126">
        <f>'0213 4度C'!Z2</f>
        <v>0</v>
      </c>
      <c r="M6" s="142">
        <f>'0213 4度C'!AC2</f>
        <v>58</v>
      </c>
      <c r="N6" s="126">
        <f>'0213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137.61998139996663</v>
      </c>
      <c r="F7" s="130">
        <f>AVERAGE(D32:O32,D14:J14)</f>
        <v>140.49261717791003</v>
      </c>
      <c r="G7" s="131">
        <f>AVERAGE(D14:J14)</f>
        <v>140.49261717791003</v>
      </c>
      <c r="H7" s="132"/>
      <c r="I7" s="131">
        <f>AVERAGE(K14:M14)</f>
        <v>130.91716458476537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0.95856979437935286</v>
      </c>
      <c r="F8" s="134">
        <f>AVERAGE(D15:J15,D33:O33)</f>
        <v>0.95867537957767612</v>
      </c>
      <c r="G8" s="135">
        <f>AVERAGE(D15:J15)</f>
        <v>0.95867537957767612</v>
      </c>
      <c r="H8" s="136"/>
      <c r="I8" s="135">
        <f>AVERAGE(K15:M15)</f>
        <v>0.95832342891659883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1156</v>
      </c>
      <c r="N9" s="49"/>
      <c r="O9" s="49"/>
      <c r="P9" s="49"/>
      <c r="Q9" s="49"/>
    </row>
    <row r="10" spans="2:17" ht="30" customHeight="1">
      <c r="B10" s="109" t="s">
        <v>317</v>
      </c>
      <c r="C10" s="110"/>
      <c r="D10" s="111" t="s">
        <v>318</v>
      </c>
      <c r="E10" s="112"/>
      <c r="F10" s="112"/>
      <c r="G10" s="112"/>
      <c r="H10" s="112"/>
      <c r="I10" s="112"/>
      <c r="J10" s="113"/>
      <c r="K10" s="114" t="s">
        <v>1157</v>
      </c>
      <c r="L10" s="115"/>
      <c r="M10" s="116"/>
      <c r="P10" s="55"/>
      <c r="Q10" s="55"/>
    </row>
    <row r="11" spans="2:17" ht="17.25" customHeight="1">
      <c r="B11" s="117" t="s">
        <v>1158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13</v>
      </c>
      <c r="C13" s="62" t="s">
        <v>1159</v>
      </c>
      <c r="D13" s="63">
        <f>SUMIFS('0213 4度C'!$K:$K,'0213 4度C'!$A:$A,"新豐6線",'0213 4度C'!$B:$B,"平均")</f>
        <v>113.63636363636363</v>
      </c>
      <c r="E13" s="64">
        <f>SUMIFS('0213 4度C'!$K:$K,'0213 4度C'!$A:$A,"新豐2線",'0213 4度C'!$B:$B,"平均")</f>
        <v>83.333333333333329</v>
      </c>
      <c r="F13" s="65">
        <f>SUMIFS('0213 4度C'!$K:$K,'0213 4度C'!$A:$A,"新豐5線",'0213 4度C'!$B:$B,"平均")</f>
        <v>106.79611650485435</v>
      </c>
      <c r="G13" s="65">
        <f>SUMIFS('0213 4度C'!$K:$K,'0213 4度C'!$A:$A,"新豐7線",'0213 4度C'!$B:$B,"平均")</f>
        <v>125</v>
      </c>
      <c r="H13" s="65">
        <f>SUMIFS('0213 4度C'!$K:$K,'0213 4度C'!$A:$A,"新豐3線",'0213 4度C'!$B:$B,"平均")</f>
        <v>303.030303030303</v>
      </c>
      <c r="I13" s="65">
        <f>SUMIFS('0213 4度C'!$K:$K,'0213 4度C'!$A:$A,"新豐1線",'0213 4度C'!$B:$B,"平均")</f>
        <v>104.16666666666666</v>
      </c>
      <c r="J13" s="66">
        <f>SUMIFS('0213 4度C'!$K:$K,'0213 4度C'!$A:$A,"新豐10線",'0213 4度C'!$B:$B,"平均")</f>
        <v>188.67924528301887</v>
      </c>
      <c r="K13" s="67">
        <f>SUMIFS('0213 4度C'!$K:$K,'0213 4度C'!$A:$A,"新豐8線",'0213 4度C'!$B:$B,"平均")</f>
        <v>131.86813186813188</v>
      </c>
      <c r="L13" s="68">
        <f>SUMIFS('0213 4度C'!$K:$K,'0213 4度C'!$A:$A,"新豐9線",'0213 4度C'!$B:$B,"平均")</f>
        <v>133.33333333333334</v>
      </c>
      <c r="M13" s="66">
        <f>SUMIFS('0213 4度C'!$K:$K,'0213 4度C'!$A:$A,"新豐4線",'0213 4度C'!$B:$B,"平均")</f>
        <v>144.57831325301203</v>
      </c>
    </row>
    <row r="14" spans="2:17" ht="39.6" customHeight="1">
      <c r="B14" s="122"/>
      <c r="C14" s="69" t="s">
        <v>1160</v>
      </c>
      <c r="D14" s="70">
        <f>SUMIFS('0213 4度C'!$N:$N,'0213 4度C'!$A:$A,"新豐6線",'0213 4度C'!$B:$B,"平均")</f>
        <v>110.12393164845092</v>
      </c>
      <c r="E14" s="71">
        <f>SUMIFS('0213 4度C'!$N:$N,'0213 4度C'!$A:$A,"新豐2線",'0213 4度C'!$B:$B,"平均")</f>
        <v>79.723085504821086</v>
      </c>
      <c r="F14" s="71">
        <f>SUMIFS('0213 4度C'!$N:$N,'0213 4度C'!$A:$A,"新豐5線",'0213 4度C'!$B:$B,"平均")</f>
        <v>102.52917358069807</v>
      </c>
      <c r="G14" s="71">
        <f>SUMIFS('0213 4度C'!$N:$N,'0213 4度C'!$A:$A,"新豐7線",'0213 4度C'!$B:$B,"平均")</f>
        <v>120.83177804984867</v>
      </c>
      <c r="H14" s="71">
        <f>SUMIFS('0213 4度C'!$N:$N,'0213 4度C'!$A:$A,"新豐3線",'0213 4度C'!$B:$B,"平均")</f>
        <v>291.89293236768583</v>
      </c>
      <c r="I14" s="71">
        <f>SUMIFS('0213 4度C'!$N:$N,'0213 4度C'!$A:$A,"新豐1線",'0213 4度C'!$B:$B,"平均")</f>
        <v>97.621374882804929</v>
      </c>
      <c r="J14" s="72">
        <f>SUMIFS('0213 4度C'!$N:$N,'0213 4度C'!$A:$A,"新豐10線",'0213 4度C'!$B:$B,"平均")</f>
        <v>180.72604421106081</v>
      </c>
      <c r="K14" s="73">
        <f>SUMIFS('0213 4度C'!$N:$N,'0213 4度C'!$A:$A,"新豐8線",'0213 4度C'!$B:$B,"平均")</f>
        <v>126.06000834085017</v>
      </c>
      <c r="L14" s="74">
        <f>SUMIFS('0213 4度C'!$N:$N,'0213 4度C'!$A:$A,"新豐9線",'0213 4度C'!$B:$B,"平均")</f>
        <v>127.54134180916864</v>
      </c>
      <c r="M14" s="72">
        <f>SUMIFS('0213 4度C'!$N:$N,'0213 4度C'!$A:$A,"新豐4線",'0213 4度C'!$B:$B,"平均")</f>
        <v>139.15014360427728</v>
      </c>
    </row>
    <row r="15" spans="2:17" ht="40.15" customHeight="1">
      <c r="B15" s="123"/>
      <c r="C15" s="75" t="s">
        <v>228</v>
      </c>
      <c r="D15" s="76">
        <f t="shared" ref="D15:M15" si="0">D14/D13</f>
        <v>0.96909059850636814</v>
      </c>
      <c r="E15" s="77">
        <f t="shared" si="0"/>
        <v>0.9566770260578531</v>
      </c>
      <c r="F15" s="77">
        <f t="shared" si="0"/>
        <v>0.96004589807380936</v>
      </c>
      <c r="G15" s="77">
        <f t="shared" si="0"/>
        <v>0.96665422439878934</v>
      </c>
      <c r="H15" s="77">
        <f t="shared" si="0"/>
        <v>0.96324667681336329</v>
      </c>
      <c r="I15" s="77">
        <f t="shared" si="0"/>
        <v>0.93716519887492744</v>
      </c>
      <c r="J15" s="78">
        <f t="shared" si="0"/>
        <v>0.95784803431862231</v>
      </c>
      <c r="K15" s="76">
        <f t="shared" si="0"/>
        <v>0.95595506325144708</v>
      </c>
      <c r="L15" s="77">
        <f t="shared" si="0"/>
        <v>0.95656006356876477</v>
      </c>
      <c r="M15" s="78">
        <f t="shared" si="0"/>
        <v>0.96245515992958464</v>
      </c>
    </row>
    <row r="16" spans="2:17" ht="17.25" customHeight="1">
      <c r="B16" s="124" t="s">
        <v>1161</v>
      </c>
      <c r="C16" s="79" t="s">
        <v>230</v>
      </c>
      <c r="D16" s="80">
        <f>VLOOKUP("新豐6線",'0213 4度C'!$A:$T,19,0)</f>
        <v>0.70833333333333337</v>
      </c>
      <c r="E16" s="81">
        <f>VLOOKUP("新豐2線",'0213 4度C'!$A:$T,19,0)</f>
        <v>0.20833333333333334</v>
      </c>
      <c r="F16" s="81">
        <f>VLOOKUP("新豐5線",'0213 4度C'!$A:$T,19,0)</f>
        <v>0.20833333333333334</v>
      </c>
      <c r="G16" s="81">
        <f>VLOOKUP("新豐7線",'0213 4度C'!$A:$T,19,0)</f>
        <v>0.20833333333333334</v>
      </c>
      <c r="H16" s="81">
        <f>VLOOKUP("新豐3線",'0213 4度C'!$A:$T,19,0)</f>
        <v>0.20833333333333334</v>
      </c>
      <c r="I16" s="81">
        <f>VLOOKUP("新豐1線",'0213 4度C'!$A:$T,19,0)</f>
        <v>0.20833333333333334</v>
      </c>
      <c r="J16" s="82">
        <f>VLOOKUP("新豐10線",'0213 4度C'!$A:$T,19,0)</f>
        <v>0.20833333333333334</v>
      </c>
      <c r="K16" s="83">
        <f>VLOOKUP("新豐8線",'0213 4度C'!$A:$T,19,0)</f>
        <v>0.125</v>
      </c>
      <c r="L16" s="84">
        <f>VLOOKUP("新豐9線",'0213 4度C'!$A:$T,19,0)</f>
        <v>0.125</v>
      </c>
      <c r="M16" s="85">
        <f>VLOOKUP("新豐4線",'0213 4度C'!$A:$T,19,0)</f>
        <v>0.125</v>
      </c>
    </row>
    <row r="17" spans="2:13" ht="17.25" customHeight="1">
      <c r="B17" s="125"/>
      <c r="C17" s="79" t="s">
        <v>1162</v>
      </c>
      <c r="D17" s="83">
        <f>LOOKUP(2,1/(('0213 4度C'!$A:$A="新豐6線")*('0213 4度C'!$T:$T&lt;&gt;"")),'0213 4度C'!$T:$T)</f>
        <v>0.8388888888888888</v>
      </c>
      <c r="E17" s="81">
        <f>LOOKUP(2,1/(('0213 4度C'!$A:$A="新豐2線")*('0213 4度C'!$T:$T&lt;&gt;"")),'0213 4度C'!$T:$T)</f>
        <v>0.37152777777777779</v>
      </c>
      <c r="F17" s="81">
        <f>LOOKUP(2,1/(('0213 4度C'!$A:$A="新豐5線")*('0213 4度C'!$T:$T&lt;&gt;"")),'0213 4度C'!$T:$T)</f>
        <v>0.85625000000000007</v>
      </c>
      <c r="G17" s="81">
        <f>LOOKUP(2,1/(('0213 4度C'!$A:$A="新豐7線")*('0213 4度C'!$T:$T&lt;&gt;"")),'0213 4度C'!$T:$T)</f>
        <v>0.86250000000000004</v>
      </c>
      <c r="H17" s="81">
        <f>LOOKUP(2,1/(('0213 4度C'!$A:$A="新豐3線")*('0213 4度C'!$T:$T&lt;&gt;"")),'0213 4度C'!$T:$T)</f>
        <v>0.6381944444444444</v>
      </c>
      <c r="I17" s="81">
        <f>LOOKUP(2,1/(('0213 4度C'!$A:$A="新豐1線")*('0213 4度C'!$T:$T&lt;&gt;"")),'0213 4度C'!$T:$T)</f>
        <v>0.85069444444444442</v>
      </c>
      <c r="J17" s="82">
        <f>LOOKUP(2,1/(('0213 4度C'!$A:$A="新豐10線")*('0213 4度C'!$T:$T&lt;&gt;"")),'0213 4度C'!$T:$T)</f>
        <v>0.36874999999999997</v>
      </c>
      <c r="K17" s="80">
        <f>LOOKUP(2,1/(('0213 4度C'!$A:$A="新豐8線")*('0213 4度C'!$T:$T&lt;&gt;"")),'0213 4度C'!$T:$T)</f>
        <v>0.46458333333333324</v>
      </c>
      <c r="L17" s="81">
        <f>LOOKUP(2,1/(('0213 4度C'!$A:$A="新豐9線")*('0213 4度C'!$T:$T&lt;&gt;"")),'0213 4度C'!$T:$T)</f>
        <v>0.4194444444444444</v>
      </c>
      <c r="M17" s="82">
        <f>LOOKUP(2,1/(('0213 4度C'!$A:$A="新豐4線")*('0213 4度C'!$T:$T&lt;&gt;"")),'0213 4度C'!$T:$T)</f>
        <v>0.41805555555555551</v>
      </c>
    </row>
    <row r="18" spans="2:13" ht="17.25" customHeight="1">
      <c r="B18" s="103" t="s">
        <v>232</v>
      </c>
      <c r="C18" s="86" t="s">
        <v>1163</v>
      </c>
      <c r="D18" s="87">
        <f>SUMIFS('0213 4度C'!$Y:$Y,'0213 4度C'!$A:$A,"新豐6線",'0213 4度C'!$B:$B,"平均")</f>
        <v>0</v>
      </c>
      <c r="E18" s="88">
        <f>SUMIFS('0213 4度C'!$Y:$Y,'0213 4度C'!$A:$A,"新豐2線",'0213 4度C'!$B:$B,"平均")</f>
        <v>0</v>
      </c>
      <c r="F18" s="88">
        <f>SUMIFS('0213 4度C'!$Y:$Y,'0213 4度C'!$A:$A,"新豐5線",'0213 4度C'!$B:$B,"平均")</f>
        <v>0</v>
      </c>
      <c r="G18" s="88">
        <f>SUMIFS('0213 4度C'!$Y:$Y,'0213 4度C'!$A:$A,"新豐7線",'0213 4度C'!$B:$B,"平均")</f>
        <v>0</v>
      </c>
      <c r="H18" s="88">
        <f>SUMIFS('0213 4度C'!$Y:$Y,'0213 4度C'!$A:$A,"新豐3線",'0213 4度C'!$B:$B,"平均")</f>
        <v>0</v>
      </c>
      <c r="I18" s="88">
        <f>SUMIFS('0213 4度C'!$Y:$Y,'0213 4度C'!$A:$A,"新豐1線",'0213 4度C'!$B:$B,"平均")</f>
        <v>0</v>
      </c>
      <c r="J18" s="89">
        <f>SUMIFS('0213 4度C'!$Y:$Y,'0213 4度C'!$A:$A,"新豐10線",'0213 4度C'!$B:$B,"平均")</f>
        <v>0</v>
      </c>
      <c r="K18" s="90">
        <f>SUMIFS('0213 4度C'!$Y:$Y,'0213 4度C'!$A:$A,"新豐8線",'0213 4度C'!$B:$B,"平均")</f>
        <v>0</v>
      </c>
      <c r="L18" s="88">
        <f>SUMIFS('0213 4度C'!$Y:$Y,'0213 4度C'!$A:$A,"新豐9線",'0213 4度C'!$B:$B,"平均")</f>
        <v>0</v>
      </c>
      <c r="M18" s="89">
        <f>SUMIFS('0213 4度C'!$Y:$Y,'0213 4度C'!$A:$A,"新豐4線",'0213 4度C'!$B:$B,"平均")</f>
        <v>0</v>
      </c>
    </row>
    <row r="19" spans="2:13" ht="17.25" customHeight="1">
      <c r="B19" s="104"/>
      <c r="C19" s="86" t="s">
        <v>1164</v>
      </c>
      <c r="D19" s="87">
        <f>SUMIFS('0213 4度C'!$Z:$Z,'0213 4度C'!$A:$A,"新豐6線",'0213 4度C'!$B:$B,"平均")</f>
        <v>0</v>
      </c>
      <c r="E19" s="88">
        <f>SUMIFS('0213 4度C'!$Z:$Z,'0213 4度C'!$A:$A,"新豐2線",'0213 4度C'!$B:$B,"平均")</f>
        <v>0</v>
      </c>
      <c r="F19" s="88">
        <f>SUMIFS('0213 4度C'!$Z:$Z,'0213 4度C'!$A:$A,"新豐5線",'0213 4度C'!$B:$B,"平均")</f>
        <v>0</v>
      </c>
      <c r="G19" s="88">
        <f>SUMIFS('0213 4度C'!$Z:$Z,'0213 4度C'!$A:$A,"新豐7線",'0213 4度C'!$B:$B,"平均")</f>
        <v>0</v>
      </c>
      <c r="H19" s="88">
        <f>SUMIFS('0213 4度C'!$Z:$Z,'0213 4度C'!$A:$A,"新豐3線",'0213 4度C'!$B:$B,"平均")</f>
        <v>0</v>
      </c>
      <c r="I19" s="88">
        <f>SUMIFS('0213 4度C'!$Z:$Z,'0213 4度C'!$A:$A,"新豐1線",'0213 4度C'!$B:$B,"平均")</f>
        <v>0</v>
      </c>
      <c r="J19" s="89">
        <f>SUMIFS('0213 4度C'!$Z:$Z,'0213 4度C'!$A:$A,"新豐10線",'0213 4度C'!$B:$B,"平均")</f>
        <v>0</v>
      </c>
      <c r="K19" s="90">
        <f>SUMIFS('0213 4度C'!$Z:$Z,'0213 4度C'!$A:$A,"新豐8線",'0213 4度C'!$B:$B,"平均")</f>
        <v>0</v>
      </c>
      <c r="L19" s="88">
        <f>SUMIFS('0213 4度C'!$Z:$Z,'0213 4度C'!$A:$A,"新豐9線",'0213 4度C'!$B:$B,"平均")</f>
        <v>0</v>
      </c>
      <c r="M19" s="89">
        <f>SUMIFS('0213 4度C'!$Z:$Z,'0213 4度C'!$A:$A,"新豐4線",'0213 4度C'!$B:$B,"平均")</f>
        <v>0</v>
      </c>
    </row>
    <row r="20" spans="2:13" ht="17.25" customHeight="1">
      <c r="B20" s="103" t="s">
        <v>1165</v>
      </c>
      <c r="C20" s="86" t="s">
        <v>42</v>
      </c>
      <c r="D20" s="87">
        <f>SUMIFS('0213 4度C'!$AC:$AC,'0213 4度C'!$A:$A,"新豐6線",'0213 4度C'!$B:$B,"平均")</f>
        <v>5</v>
      </c>
      <c r="E20" s="88">
        <f>SUMIFS('0213 4度C'!$AC:$AC,'0213 4度C'!$A:$A,"新豐2線",'0213 4度C'!$B:$B,"平均")</f>
        <v>2</v>
      </c>
      <c r="F20" s="88">
        <f>SUMIFS('0213 4度C'!$AC:$AC,'0213 4度C'!$A:$A,"新豐5線",'0213 4度C'!$B:$B,"平均")</f>
        <v>6</v>
      </c>
      <c r="G20" s="88">
        <f>SUMIFS('0213 4度C'!$AC:$AC,'0213 4度C'!$A:$A,"新豐7線",'0213 4度C'!$B:$B,"平均")</f>
        <v>6</v>
      </c>
      <c r="H20" s="88">
        <f>SUMIFS('0213 4度C'!$AC:$AC,'0213 4度C'!$A:$A,"新豐3線",'0213 4度C'!$B:$B,"平均")</f>
        <v>10</v>
      </c>
      <c r="I20" s="88">
        <f>SUMIFS('0213 4度C'!$AC:$AC,'0213 4度C'!$A:$A,"新豐1線",'0213 4度C'!$B:$B,"平均")</f>
        <v>9</v>
      </c>
      <c r="J20" s="89">
        <f>SUMIFS('0213 4度C'!$AC:$AC,'0213 4度C'!$A:$A,"新豐10線",'0213 4度C'!$B:$B,"平均")</f>
        <v>5</v>
      </c>
      <c r="K20" s="90">
        <f>SUMIFS('0213 4度C'!$AC:$AC,'0213 4度C'!$A:$A,"新豐8線",'0213 4度C'!$B:$B,"平均")</f>
        <v>5</v>
      </c>
      <c r="L20" s="88">
        <f>SUMIFS('0213 4度C'!$AC:$AC,'0213 4度C'!$A:$A,"新豐9線",'0213 4度C'!$B:$B,"平均")</f>
        <v>5</v>
      </c>
      <c r="M20" s="89">
        <f>SUMIFS('0213 4度C'!$AC:$AC,'0213 4度C'!$A:$A,"新豐4線",'0213 4度C'!$B:$B,"平均")</f>
        <v>5</v>
      </c>
    </row>
    <row r="21" spans="2:13" ht="17.25" customHeight="1">
      <c r="B21" s="104"/>
      <c r="C21" s="86" t="s">
        <v>1166</v>
      </c>
      <c r="D21" s="87">
        <f>SUMIFS('0213 4度C'!$AD:$AD,'0213 4度C'!$A:$A,"新豐6線",'0213 4度C'!$B:$B,"平均")</f>
        <v>0</v>
      </c>
      <c r="E21" s="88">
        <f>SUMIFS('0213 4度C'!$AD:$AD,'0213 4度C'!$A:$A,"新豐2線",'0213 4度C'!$B:$B,"平均")</f>
        <v>0</v>
      </c>
      <c r="F21" s="88">
        <f>SUMIFS('0213 4度C'!$AD:$AD,'0213 4度C'!$A:$A,"新豐5線",'0213 4度C'!$B:$B,"平均")</f>
        <v>0</v>
      </c>
      <c r="G21" s="88">
        <f>SUMIFS('0213 4度C'!$AD:$AD,'0213 4度C'!$A:$A,"新豐7線",'0213 4度C'!$B:$B,"平均")</f>
        <v>0</v>
      </c>
      <c r="H21" s="88">
        <f>SUMIFS('0213 4度C'!$AD:$AD,'0213 4度C'!$A:$A,"新豐3線",'0213 4度C'!$B:$B,"平均")</f>
        <v>0</v>
      </c>
      <c r="I21" s="88">
        <f>SUMIFS('0213 4度C'!$AD:$AD,'0213 4度C'!$A:$A,"新豐1線",'0213 4度C'!$B:$B,"平均")</f>
        <v>0</v>
      </c>
      <c r="J21" s="89">
        <f>SUMIFS('0213 4度C'!$AD:$AD,'0213 4度C'!$A:$A,"新豐10線",'0213 4度C'!$B:$B,"平均")</f>
        <v>0</v>
      </c>
      <c r="K21" s="90">
        <f>SUMIFS('0213 4度C'!$AD:$AD,'0213 4度C'!$A:$A,"新豐8線",'0213 4度C'!$B:$B,"平均")</f>
        <v>0</v>
      </c>
      <c r="L21" s="88">
        <f>SUMIFS('0213 4度C'!$AD:$AD,'0213 4度C'!$A:$A,"新豐9線",'0213 4度C'!$B:$B,"平均")</f>
        <v>0</v>
      </c>
      <c r="M21" s="89">
        <f>SUMIFS('0213 4度C'!$AD:$AD,'0213 4度C'!$A:$A,"新豐4線",'0213 4度C'!$B:$B,"平均")</f>
        <v>0</v>
      </c>
    </row>
    <row r="22" spans="2:13" ht="17.25" customHeight="1">
      <c r="B22" s="105" t="s">
        <v>1167</v>
      </c>
      <c r="C22" s="106"/>
      <c r="D22" s="91">
        <f>SUMIFS('0213 4度C'!$I:$I,'0213 4度C'!$A:$A,"新豐6線",'0213 4度C'!$B:$B,"平均")</f>
        <v>17.600000000000001</v>
      </c>
      <c r="E22" s="92">
        <f>SUMIFS('0213 4度C'!$I:$I,'0213 4度C'!$A:$A,"新豐2線",'0213 4度C'!$B:$B,"平均")</f>
        <v>18</v>
      </c>
      <c r="F22" s="92">
        <f>SUMIFS('0213 4度C'!$I:$I,'0213 4度C'!$A:$A,"新豐5線",'0213 4度C'!$B:$B,"平均")</f>
        <v>17.166666666666668</v>
      </c>
      <c r="G22" s="92">
        <f>SUMIFS('0213 4度C'!$I:$I,'0213 4度C'!$A:$A,"新豐7線",'0213 4度C'!$B:$B,"平均")</f>
        <v>15.333333333333334</v>
      </c>
      <c r="H22" s="92">
        <f>SUMIFS('0213 4度C'!$I:$I,'0213 4度C'!$A:$A,"新豐3線",'0213 4度C'!$B:$B,"平均")</f>
        <v>9.9</v>
      </c>
      <c r="I22" s="92">
        <f>SUMIFS('0213 4度C'!$I:$I,'0213 4度C'!$A:$A,"新豐1線",'0213 4度C'!$B:$B,"平均")</f>
        <v>18.666666666666668</v>
      </c>
      <c r="J22" s="93">
        <f>SUMIFS('0213 4度C'!$I:$I,'0213 4度C'!$A:$A,"新豐10線",'0213 4度C'!$B:$B,"平均")</f>
        <v>10.6</v>
      </c>
      <c r="K22" s="91">
        <f>SUMIFS('0213 4度C'!$I:$I,'0213 4度C'!$A:$A,"新豐8線",'0213 4度C'!$B:$B,"平均")</f>
        <v>18.2</v>
      </c>
      <c r="L22" s="92">
        <f>SUMIFS('0213 4度C'!$I:$I,'0213 4度C'!$A:$A,"新豐9線",'0213 4度C'!$B:$B,"平均")</f>
        <v>18</v>
      </c>
      <c r="M22" s="93">
        <f>SUMIFS('0213 4度C'!$I:$I,'0213 4度C'!$A:$A,"新豐4線",'0213 4度C'!$B:$B,"平均")</f>
        <v>16.600000000000001</v>
      </c>
    </row>
    <row r="23" spans="2:13" ht="17.25" customHeight="1">
      <c r="B23" s="105" t="s">
        <v>1168</v>
      </c>
      <c r="C23" s="106"/>
      <c r="D23" s="94" t="s">
        <v>191</v>
      </c>
      <c r="E23" s="95" t="s">
        <v>192</v>
      </c>
      <c r="F23" s="95" t="s">
        <v>1169</v>
      </c>
      <c r="G23" s="95" t="s">
        <v>1169</v>
      </c>
      <c r="H23" s="95" t="s">
        <v>194</v>
      </c>
      <c r="I23" s="95" t="s">
        <v>191</v>
      </c>
      <c r="J23" s="96" t="s">
        <v>194</v>
      </c>
      <c r="K23" s="94" t="s">
        <v>195</v>
      </c>
      <c r="L23" s="95" t="s">
        <v>1170</v>
      </c>
      <c r="M23" s="96" t="s">
        <v>1170</v>
      </c>
    </row>
    <row r="24" spans="2:13" ht="17.25" customHeight="1">
      <c r="B24" s="105" t="s">
        <v>1171</v>
      </c>
      <c r="C24" s="106"/>
      <c r="D24" s="94"/>
      <c r="E24" s="95"/>
      <c r="F24" s="95" t="s">
        <v>668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1172</v>
      </c>
      <c r="C25" s="108"/>
      <c r="D25" s="97"/>
      <c r="E25" s="98" t="s">
        <v>1173</v>
      </c>
      <c r="F25" s="101" t="s">
        <v>243</v>
      </c>
      <c r="G25" s="102"/>
      <c r="H25" s="98" t="s">
        <v>1174</v>
      </c>
      <c r="I25" s="98" t="s">
        <v>1175</v>
      </c>
      <c r="J25" s="99" t="s">
        <v>1174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2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工作表13">
    <pageSetUpPr fitToPage="1"/>
  </sheetPr>
  <dimension ref="A1:AG73"/>
  <sheetViews>
    <sheetView zoomScale="80" zoomScaleNormal="80" workbookViewId="0">
      <pane ySplit="4" topLeftCell="A5" activePane="bottomLeft" state="frozen"/>
      <selection activeCell="A10" sqref="A10"/>
      <selection pane="bottomLeft" activeCell="AC14" sqref="AC14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1176</v>
      </c>
      <c r="B1" s="1"/>
      <c r="C1" s="2" t="s">
        <v>1177</v>
      </c>
      <c r="D1" s="3">
        <f>SUM(F5:F72)</f>
        <v>116787</v>
      </c>
      <c r="E1" s="4" t="s">
        <v>1178</v>
      </c>
      <c r="F1" s="1">
        <f>SUM(G5:G72)</f>
        <v>4137143.1800000006</v>
      </c>
      <c r="G1" s="1" t="s">
        <v>1179</v>
      </c>
      <c r="H1" s="5">
        <f>L10+L13+L50+L60+L20+L66+L33+L39+L27+L72</f>
        <v>160.06666666666666</v>
      </c>
      <c r="I1" s="214" t="s">
        <v>1180</v>
      </c>
      <c r="J1" s="214"/>
      <c r="K1" s="214"/>
      <c r="L1" s="214" t="s">
        <v>1181</v>
      </c>
      <c r="M1" s="214"/>
      <c r="N1" s="214"/>
      <c r="O1" s="214" t="s">
        <v>1182</v>
      </c>
      <c r="P1" s="214"/>
      <c r="Q1" s="214"/>
      <c r="R1" s="214"/>
      <c r="S1" s="214" t="s">
        <v>1183</v>
      </c>
      <c r="T1" s="214"/>
      <c r="U1" s="214"/>
      <c r="V1" s="214"/>
      <c r="W1" s="214"/>
      <c r="X1" s="214"/>
      <c r="Y1" s="6" t="s">
        <v>1184</v>
      </c>
      <c r="Z1" s="7" t="s">
        <v>1185</v>
      </c>
      <c r="AA1" s="215" t="s">
        <v>1186</v>
      </c>
      <c r="AB1" s="215"/>
      <c r="AC1" s="8" t="s">
        <v>1184</v>
      </c>
      <c r="AD1" s="7" t="s">
        <v>1187</v>
      </c>
      <c r="AE1" s="214" t="s">
        <v>1188</v>
      </c>
      <c r="AF1" s="216"/>
      <c r="AG1" s="216"/>
    </row>
    <row r="2" spans="1:33" ht="26.25" customHeight="1">
      <c r="A2" s="35">
        <v>46066</v>
      </c>
      <c r="B2" s="36" t="s">
        <v>619</v>
      </c>
      <c r="C2" s="2" t="s">
        <v>1189</v>
      </c>
      <c r="D2" s="10">
        <f>AVERAGE(N10,N13,N50,N60,N20,N66,N27,N33,N39,N72)</f>
        <v>137.61998139996663</v>
      </c>
      <c r="E2" s="11" t="s">
        <v>14</v>
      </c>
      <c r="F2" s="12">
        <f>F1/D1</f>
        <v>35.42468922054681</v>
      </c>
      <c r="G2" s="1" t="s">
        <v>1190</v>
      </c>
      <c r="H2" s="13">
        <f>COUNT(H5:H72)</f>
        <v>4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SUM(Y10+Y13+Y20+Y27+Y33+Y39+Y50+Y60+Y66+Y72)</f>
        <v>0</v>
      </c>
      <c r="Z2" s="14">
        <f>SUM(Z10+Z13+Z20+Z27+Z33+Z39+Z50+Z60+Z66+Z72)</f>
        <v>0</v>
      </c>
      <c r="AA2" s="215"/>
      <c r="AB2" s="215"/>
      <c r="AC2" s="14">
        <v>58</v>
      </c>
      <c r="AD2" s="14">
        <f>SUM(AD10+AD13+AD20+AD27+AD33+AD39+AD50+AD60+AD66+AD72)</f>
        <v>0</v>
      </c>
      <c r="AE2" s="216"/>
      <c r="AF2" s="216"/>
      <c r="AG2" s="216"/>
    </row>
    <row r="3" spans="1:33" ht="40.5" customHeight="1">
      <c r="A3" s="164" t="s">
        <v>1191</v>
      </c>
      <c r="B3" s="164" t="s">
        <v>17</v>
      </c>
      <c r="C3" s="164" t="s">
        <v>1192</v>
      </c>
      <c r="D3" s="164"/>
      <c r="E3" s="212" t="s">
        <v>1193</v>
      </c>
      <c r="F3" s="164" t="s">
        <v>1194</v>
      </c>
      <c r="G3" s="212" t="s">
        <v>1195</v>
      </c>
      <c r="H3" s="206" t="s">
        <v>1196</v>
      </c>
      <c r="I3" s="204" t="s">
        <v>1197</v>
      </c>
      <c r="J3" s="201" t="s">
        <v>1198</v>
      </c>
      <c r="K3" s="211" t="s">
        <v>1199</v>
      </c>
      <c r="L3" s="204" t="s">
        <v>23</v>
      </c>
      <c r="M3" s="201" t="s">
        <v>1200</v>
      </c>
      <c r="N3" s="211" t="s">
        <v>13</v>
      </c>
      <c r="O3" s="204" t="s">
        <v>1197</v>
      </c>
      <c r="P3" s="211" t="s">
        <v>1201</v>
      </c>
      <c r="Q3" s="202" t="s">
        <v>1202</v>
      </c>
      <c r="R3" s="182" t="s">
        <v>1203</v>
      </c>
      <c r="S3" s="164" t="s">
        <v>30</v>
      </c>
      <c r="T3" s="164"/>
      <c r="U3" s="206" t="s">
        <v>31</v>
      </c>
      <c r="V3" s="206" t="s">
        <v>1204</v>
      </c>
      <c r="W3" s="164" t="s">
        <v>265</v>
      </c>
      <c r="X3" s="164"/>
      <c r="Y3" s="207" t="s">
        <v>1205</v>
      </c>
      <c r="Z3" s="168"/>
      <c r="AA3" s="208" t="s">
        <v>267</v>
      </c>
      <c r="AB3" s="209"/>
      <c r="AC3" s="207" t="s">
        <v>1206</v>
      </c>
      <c r="AD3" s="168"/>
      <c r="AE3" s="201" t="s">
        <v>1207</v>
      </c>
      <c r="AF3" s="202" t="s">
        <v>1208</v>
      </c>
      <c r="AG3" s="182" t="s">
        <v>553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1209</v>
      </c>
      <c r="X4" s="4" t="s">
        <v>1210</v>
      </c>
      <c r="Y4" s="15" t="s">
        <v>1211</v>
      </c>
      <c r="Z4" s="15" t="s">
        <v>1212</v>
      </c>
      <c r="AA4" s="210"/>
      <c r="AB4" s="209"/>
      <c r="AC4" s="15" t="s">
        <v>1213</v>
      </c>
      <c r="AD4" s="15" t="s">
        <v>1214</v>
      </c>
      <c r="AE4" s="201"/>
      <c r="AF4" s="202"/>
      <c r="AG4" s="182"/>
    </row>
    <row r="5" spans="1:33">
      <c r="A5" s="203" t="s">
        <v>1215</v>
      </c>
      <c r="B5" s="37" t="s">
        <v>78</v>
      </c>
      <c r="C5" s="205" t="s">
        <v>79</v>
      </c>
      <c r="D5" s="205"/>
      <c r="E5" s="37">
        <v>50.67</v>
      </c>
      <c r="F5" s="4">
        <v>1326</v>
      </c>
      <c r="G5" s="4">
        <f t="shared" ref="G5:G9" si="0">E5*F5</f>
        <v>67188.42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9" si="2">F5/V5*60</f>
        <v>1940.4878048780481</v>
      </c>
      <c r="N5" s="17">
        <f t="shared" ref="N5:N68" si="3">M5/L5</f>
        <v>114.1463414634146</v>
      </c>
      <c r="O5" s="19">
        <f t="shared" ref="O5:O68" si="4">L5-I5</f>
        <v>0</v>
      </c>
      <c r="P5" s="20">
        <f t="shared" ref="P5:P68" si="5">N5-K5</f>
        <v>-3.5007173601148054</v>
      </c>
      <c r="Q5" s="21">
        <f t="shared" ref="Q5:Q68" si="6">N5/K5</f>
        <v>0.97024390243902414</v>
      </c>
      <c r="R5" s="172">
        <f>Q10</f>
        <v>0.96909059850636814</v>
      </c>
      <c r="S5" s="28">
        <v>0.70833333333333337</v>
      </c>
      <c r="T5" s="28">
        <v>0.7368055555555556</v>
      </c>
      <c r="U5" s="4"/>
      <c r="V5" s="22">
        <f t="shared" ref="V5:V9" si="7">(T5-S5)*24*60</f>
        <v>41.000000000000014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9" si="8">M5-J5</f>
        <v>-59.512195121951891</v>
      </c>
      <c r="AF5" s="21">
        <f t="shared" ref="AF5:AF68" si="9">M5/J5</f>
        <v>0.97024390243902403</v>
      </c>
      <c r="AG5" s="172">
        <f>AF10</f>
        <v>0.96909059850636825</v>
      </c>
    </row>
    <row r="6" spans="1:33">
      <c r="A6" s="204" t="s">
        <v>273</v>
      </c>
      <c r="B6" s="37" t="s">
        <v>78</v>
      </c>
      <c r="C6" s="205" t="s">
        <v>80</v>
      </c>
      <c r="D6" s="205"/>
      <c r="E6" s="37">
        <v>54.09</v>
      </c>
      <c r="F6" s="4">
        <v>1203</v>
      </c>
      <c r="G6" s="4">
        <f t="shared" si="0"/>
        <v>65070.270000000004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1950.8108108108092</v>
      </c>
      <c r="N6" s="17">
        <f t="shared" si="3"/>
        <v>102.67425320056891</v>
      </c>
      <c r="O6" s="19">
        <f t="shared" si="4"/>
        <v>0</v>
      </c>
      <c r="P6" s="20">
        <f t="shared" si="5"/>
        <v>-2.5889046941679226</v>
      </c>
      <c r="Q6" s="21">
        <f t="shared" si="6"/>
        <v>0.97540540540540477</v>
      </c>
      <c r="R6" s="172"/>
      <c r="S6" s="28">
        <v>0.74236111111111114</v>
      </c>
      <c r="T6" s="28">
        <v>0.7680555555555556</v>
      </c>
      <c r="U6" s="4">
        <f t="shared" ref="U6:U9" si="10">IF(S6=TIME(17,0,0),"",(S6-T5)*24*60)</f>
        <v>7.9999999999999716</v>
      </c>
      <c r="V6" s="22">
        <f t="shared" si="7"/>
        <v>37.000000000000028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-49.189189189190756</v>
      </c>
      <c r="AF6" s="21">
        <f t="shared" si="9"/>
        <v>0.97540540540540466</v>
      </c>
      <c r="AG6" s="172"/>
    </row>
    <row r="7" spans="1:33">
      <c r="A7" s="204" t="s">
        <v>1216</v>
      </c>
      <c r="B7" s="37" t="s">
        <v>78</v>
      </c>
      <c r="C7" s="196" t="s">
        <v>81</v>
      </c>
      <c r="D7" s="197"/>
      <c r="E7" s="37">
        <v>50.29</v>
      </c>
      <c r="F7" s="4">
        <v>682</v>
      </c>
      <c r="G7" s="4">
        <f t="shared" si="0"/>
        <v>34297.78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1948.5714285714353</v>
      </c>
      <c r="N7" s="17">
        <f t="shared" si="3"/>
        <v>121.7857142857147</v>
      </c>
      <c r="O7" s="19">
        <f t="shared" si="4"/>
        <v>0</v>
      </c>
      <c r="P7" s="20">
        <f t="shared" si="5"/>
        <v>-3.2142857142852961</v>
      </c>
      <c r="Q7" s="21">
        <f t="shared" si="6"/>
        <v>0.97428571428571764</v>
      </c>
      <c r="R7" s="172"/>
      <c r="S7" s="28">
        <v>0.77222222222222225</v>
      </c>
      <c r="T7" s="28">
        <v>0.78680555555555554</v>
      </c>
      <c r="U7" s="4">
        <f t="shared" si="10"/>
        <v>5.9999999999999787</v>
      </c>
      <c r="V7" s="22">
        <f t="shared" si="7"/>
        <v>20.999999999999925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-51.428571428564737</v>
      </c>
      <c r="AF7" s="21">
        <f t="shared" si="9"/>
        <v>0.97428571428571764</v>
      </c>
      <c r="AG7" s="172"/>
    </row>
    <row r="8" spans="1:33">
      <c r="A8" s="204" t="s">
        <v>1216</v>
      </c>
      <c r="B8" s="37" t="s">
        <v>78</v>
      </c>
      <c r="C8" s="196" t="s">
        <v>82</v>
      </c>
      <c r="D8" s="197"/>
      <c r="E8" s="37">
        <v>57.3</v>
      </c>
      <c r="F8" s="4">
        <v>1380</v>
      </c>
      <c r="G8" s="4">
        <f t="shared" si="0"/>
        <v>79074</v>
      </c>
      <c r="H8" s="22" t="s">
        <v>139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1925.5813953488368</v>
      </c>
      <c r="N8" s="17">
        <f t="shared" si="3"/>
        <v>128.37209302325579</v>
      </c>
      <c r="O8" s="19">
        <f t="shared" si="4"/>
        <v>0</v>
      </c>
      <c r="P8" s="20">
        <f t="shared" si="5"/>
        <v>-4.9612403100775566</v>
      </c>
      <c r="Q8" s="21">
        <f t="shared" si="6"/>
        <v>0.96279069767441838</v>
      </c>
      <c r="R8" s="172"/>
      <c r="S8" s="28">
        <v>0.79027777777777775</v>
      </c>
      <c r="T8" s="28">
        <v>0.82013888888888886</v>
      </c>
      <c r="U8" s="4">
        <f t="shared" si="10"/>
        <v>4.9999999999999822</v>
      </c>
      <c r="V8" s="22">
        <f t="shared" si="7"/>
        <v>43.000000000000007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-74.41860465116315</v>
      </c>
      <c r="AF8" s="21">
        <f t="shared" si="9"/>
        <v>0.96279069767441838</v>
      </c>
      <c r="AG8" s="172"/>
    </row>
    <row r="9" spans="1:33">
      <c r="A9" s="204" t="s">
        <v>1216</v>
      </c>
      <c r="B9" s="37" t="s">
        <v>78</v>
      </c>
      <c r="C9" s="196" t="s">
        <v>83</v>
      </c>
      <c r="D9" s="197"/>
      <c r="E9" s="37">
        <v>50.67</v>
      </c>
      <c r="F9" s="4">
        <v>706</v>
      </c>
      <c r="G9" s="4">
        <f t="shared" si="0"/>
        <v>35773.020000000004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1925.4545454545523</v>
      </c>
      <c r="N9" s="17">
        <f t="shared" si="3"/>
        <v>91.688311688312012</v>
      </c>
      <c r="O9" s="19">
        <f t="shared" si="4"/>
        <v>0</v>
      </c>
      <c r="P9" s="20">
        <f t="shared" si="5"/>
        <v>-3.5497835497832284</v>
      </c>
      <c r="Q9" s="21">
        <f t="shared" si="6"/>
        <v>0.9627272727272761</v>
      </c>
      <c r="R9" s="172"/>
      <c r="S9" s="28">
        <v>0.82361111111111107</v>
      </c>
      <c r="T9" s="28">
        <v>0.8388888888888888</v>
      </c>
      <c r="U9" s="4">
        <f t="shared" si="10"/>
        <v>4.9999999999999822</v>
      </c>
      <c r="V9" s="22">
        <f t="shared" si="7"/>
        <v>21.999999999999922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-74.545454545447683</v>
      </c>
      <c r="AF9" s="21">
        <f t="shared" si="9"/>
        <v>0.96272727272727621</v>
      </c>
      <c r="AG9" s="172"/>
    </row>
    <row r="10" spans="1:33">
      <c r="A10" s="204" t="s">
        <v>1217</v>
      </c>
      <c r="B10" s="37" t="s">
        <v>1218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1"/>
        <v>113.63636363636363</v>
      </c>
      <c r="L10" s="30">
        <v>17.600000000000001</v>
      </c>
      <c r="M10" s="18">
        <f>AVERAGE(M5:M9)</f>
        <v>1938.1811970127364</v>
      </c>
      <c r="N10" s="17">
        <f t="shared" si="3"/>
        <v>110.12393164845092</v>
      </c>
      <c r="O10" s="19">
        <f t="shared" si="4"/>
        <v>0</v>
      </c>
      <c r="P10" s="20">
        <f t="shared" si="5"/>
        <v>-3.5124319879127057</v>
      </c>
      <c r="Q10" s="21">
        <f t="shared" si="6"/>
        <v>0.96909059850636814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8"/>
        <v>-61.818802987263552</v>
      </c>
      <c r="AF10" s="21">
        <f t="shared" si="9"/>
        <v>0.96909059850636825</v>
      </c>
      <c r="AG10" s="172"/>
    </row>
    <row r="11" spans="1:33" ht="15.75" customHeight="1">
      <c r="A11" s="200" t="s">
        <v>49</v>
      </c>
      <c r="B11" s="37" t="s">
        <v>84</v>
      </c>
      <c r="C11" s="196" t="s">
        <v>85</v>
      </c>
      <c r="D11" s="197"/>
      <c r="E11" s="37">
        <v>39.619999999999997</v>
      </c>
      <c r="F11" s="4">
        <v>2125</v>
      </c>
      <c r="G11" s="4">
        <f t="shared" ref="G11:G12" si="11">E11*F11</f>
        <v>84192.5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1432.5842696629206</v>
      </c>
      <c r="N11" s="17">
        <f t="shared" si="3"/>
        <v>75.399172087522132</v>
      </c>
      <c r="O11" s="19">
        <f t="shared" si="4"/>
        <v>0</v>
      </c>
      <c r="P11" s="20">
        <f t="shared" si="5"/>
        <v>-3.5481963335304982</v>
      </c>
      <c r="Q11" s="21">
        <f t="shared" si="6"/>
        <v>0.95505617977528035</v>
      </c>
      <c r="R11" s="172">
        <f>Q13</f>
        <v>0.9566770260578531</v>
      </c>
      <c r="S11" s="28">
        <v>0.20833333333333334</v>
      </c>
      <c r="T11" s="28">
        <v>0.27013888888888893</v>
      </c>
      <c r="U11" s="4"/>
      <c r="V11" s="22">
        <f t="shared" ref="V11:V12" si="13">(T11-S11)*24*60</f>
        <v>89.000000000000043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-67.415730337079367</v>
      </c>
      <c r="AF11" s="21">
        <f t="shared" si="9"/>
        <v>0.95505617977528046</v>
      </c>
      <c r="AG11" s="172">
        <f>AF13</f>
        <v>0.95667702605785299</v>
      </c>
    </row>
    <row r="12" spans="1:33" ht="15.75" customHeight="1">
      <c r="A12" s="200" t="s">
        <v>49</v>
      </c>
      <c r="B12" s="37" t="s">
        <v>84</v>
      </c>
      <c r="C12" s="196" t="s">
        <v>86</v>
      </c>
      <c r="D12" s="197"/>
      <c r="E12" s="37">
        <v>39.799999999999997</v>
      </c>
      <c r="F12" s="4">
        <v>3378</v>
      </c>
      <c r="G12" s="4">
        <f t="shared" si="11"/>
        <v>134444.4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1437.4468085106384</v>
      </c>
      <c r="N12" s="17">
        <f t="shared" si="3"/>
        <v>84.555694618272852</v>
      </c>
      <c r="O12" s="19">
        <f t="shared" si="4"/>
        <v>0</v>
      </c>
      <c r="P12" s="20">
        <f t="shared" si="5"/>
        <v>-3.6795994993742056</v>
      </c>
      <c r="Q12" s="21">
        <f t="shared" si="6"/>
        <v>0.95829787234042563</v>
      </c>
      <c r="R12" s="172"/>
      <c r="S12" s="28">
        <v>0.27361111111111114</v>
      </c>
      <c r="T12" s="28">
        <v>0.37152777777777779</v>
      </c>
      <c r="U12" s="4">
        <f t="shared" ref="U12" si="14">IF(S12=TIME(17,0,0),"",(S12-T11)*24*60)</f>
        <v>4.9999999999999822</v>
      </c>
      <c r="V12" s="22">
        <f t="shared" si="13"/>
        <v>140.99999999999997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-62.553191489361552</v>
      </c>
      <c r="AF12" s="21">
        <f t="shared" si="9"/>
        <v>0.95829787234042563</v>
      </c>
      <c r="AG12" s="172"/>
    </row>
    <row r="13" spans="1:33" ht="16.5" customHeight="1">
      <c r="A13" s="200" t="s">
        <v>1219</v>
      </c>
      <c r="B13" s="37" t="s">
        <v>1220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1435.0155390867794</v>
      </c>
      <c r="N13" s="17">
        <f t="shared" si="3"/>
        <v>79.723085504821086</v>
      </c>
      <c r="O13" s="19">
        <f t="shared" si="4"/>
        <v>0</v>
      </c>
      <c r="P13" s="20">
        <f t="shared" si="5"/>
        <v>-3.610247828512243</v>
      </c>
      <c r="Q13" s="21">
        <f t="shared" si="6"/>
        <v>0.9566770260578531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8"/>
        <v>-64.984460913220573</v>
      </c>
      <c r="AF13" s="21">
        <f t="shared" si="9"/>
        <v>0.95667702605785299</v>
      </c>
      <c r="AG13" s="172"/>
    </row>
    <row r="14" spans="1:33" ht="16.5" customHeight="1">
      <c r="A14" s="198" t="s">
        <v>52</v>
      </c>
      <c r="B14" s="4" t="s">
        <v>87</v>
      </c>
      <c r="C14" s="190" t="s">
        <v>88</v>
      </c>
      <c r="D14" s="190"/>
      <c r="E14" s="37">
        <v>41</v>
      </c>
      <c r="F14" s="4">
        <v>2169</v>
      </c>
      <c r="G14" s="4">
        <f t="shared" ref="G14:G19" si="15">E14*F14</f>
        <v>88929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19" si="16">F14/V14*60</f>
        <v>1430.1098901098894</v>
      </c>
      <c r="N14" s="17">
        <f t="shared" si="3"/>
        <v>55.004226542688052</v>
      </c>
      <c r="O14" s="19">
        <f t="shared" si="4"/>
        <v>0</v>
      </c>
      <c r="P14" s="20">
        <f t="shared" si="5"/>
        <v>-2.6880811496196415</v>
      </c>
      <c r="Q14" s="21">
        <f t="shared" si="6"/>
        <v>0.95340659340659284</v>
      </c>
      <c r="R14" s="172">
        <f>Q20</f>
        <v>0.96004589807380936</v>
      </c>
      <c r="S14" s="28">
        <v>0.20833333333333334</v>
      </c>
      <c r="T14" s="28">
        <v>0.27152777777777781</v>
      </c>
      <c r="U14" s="4"/>
      <c r="V14" s="22">
        <f t="shared" ref="V14:V19" si="17">(T14-S14)*24*60</f>
        <v>91.000000000000043</v>
      </c>
      <c r="W14" s="28"/>
      <c r="X14" s="28"/>
      <c r="Y14" s="28"/>
      <c r="Z14" s="28"/>
      <c r="AA14" s="164"/>
      <c r="AB14" s="164"/>
      <c r="AC14" s="25">
        <v>6</v>
      </c>
      <c r="AD14" s="25"/>
      <c r="AE14" s="19">
        <f t="shared" si="8"/>
        <v>-69.89010989011058</v>
      </c>
      <c r="AF14" s="21">
        <f t="shared" si="9"/>
        <v>0.95340659340659295</v>
      </c>
      <c r="AG14" s="172">
        <f>AF20</f>
        <v>0.96004589807380925</v>
      </c>
    </row>
    <row r="15" spans="1:33" ht="16.5" customHeight="1">
      <c r="A15" s="199" t="s">
        <v>1221</v>
      </c>
      <c r="B15" s="4" t="s">
        <v>89</v>
      </c>
      <c r="C15" s="190" t="s">
        <v>90</v>
      </c>
      <c r="D15" s="190"/>
      <c r="E15" s="37">
        <v>72.400000000000006</v>
      </c>
      <c r="F15" s="4">
        <v>527</v>
      </c>
      <c r="G15" s="4">
        <f t="shared" si="15"/>
        <v>38154.800000000003</v>
      </c>
      <c r="H15" s="22" t="s">
        <v>139</v>
      </c>
      <c r="I15" s="16">
        <v>18</v>
      </c>
      <c r="J15" s="18">
        <v>1500</v>
      </c>
      <c r="K15" s="17">
        <f t="shared" si="1"/>
        <v>83.333333333333329</v>
      </c>
      <c r="L15" s="16">
        <v>18</v>
      </c>
      <c r="M15" s="18">
        <f t="shared" si="16"/>
        <v>1437.2727272727273</v>
      </c>
      <c r="N15" s="17">
        <f t="shared" si="3"/>
        <v>79.848484848484844</v>
      </c>
      <c r="O15" s="19">
        <f t="shared" si="4"/>
        <v>0</v>
      </c>
      <c r="P15" s="20">
        <f t="shared" si="5"/>
        <v>-3.4848484848484844</v>
      </c>
      <c r="Q15" s="21">
        <f t="shared" si="6"/>
        <v>0.95818181818181813</v>
      </c>
      <c r="R15" s="172"/>
      <c r="S15" s="28">
        <v>0.27569444444444446</v>
      </c>
      <c r="T15" s="28">
        <v>0.29097222222222224</v>
      </c>
      <c r="U15" s="4">
        <f t="shared" ref="U15:U19" si="18">IF(S15=TIME(17,0,0),"",(S15-T14)*24*60)</f>
        <v>5.9999999999999787</v>
      </c>
      <c r="V15" s="22">
        <f t="shared" si="17"/>
        <v>22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-62.727272727272748</v>
      </c>
      <c r="AF15" s="21">
        <f t="shared" si="9"/>
        <v>0.95818181818181813</v>
      </c>
      <c r="AG15" s="172"/>
    </row>
    <row r="16" spans="1:33" ht="16.5" customHeight="1">
      <c r="A16" s="199" t="s">
        <v>1221</v>
      </c>
      <c r="B16" s="4" t="s">
        <v>78</v>
      </c>
      <c r="C16" s="190" t="s">
        <v>91</v>
      </c>
      <c r="D16" s="190"/>
      <c r="E16" s="37">
        <v>50.98</v>
      </c>
      <c r="F16" s="4">
        <v>2377</v>
      </c>
      <c r="G16" s="4">
        <f t="shared" si="15"/>
        <v>121179.45999999999</v>
      </c>
      <c r="H16" s="22" t="s">
        <v>139</v>
      </c>
      <c r="I16" s="16">
        <v>16</v>
      </c>
      <c r="J16" s="18">
        <v>2000</v>
      </c>
      <c r="K16" s="17">
        <f t="shared" si="1"/>
        <v>125</v>
      </c>
      <c r="L16" s="16">
        <v>16</v>
      </c>
      <c r="M16" s="18">
        <f t="shared" si="16"/>
        <v>1927.2972972972959</v>
      </c>
      <c r="N16" s="17">
        <f t="shared" si="3"/>
        <v>120.456081081081</v>
      </c>
      <c r="O16" s="19">
        <f t="shared" si="4"/>
        <v>0</v>
      </c>
      <c r="P16" s="20">
        <f t="shared" si="5"/>
        <v>-4.5439189189190046</v>
      </c>
      <c r="Q16" s="21">
        <f t="shared" si="6"/>
        <v>0.96364864864864797</v>
      </c>
      <c r="R16" s="172"/>
      <c r="S16" s="28">
        <v>0.70833333333333337</v>
      </c>
      <c r="T16" s="28">
        <v>0.7597222222222223</v>
      </c>
      <c r="U16" s="4" t="str">
        <f t="shared" si="18"/>
        <v/>
      </c>
      <c r="V16" s="22">
        <f t="shared" si="17"/>
        <v>74.000000000000057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-72.702702702704073</v>
      </c>
      <c r="AF16" s="21">
        <f t="shared" si="9"/>
        <v>0.96364864864864797</v>
      </c>
      <c r="AG16" s="172"/>
    </row>
    <row r="17" spans="1:33" ht="16.5" customHeight="1">
      <c r="A17" s="199" t="s">
        <v>1221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f t="shared" si="15"/>
        <v>40736</v>
      </c>
      <c r="H17" s="22">
        <v>2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1919.9999999999945</v>
      </c>
      <c r="N17" s="17">
        <f t="shared" si="3"/>
        <v>127.99999999999963</v>
      </c>
      <c r="O17" s="19">
        <f t="shared" si="4"/>
        <v>0</v>
      </c>
      <c r="P17" s="20">
        <f t="shared" si="5"/>
        <v>-5.3333333333337123</v>
      </c>
      <c r="Q17" s="21">
        <f t="shared" si="6"/>
        <v>0.95999999999999719</v>
      </c>
      <c r="R17" s="172"/>
      <c r="S17" s="28">
        <v>0.76458333333333339</v>
      </c>
      <c r="T17" s="28">
        <v>0.78194444444444455</v>
      </c>
      <c r="U17" s="4">
        <f t="shared" si="18"/>
        <v>6.9999999999999751</v>
      </c>
      <c r="V17" s="22">
        <f t="shared" si="17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-80.000000000005457</v>
      </c>
      <c r="AF17" s="21">
        <f t="shared" si="9"/>
        <v>0.9599999999999973</v>
      </c>
      <c r="AG17" s="172"/>
    </row>
    <row r="18" spans="1:33" ht="16.5" customHeight="1">
      <c r="A18" s="199" t="s">
        <v>1221</v>
      </c>
      <c r="B18" s="4" t="s">
        <v>78</v>
      </c>
      <c r="C18" s="190" t="s">
        <v>93</v>
      </c>
      <c r="D18" s="190"/>
      <c r="E18" s="37">
        <v>50.67</v>
      </c>
      <c r="F18" s="4">
        <v>1320</v>
      </c>
      <c r="G18" s="4">
        <f t="shared" si="15"/>
        <v>66884.400000000009</v>
      </c>
      <c r="H18" s="22" t="s">
        <v>139</v>
      </c>
      <c r="I18" s="16">
        <v>15</v>
      </c>
      <c r="J18" s="18">
        <v>2000</v>
      </c>
      <c r="K18" s="17">
        <f t="shared" si="1"/>
        <v>133.33333333333334</v>
      </c>
      <c r="L18" s="16">
        <v>15</v>
      </c>
      <c r="M18" s="18">
        <f t="shared" si="16"/>
        <v>1931.7073170731699</v>
      </c>
      <c r="N18" s="17">
        <f t="shared" si="3"/>
        <v>128.78048780487799</v>
      </c>
      <c r="O18" s="19">
        <f t="shared" si="4"/>
        <v>0</v>
      </c>
      <c r="P18" s="20">
        <f t="shared" si="5"/>
        <v>-4.5528455284553502</v>
      </c>
      <c r="Q18" s="21">
        <f t="shared" si="6"/>
        <v>0.96585365853658489</v>
      </c>
      <c r="R18" s="172"/>
      <c r="S18" s="28">
        <v>0.78680555555555565</v>
      </c>
      <c r="T18" s="28">
        <v>0.81527777777777788</v>
      </c>
      <c r="U18" s="4">
        <f t="shared" si="18"/>
        <v>6.9999999999999751</v>
      </c>
      <c r="V18" s="22">
        <f t="shared" si="17"/>
        <v>41.000000000000014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-68.292682926830139</v>
      </c>
      <c r="AF18" s="21">
        <f t="shared" si="9"/>
        <v>0.96585365853658489</v>
      </c>
      <c r="AG18" s="172"/>
    </row>
    <row r="19" spans="1:33" ht="16.5" customHeight="1">
      <c r="A19" s="199" t="s">
        <v>1221</v>
      </c>
      <c r="B19" s="4" t="s">
        <v>78</v>
      </c>
      <c r="C19" s="217" t="s">
        <v>94</v>
      </c>
      <c r="D19" s="218"/>
      <c r="E19" s="37">
        <v>57.3</v>
      </c>
      <c r="F19" s="4">
        <v>1627</v>
      </c>
      <c r="G19" s="4">
        <f t="shared" si="15"/>
        <v>93227.099999999991</v>
      </c>
      <c r="H19" s="22" t="s">
        <v>139</v>
      </c>
      <c r="I19" s="16">
        <v>13</v>
      </c>
      <c r="J19" s="18">
        <v>2000</v>
      </c>
      <c r="K19" s="17">
        <f t="shared" si="1"/>
        <v>153.84615384615384</v>
      </c>
      <c r="L19" s="16">
        <v>13</v>
      </c>
      <c r="M19" s="18">
        <f t="shared" si="16"/>
        <v>1914.1176470588243</v>
      </c>
      <c r="N19" s="17">
        <f t="shared" si="3"/>
        <v>147.23981900452495</v>
      </c>
      <c r="O19" s="19">
        <f t="shared" si="4"/>
        <v>0</v>
      </c>
      <c r="P19" s="20">
        <f t="shared" si="5"/>
        <v>-6.6063348416288932</v>
      </c>
      <c r="Q19" s="21">
        <f t="shared" si="6"/>
        <v>0.95705882352941218</v>
      </c>
      <c r="R19" s="172"/>
      <c r="S19" s="28">
        <v>0.82083333333333341</v>
      </c>
      <c r="T19" s="28">
        <v>0.85625000000000007</v>
      </c>
      <c r="U19" s="4">
        <f t="shared" si="18"/>
        <v>7.9999999999999716</v>
      </c>
      <c r="V19" s="22">
        <f t="shared" si="17"/>
        <v>50.999999999999979</v>
      </c>
      <c r="W19" s="23"/>
      <c r="X19" s="23"/>
      <c r="Y19" s="26"/>
      <c r="Z19" s="26"/>
      <c r="AA19" s="175"/>
      <c r="AB19" s="176"/>
      <c r="AC19" s="25"/>
      <c r="AD19" s="25"/>
      <c r="AE19" s="19">
        <f t="shared" si="8"/>
        <v>-85.882352941175668</v>
      </c>
      <c r="AF19" s="21">
        <f t="shared" si="9"/>
        <v>0.95705882352941218</v>
      </c>
      <c r="AG19" s="172"/>
    </row>
    <row r="20" spans="1:33" ht="16.5" customHeight="1">
      <c r="A20" s="199" t="s">
        <v>1221</v>
      </c>
      <c r="B20" s="37" t="s">
        <v>1220</v>
      </c>
      <c r="C20" s="177"/>
      <c r="D20" s="177"/>
      <c r="E20" s="38"/>
      <c r="F20" s="17"/>
      <c r="G20" s="17"/>
      <c r="H20" s="4"/>
      <c r="I20" s="30">
        <v>17.166666666666668</v>
      </c>
      <c r="J20" s="18">
        <v>1833.3333333333333</v>
      </c>
      <c r="K20" s="17">
        <f t="shared" si="1"/>
        <v>106.79611650485435</v>
      </c>
      <c r="L20" s="30">
        <v>17.166666666666668</v>
      </c>
      <c r="M20" s="18">
        <f>AVERAGE(M14:M19)</f>
        <v>1760.0841464686503</v>
      </c>
      <c r="N20" s="17">
        <f t="shared" si="3"/>
        <v>102.52917358069807</v>
      </c>
      <c r="O20" s="19">
        <f t="shared" si="4"/>
        <v>0</v>
      </c>
      <c r="P20" s="20">
        <f t="shared" si="5"/>
        <v>-4.2669429241562824</v>
      </c>
      <c r="Q20" s="21">
        <f t="shared" si="6"/>
        <v>0.96004589807380936</v>
      </c>
      <c r="R20" s="172"/>
      <c r="S20" s="28"/>
      <c r="T20" s="28"/>
      <c r="U20" s="4"/>
      <c r="V20" s="22"/>
      <c r="W20" s="17"/>
      <c r="X20" s="17"/>
      <c r="Y20" s="31">
        <f>SUM(Y14:Y19)</f>
        <v>0</v>
      </c>
      <c r="Z20" s="31">
        <f>SUM(Z14:Z19)</f>
        <v>0</v>
      </c>
      <c r="AA20" s="168"/>
      <c r="AB20" s="168"/>
      <c r="AC20" s="31">
        <v>6</v>
      </c>
      <c r="AD20" s="31">
        <f>SUM(AD14:AD19)</f>
        <v>0</v>
      </c>
      <c r="AE20" s="19">
        <f t="shared" si="8"/>
        <v>-73.249186864682997</v>
      </c>
      <c r="AF20" s="21">
        <f t="shared" si="9"/>
        <v>0.96004589807380925</v>
      </c>
      <c r="AG20" s="172"/>
    </row>
    <row r="21" spans="1:33" ht="15.75" customHeight="1">
      <c r="A21" s="194" t="s">
        <v>1222</v>
      </c>
      <c r="B21" s="37" t="s">
        <v>78</v>
      </c>
      <c r="C21" s="190" t="s">
        <v>95</v>
      </c>
      <c r="D21" s="190"/>
      <c r="E21" s="37">
        <v>57.73</v>
      </c>
      <c r="F21" s="4">
        <v>2057</v>
      </c>
      <c r="G21" s="4">
        <f t="shared" ref="G21:G26" si="19">E21*F21</f>
        <v>118750.61</v>
      </c>
      <c r="H21" s="22" t="s">
        <v>139</v>
      </c>
      <c r="I21" s="16">
        <v>14</v>
      </c>
      <c r="J21" s="18">
        <v>2000</v>
      </c>
      <c r="K21" s="17">
        <f t="shared" si="1"/>
        <v>142.85714285714286</v>
      </c>
      <c r="L21" s="16">
        <v>14</v>
      </c>
      <c r="M21" s="18">
        <f t="shared" ref="M21:M26" si="20">F21/V21*60</f>
        <v>1928.4375000000009</v>
      </c>
      <c r="N21" s="17">
        <f t="shared" si="3"/>
        <v>137.74553571428578</v>
      </c>
      <c r="O21" s="19">
        <f t="shared" si="4"/>
        <v>0</v>
      </c>
      <c r="P21" s="20">
        <f t="shared" si="5"/>
        <v>-5.111607142857082</v>
      </c>
      <c r="Q21" s="21">
        <f t="shared" si="6"/>
        <v>0.96421875000000046</v>
      </c>
      <c r="R21" s="172">
        <f>Q27</f>
        <v>0.96665422439878934</v>
      </c>
      <c r="S21" s="28">
        <v>0.20833333333333334</v>
      </c>
      <c r="T21" s="28">
        <v>0.25277777777777777</v>
      </c>
      <c r="U21" s="4"/>
      <c r="V21" s="22">
        <f t="shared" ref="V21:V26" si="21">(T21-S21)*24*60</f>
        <v>63.999999999999972</v>
      </c>
      <c r="W21" s="28"/>
      <c r="X21" s="28"/>
      <c r="Y21" s="28"/>
      <c r="Z21" s="28"/>
      <c r="AA21" s="164"/>
      <c r="AB21" s="164"/>
      <c r="AC21" s="25">
        <v>6</v>
      </c>
      <c r="AD21" s="25"/>
      <c r="AE21" s="19">
        <f t="shared" si="8"/>
        <v>-71.562499999999091</v>
      </c>
      <c r="AF21" s="21">
        <f t="shared" si="9"/>
        <v>0.96421875000000046</v>
      </c>
      <c r="AG21" s="172">
        <f>AF27</f>
        <v>0.96665422439878934</v>
      </c>
    </row>
    <row r="22" spans="1:33" ht="15.75" customHeight="1">
      <c r="A22" s="195" t="s">
        <v>1223</v>
      </c>
      <c r="B22" s="37" t="s">
        <v>78</v>
      </c>
      <c r="C22" s="190" t="s">
        <v>96</v>
      </c>
      <c r="D22" s="190"/>
      <c r="E22" s="37">
        <v>53.68</v>
      </c>
      <c r="F22" s="4">
        <v>1261</v>
      </c>
      <c r="G22" s="4">
        <f t="shared" si="19"/>
        <v>67690.48</v>
      </c>
      <c r="H22" s="22" t="s">
        <v>139</v>
      </c>
      <c r="I22" s="16">
        <v>16</v>
      </c>
      <c r="J22" s="18">
        <v>2000</v>
      </c>
      <c r="K22" s="17">
        <f t="shared" si="1"/>
        <v>125</v>
      </c>
      <c r="L22" s="16">
        <v>16</v>
      </c>
      <c r="M22" s="18">
        <f t="shared" si="20"/>
        <v>1939.9999999999989</v>
      </c>
      <c r="N22" s="17">
        <f t="shared" si="3"/>
        <v>121.24999999999993</v>
      </c>
      <c r="O22" s="19">
        <f t="shared" si="4"/>
        <v>0</v>
      </c>
      <c r="P22" s="20">
        <f t="shared" si="5"/>
        <v>-3.7500000000000711</v>
      </c>
      <c r="Q22" s="21">
        <f t="shared" si="6"/>
        <v>0.96999999999999942</v>
      </c>
      <c r="R22" s="172"/>
      <c r="S22" s="28">
        <v>0.25694444444444442</v>
      </c>
      <c r="T22" s="28">
        <v>0.28402777777777777</v>
      </c>
      <c r="U22" s="4">
        <f t="shared" ref="U22:U26" si="22">IF(S22=TIME(17,0,0),"",(S22-T21)*24*60)</f>
        <v>5.9999999999999787</v>
      </c>
      <c r="V22" s="22">
        <f t="shared" si="21"/>
        <v>39.000000000000021</v>
      </c>
      <c r="W22" s="23"/>
      <c r="X22" s="4"/>
      <c r="Y22" s="4"/>
      <c r="Z22" s="4"/>
      <c r="AA22" s="164"/>
      <c r="AB22" s="164"/>
      <c r="AC22" s="25"/>
      <c r="AD22" s="25"/>
      <c r="AE22" s="19">
        <f t="shared" si="8"/>
        <v>-60.000000000001137</v>
      </c>
      <c r="AF22" s="21">
        <f t="shared" si="9"/>
        <v>0.96999999999999942</v>
      </c>
      <c r="AG22" s="172"/>
    </row>
    <row r="23" spans="1:33" ht="15.75" customHeight="1">
      <c r="A23" s="195" t="s">
        <v>1224</v>
      </c>
      <c r="B23" s="37" t="s">
        <v>78</v>
      </c>
      <c r="C23" s="190" t="s">
        <v>97</v>
      </c>
      <c r="D23" s="190"/>
      <c r="E23" s="37">
        <v>50.49</v>
      </c>
      <c r="F23" s="4">
        <v>1719</v>
      </c>
      <c r="G23" s="4">
        <f t="shared" si="19"/>
        <v>86792.31</v>
      </c>
      <c r="H23" s="22" t="s">
        <v>139</v>
      </c>
      <c r="I23" s="16">
        <v>15</v>
      </c>
      <c r="J23" s="18">
        <v>2000</v>
      </c>
      <c r="K23" s="17">
        <f t="shared" si="1"/>
        <v>133.33333333333334</v>
      </c>
      <c r="L23" s="16">
        <v>15</v>
      </c>
      <c r="M23" s="18">
        <f t="shared" si="20"/>
        <v>1910.0000000000009</v>
      </c>
      <c r="N23" s="17">
        <f t="shared" si="3"/>
        <v>127.3333333333334</v>
      </c>
      <c r="O23" s="19">
        <f t="shared" si="4"/>
        <v>0</v>
      </c>
      <c r="P23" s="20">
        <f t="shared" si="5"/>
        <v>-5.9999999999999432</v>
      </c>
      <c r="Q23" s="21">
        <f t="shared" si="6"/>
        <v>0.9550000000000004</v>
      </c>
      <c r="R23" s="172"/>
      <c r="S23" s="28">
        <v>0.70833333333333337</v>
      </c>
      <c r="T23" s="28">
        <v>0.74583333333333335</v>
      </c>
      <c r="U23" s="4" t="str">
        <f t="shared" si="22"/>
        <v/>
      </c>
      <c r="V23" s="22">
        <f t="shared" si="21"/>
        <v>53.999999999999972</v>
      </c>
      <c r="W23" s="23"/>
      <c r="X23" s="4"/>
      <c r="Y23" s="4"/>
      <c r="Z23" s="4"/>
      <c r="AA23" s="164"/>
      <c r="AB23" s="164"/>
      <c r="AC23" s="25"/>
      <c r="AD23" s="25"/>
      <c r="AE23" s="19">
        <f t="shared" si="8"/>
        <v>-89.999999999999091</v>
      </c>
      <c r="AF23" s="21">
        <f t="shared" si="9"/>
        <v>0.9550000000000004</v>
      </c>
      <c r="AG23" s="172"/>
    </row>
    <row r="24" spans="1:33" ht="15.75" customHeight="1">
      <c r="A24" s="195" t="s">
        <v>1224</v>
      </c>
      <c r="B24" s="37" t="s">
        <v>78</v>
      </c>
      <c r="C24" s="190" t="s">
        <v>98</v>
      </c>
      <c r="D24" s="190"/>
      <c r="E24" s="37">
        <v>50.67</v>
      </c>
      <c r="F24" s="4">
        <v>915</v>
      </c>
      <c r="G24" s="4">
        <f t="shared" si="19"/>
        <v>46363.05</v>
      </c>
      <c r="H24" s="22" t="s">
        <v>139</v>
      </c>
      <c r="I24" s="16">
        <v>16</v>
      </c>
      <c r="J24" s="18">
        <v>2000</v>
      </c>
      <c r="K24" s="17">
        <f t="shared" si="1"/>
        <v>125</v>
      </c>
      <c r="L24" s="16">
        <v>16</v>
      </c>
      <c r="M24" s="18">
        <f t="shared" si="20"/>
        <v>1960.7142857142817</v>
      </c>
      <c r="N24" s="17">
        <f t="shared" si="3"/>
        <v>122.54464285714261</v>
      </c>
      <c r="O24" s="19">
        <f t="shared" si="4"/>
        <v>0</v>
      </c>
      <c r="P24" s="20">
        <f t="shared" si="5"/>
        <v>-2.4553571428573946</v>
      </c>
      <c r="Q24" s="21">
        <f t="shared" si="6"/>
        <v>0.98035714285714082</v>
      </c>
      <c r="R24" s="172"/>
      <c r="S24" s="28">
        <v>0.75</v>
      </c>
      <c r="T24" s="28">
        <v>0.76944444444444449</v>
      </c>
      <c r="U24" s="4">
        <f t="shared" si="22"/>
        <v>5.9999999999999787</v>
      </c>
      <c r="V24" s="22">
        <f t="shared" si="21"/>
        <v>28.00000000000006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-39.285714285718313</v>
      </c>
      <c r="AF24" s="21">
        <f t="shared" si="9"/>
        <v>0.98035714285714082</v>
      </c>
      <c r="AG24" s="172"/>
    </row>
    <row r="25" spans="1:33" ht="15.75" customHeight="1">
      <c r="A25" s="195" t="s">
        <v>1224</v>
      </c>
      <c r="B25" s="37" t="s">
        <v>78</v>
      </c>
      <c r="C25" s="190" t="s">
        <v>99</v>
      </c>
      <c r="D25" s="190"/>
      <c r="E25" s="37">
        <v>53.68</v>
      </c>
      <c r="F25" s="4">
        <v>1735</v>
      </c>
      <c r="G25" s="4">
        <f t="shared" si="19"/>
        <v>93134.8</v>
      </c>
      <c r="H25" s="22" t="s">
        <v>139</v>
      </c>
      <c r="I25" s="16">
        <v>16</v>
      </c>
      <c r="J25" s="18">
        <v>1500</v>
      </c>
      <c r="K25" s="17">
        <f t="shared" si="1"/>
        <v>93.75</v>
      </c>
      <c r="L25" s="16">
        <v>16</v>
      </c>
      <c r="M25" s="18">
        <f t="shared" si="20"/>
        <v>1445.8333333333321</v>
      </c>
      <c r="N25" s="17">
        <f t="shared" si="3"/>
        <v>90.364583333333258</v>
      </c>
      <c r="O25" s="19">
        <f t="shared" si="4"/>
        <v>0</v>
      </c>
      <c r="P25" s="20">
        <f t="shared" si="5"/>
        <v>-3.3854166666667425</v>
      </c>
      <c r="Q25" s="21">
        <f t="shared" si="6"/>
        <v>0.96388888888888813</v>
      </c>
      <c r="R25" s="172"/>
      <c r="S25" s="28">
        <v>0.7729166666666667</v>
      </c>
      <c r="T25" s="28">
        <v>0.82291666666666674</v>
      </c>
      <c r="U25" s="4">
        <f t="shared" si="22"/>
        <v>4.9999999999999822</v>
      </c>
      <c r="V25" s="22">
        <f t="shared" si="21"/>
        <v>72.000000000000057</v>
      </c>
      <c r="W25" s="23"/>
      <c r="X25" s="4"/>
      <c r="Y25" s="4"/>
      <c r="Z25" s="4"/>
      <c r="AA25" s="164"/>
      <c r="AB25" s="164"/>
      <c r="AC25" s="25"/>
      <c r="AD25" s="25"/>
      <c r="AE25" s="19">
        <f t="shared" si="8"/>
        <v>-54.166666666667879</v>
      </c>
      <c r="AF25" s="21">
        <f t="shared" si="9"/>
        <v>0.96388888888888813</v>
      </c>
      <c r="AG25" s="172"/>
    </row>
    <row r="26" spans="1:33" ht="15.75" customHeight="1">
      <c r="A26" s="195" t="s">
        <v>1225</v>
      </c>
      <c r="B26" s="37" t="s">
        <v>78</v>
      </c>
      <c r="C26" s="190" t="s">
        <v>92</v>
      </c>
      <c r="D26" s="190"/>
      <c r="E26" s="37">
        <v>50.92</v>
      </c>
      <c r="F26" s="4">
        <v>1674</v>
      </c>
      <c r="G26" s="4">
        <f t="shared" si="19"/>
        <v>85240.08</v>
      </c>
      <c r="H26" s="22" t="s">
        <v>139</v>
      </c>
      <c r="I26" s="16">
        <v>15</v>
      </c>
      <c r="J26" s="18">
        <v>2000</v>
      </c>
      <c r="K26" s="17">
        <f t="shared" si="1"/>
        <v>133.33333333333334</v>
      </c>
      <c r="L26" s="16">
        <v>15</v>
      </c>
      <c r="M26" s="18">
        <f t="shared" si="20"/>
        <v>1931.5384615384623</v>
      </c>
      <c r="N26" s="17">
        <f t="shared" si="3"/>
        <v>128.76923076923083</v>
      </c>
      <c r="O26" s="19">
        <f t="shared" si="4"/>
        <v>0</v>
      </c>
      <c r="P26" s="20">
        <f t="shared" si="5"/>
        <v>-4.5641025641025124</v>
      </c>
      <c r="Q26" s="21">
        <f t="shared" si="6"/>
        <v>0.96576923076923116</v>
      </c>
      <c r="R26" s="172"/>
      <c r="S26" s="28">
        <v>0.82638888888888895</v>
      </c>
      <c r="T26" s="28">
        <v>0.86250000000000004</v>
      </c>
      <c r="U26" s="4">
        <f t="shared" si="22"/>
        <v>4.9999999999999822</v>
      </c>
      <c r="V26" s="22">
        <f t="shared" si="21"/>
        <v>51.999999999999972</v>
      </c>
      <c r="W26" s="23"/>
      <c r="X26" s="28"/>
      <c r="Y26" s="28"/>
      <c r="Z26" s="28"/>
      <c r="AA26" s="164"/>
      <c r="AB26" s="164"/>
      <c r="AC26" s="25"/>
      <c r="AD26" s="25"/>
      <c r="AE26" s="19">
        <f t="shared" si="8"/>
        <v>-68.461538461537657</v>
      </c>
      <c r="AF26" s="21">
        <f t="shared" si="9"/>
        <v>0.96576923076923116</v>
      </c>
      <c r="AG26" s="172"/>
    </row>
    <row r="27" spans="1:33" ht="15.75" customHeight="1">
      <c r="A27" s="195" t="s">
        <v>1223</v>
      </c>
      <c r="B27" s="37" t="s">
        <v>1220</v>
      </c>
      <c r="C27" s="177"/>
      <c r="D27" s="177"/>
      <c r="E27" s="38"/>
      <c r="F27" s="4"/>
      <c r="G27" s="4"/>
      <c r="H27" s="4"/>
      <c r="I27" s="30">
        <v>15.333333333333334</v>
      </c>
      <c r="J27" s="18">
        <v>1916.6666666666667</v>
      </c>
      <c r="K27" s="17">
        <f t="shared" si="1"/>
        <v>125</v>
      </c>
      <c r="L27" s="30">
        <v>15.333333333333334</v>
      </c>
      <c r="M27" s="18">
        <f>AVERAGE(M21:M26)</f>
        <v>1852.7539300976796</v>
      </c>
      <c r="N27" s="17">
        <f t="shared" si="3"/>
        <v>120.83177804984867</v>
      </c>
      <c r="O27" s="19">
        <f t="shared" si="4"/>
        <v>0</v>
      </c>
      <c r="P27" s="20">
        <f t="shared" si="5"/>
        <v>-4.1682219501513345</v>
      </c>
      <c r="Q27" s="21">
        <f t="shared" si="6"/>
        <v>0.96665422439878934</v>
      </c>
      <c r="R27" s="172"/>
      <c r="S27" s="28"/>
      <c r="T27" s="28"/>
      <c r="U27" s="17"/>
      <c r="V27" s="22"/>
      <c r="W27" s="17"/>
      <c r="X27" s="17"/>
      <c r="Y27" s="31">
        <f>SUM(Y21:Y26)</f>
        <v>0</v>
      </c>
      <c r="Z27" s="31">
        <f>SUM(Z21:Z26)</f>
        <v>0</v>
      </c>
      <c r="AA27" s="168"/>
      <c r="AB27" s="168"/>
      <c r="AC27" s="31">
        <v>6</v>
      </c>
      <c r="AD27" s="31">
        <f>SUM(AD21:AD26)</f>
        <v>0</v>
      </c>
      <c r="AE27" s="19">
        <f t="shared" si="8"/>
        <v>-63.912736568987157</v>
      </c>
      <c r="AF27" s="21">
        <f t="shared" si="9"/>
        <v>0.96665422439878934</v>
      </c>
      <c r="AG27" s="172"/>
    </row>
    <row r="28" spans="1:33" ht="15.75" customHeight="1">
      <c r="A28" s="193" t="s">
        <v>1226</v>
      </c>
      <c r="B28" s="37" t="s">
        <v>100</v>
      </c>
      <c r="C28" s="190" t="s">
        <v>101</v>
      </c>
      <c r="D28" s="190"/>
      <c r="E28" s="37">
        <v>31.29</v>
      </c>
      <c r="F28" s="4">
        <v>6172</v>
      </c>
      <c r="G28" s="4">
        <f t="shared" ref="G28:G32" si="23">E28*F28</f>
        <v>193121.88</v>
      </c>
      <c r="H28" s="22" t="s">
        <v>139</v>
      </c>
      <c r="I28" s="16">
        <v>18</v>
      </c>
      <c r="J28" s="18">
        <v>2400</v>
      </c>
      <c r="K28" s="17">
        <f t="shared" si="1"/>
        <v>133.33333333333334</v>
      </c>
      <c r="L28" s="16">
        <v>18</v>
      </c>
      <c r="M28" s="18">
        <f t="shared" ref="M28:M32" si="24">F28/V28*60</f>
        <v>2285.9259259259265</v>
      </c>
      <c r="N28" s="17">
        <f t="shared" si="3"/>
        <v>126.99588477366258</v>
      </c>
      <c r="O28" s="19">
        <f t="shared" si="4"/>
        <v>0</v>
      </c>
      <c r="P28" s="20">
        <f t="shared" si="5"/>
        <v>-6.3374485596707615</v>
      </c>
      <c r="Q28" s="21">
        <f t="shared" si="6"/>
        <v>0.95246913580246928</v>
      </c>
      <c r="R28" s="172">
        <f>Q33</f>
        <v>0.95595506325144708</v>
      </c>
      <c r="S28" s="28">
        <v>0.125</v>
      </c>
      <c r="T28" s="28">
        <v>0.23749999999999999</v>
      </c>
      <c r="U28" s="4"/>
      <c r="V28" s="22">
        <f t="shared" ref="V28:V32" si="25">(T28-S28)*24*60</f>
        <v>161.99999999999997</v>
      </c>
      <c r="W28" s="23">
        <f>T28</f>
        <v>0.23749999999999999</v>
      </c>
      <c r="X28" s="23">
        <f>S29</f>
        <v>0.25763888888888886</v>
      </c>
      <c r="Y28" s="23"/>
      <c r="Z28" s="23"/>
      <c r="AA28" s="164"/>
      <c r="AB28" s="164"/>
      <c r="AC28" s="25">
        <v>5</v>
      </c>
      <c r="AD28" s="25"/>
      <c r="AE28" s="19">
        <f t="shared" si="8"/>
        <v>-114.07407407407345</v>
      </c>
      <c r="AF28" s="21">
        <f t="shared" si="9"/>
        <v>0.95246913580246939</v>
      </c>
      <c r="AG28" s="172">
        <f>AF33</f>
        <v>0.95595506325144719</v>
      </c>
    </row>
    <row r="29" spans="1:33" ht="15.75" customHeight="1">
      <c r="A29" s="193" t="s">
        <v>1227</v>
      </c>
      <c r="B29" s="37" t="s">
        <v>100</v>
      </c>
      <c r="C29" s="190" t="s">
        <v>102</v>
      </c>
      <c r="D29" s="190"/>
      <c r="E29" s="37">
        <v>26.2</v>
      </c>
      <c r="F29" s="4">
        <v>3435</v>
      </c>
      <c r="G29" s="4">
        <f t="shared" si="23"/>
        <v>89997</v>
      </c>
      <c r="H29" s="22" t="s">
        <v>139</v>
      </c>
      <c r="I29" s="16">
        <v>20</v>
      </c>
      <c r="J29" s="18">
        <v>2400</v>
      </c>
      <c r="K29" s="17">
        <f t="shared" si="1"/>
        <v>120</v>
      </c>
      <c r="L29" s="16">
        <v>20</v>
      </c>
      <c r="M29" s="18">
        <f t="shared" si="24"/>
        <v>2290</v>
      </c>
      <c r="N29" s="17">
        <f t="shared" si="3"/>
        <v>114.5</v>
      </c>
      <c r="O29" s="19">
        <f t="shared" si="4"/>
        <v>0</v>
      </c>
      <c r="P29" s="20">
        <f t="shared" si="5"/>
        <v>-5.5</v>
      </c>
      <c r="Q29" s="21">
        <f t="shared" si="6"/>
        <v>0.95416666666666672</v>
      </c>
      <c r="R29" s="172"/>
      <c r="S29" s="28">
        <v>0.25763888888888886</v>
      </c>
      <c r="T29" s="28">
        <v>0.32013888888888886</v>
      </c>
      <c r="U29" s="4">
        <f t="shared" ref="U29:U32" si="26">(S29-T28)*24*60</f>
        <v>28.999999999999979</v>
      </c>
      <c r="V29" s="22">
        <f t="shared" si="25"/>
        <v>90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8"/>
        <v>-110</v>
      </c>
      <c r="AF29" s="21">
        <f t="shared" si="9"/>
        <v>0.95416666666666672</v>
      </c>
      <c r="AG29" s="172"/>
    </row>
    <row r="30" spans="1:33" ht="15.75" customHeight="1">
      <c r="A30" s="193" t="s">
        <v>1227</v>
      </c>
      <c r="B30" s="37" t="s">
        <v>100</v>
      </c>
      <c r="C30" s="190" t="s">
        <v>103</v>
      </c>
      <c r="D30" s="190"/>
      <c r="E30" s="37">
        <v>25.99</v>
      </c>
      <c r="F30" s="4">
        <v>2745</v>
      </c>
      <c r="G30" s="4">
        <f t="shared" si="23"/>
        <v>71342.55</v>
      </c>
      <c r="H30" s="22" t="s">
        <v>139</v>
      </c>
      <c r="I30" s="16">
        <v>14</v>
      </c>
      <c r="J30" s="18">
        <v>2400</v>
      </c>
      <c r="K30" s="17">
        <f t="shared" si="1"/>
        <v>171.42857142857142</v>
      </c>
      <c r="L30" s="16">
        <v>14</v>
      </c>
      <c r="M30" s="18">
        <f t="shared" si="24"/>
        <v>2287.5000000000005</v>
      </c>
      <c r="N30" s="17">
        <f t="shared" si="3"/>
        <v>163.39285714285717</v>
      </c>
      <c r="O30" s="19">
        <f t="shared" si="4"/>
        <v>0</v>
      </c>
      <c r="P30" s="20">
        <f t="shared" si="5"/>
        <v>-8.0357142857142492</v>
      </c>
      <c r="Q30" s="21">
        <f t="shared" si="6"/>
        <v>0.95312500000000022</v>
      </c>
      <c r="R30" s="172"/>
      <c r="S30" s="28">
        <v>0.32361111111111107</v>
      </c>
      <c r="T30" s="28">
        <v>0.37361111111111106</v>
      </c>
      <c r="U30" s="4">
        <f t="shared" si="26"/>
        <v>4.9999999999999822</v>
      </c>
      <c r="V30" s="22">
        <f t="shared" si="25"/>
        <v>71.999999999999986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8"/>
        <v>-112.49999999999955</v>
      </c>
      <c r="AF30" s="21">
        <f t="shared" si="9"/>
        <v>0.95312500000000022</v>
      </c>
      <c r="AG30" s="172"/>
    </row>
    <row r="31" spans="1:33" ht="15.75" customHeight="1">
      <c r="A31" s="193" t="s">
        <v>1226</v>
      </c>
      <c r="B31" s="37" t="s">
        <v>100</v>
      </c>
      <c r="C31" s="190" t="s">
        <v>105</v>
      </c>
      <c r="D31" s="190"/>
      <c r="E31" s="37">
        <v>25.98</v>
      </c>
      <c r="F31" s="4">
        <v>2023</v>
      </c>
      <c r="G31" s="4">
        <f t="shared" si="23"/>
        <v>52557.54</v>
      </c>
      <c r="H31" s="22" t="s">
        <v>139</v>
      </c>
      <c r="I31" s="16">
        <v>21</v>
      </c>
      <c r="J31" s="18">
        <v>2400</v>
      </c>
      <c r="K31" s="17">
        <f t="shared" si="1"/>
        <v>114.28571428571429</v>
      </c>
      <c r="L31" s="16">
        <v>21</v>
      </c>
      <c r="M31" s="18">
        <f t="shared" si="24"/>
        <v>2290.1886792452842</v>
      </c>
      <c r="N31" s="17">
        <f t="shared" si="3"/>
        <v>109.05660377358497</v>
      </c>
      <c r="O31" s="19">
        <f t="shared" si="4"/>
        <v>0</v>
      </c>
      <c r="P31" s="20">
        <f t="shared" si="5"/>
        <v>-5.2291105121293242</v>
      </c>
      <c r="Q31" s="21">
        <f t="shared" si="6"/>
        <v>0.95424528301886846</v>
      </c>
      <c r="R31" s="172"/>
      <c r="S31" s="28">
        <v>0.37847222222222215</v>
      </c>
      <c r="T31" s="28">
        <v>0.41527777777777769</v>
      </c>
      <c r="U31" s="4">
        <f t="shared" si="26"/>
        <v>6.9999999999999751</v>
      </c>
      <c r="V31" s="22">
        <f t="shared" si="25"/>
        <v>52.999999999999972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8"/>
        <v>-109.81132075471578</v>
      </c>
      <c r="AF31" s="21">
        <f t="shared" si="9"/>
        <v>0.95424528301886846</v>
      </c>
      <c r="AG31" s="172"/>
    </row>
    <row r="32" spans="1:33" ht="15.75" customHeight="1">
      <c r="A32" s="193" t="s">
        <v>1228</v>
      </c>
      <c r="B32" s="37" t="s">
        <v>100</v>
      </c>
      <c r="C32" s="190" t="s">
        <v>104</v>
      </c>
      <c r="D32" s="190"/>
      <c r="E32" s="37">
        <v>20.52</v>
      </c>
      <c r="F32" s="4">
        <v>2511</v>
      </c>
      <c r="G32" s="4">
        <f t="shared" si="23"/>
        <v>51525.72</v>
      </c>
      <c r="H32" s="22" t="s">
        <v>139</v>
      </c>
      <c r="I32" s="16">
        <v>18</v>
      </c>
      <c r="J32" s="18">
        <v>2400</v>
      </c>
      <c r="K32" s="17">
        <f t="shared" si="1"/>
        <v>133.33333333333334</v>
      </c>
      <c r="L32" s="16">
        <v>18</v>
      </c>
      <c r="M32" s="18">
        <f t="shared" si="24"/>
        <v>2317.8461538461534</v>
      </c>
      <c r="N32" s="17">
        <f t="shared" si="3"/>
        <v>128.76923076923075</v>
      </c>
      <c r="O32" s="19">
        <f t="shared" si="4"/>
        <v>0</v>
      </c>
      <c r="P32" s="20">
        <f t="shared" si="5"/>
        <v>-4.5641025641025976</v>
      </c>
      <c r="Q32" s="21">
        <f t="shared" si="6"/>
        <v>0.96576923076923049</v>
      </c>
      <c r="R32" s="172"/>
      <c r="S32" s="28">
        <v>0.41944444444444434</v>
      </c>
      <c r="T32" s="28">
        <v>0.46458333333333324</v>
      </c>
      <c r="U32" s="4">
        <f t="shared" si="26"/>
        <v>5.9999999999999787</v>
      </c>
      <c r="V32" s="22">
        <f t="shared" si="25"/>
        <v>65.000000000000014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8"/>
        <v>-82.153846153846644</v>
      </c>
      <c r="AF32" s="21">
        <f t="shared" si="9"/>
        <v>0.9657692307692306</v>
      </c>
      <c r="AG32" s="172"/>
    </row>
    <row r="33" spans="1:33" ht="15.75" customHeight="1">
      <c r="A33" s="193" t="s">
        <v>1227</v>
      </c>
      <c r="B33" s="37" t="s">
        <v>1220</v>
      </c>
      <c r="C33" s="177"/>
      <c r="D33" s="177"/>
      <c r="E33" s="38"/>
      <c r="F33" s="4"/>
      <c r="G33" s="4"/>
      <c r="H33" s="4"/>
      <c r="I33" s="30">
        <v>18.2</v>
      </c>
      <c r="J33" s="18">
        <v>2400</v>
      </c>
      <c r="K33" s="17">
        <f t="shared" si="1"/>
        <v>131.86813186813188</v>
      </c>
      <c r="L33" s="30">
        <v>18.2</v>
      </c>
      <c r="M33" s="18">
        <f>AVERAGE(M28:M32)</f>
        <v>2294.2921518034732</v>
      </c>
      <c r="N33" s="17">
        <f t="shared" si="3"/>
        <v>126.06000834085017</v>
      </c>
      <c r="O33" s="19">
        <f t="shared" si="4"/>
        <v>0</v>
      </c>
      <c r="P33" s="20">
        <f t="shared" si="5"/>
        <v>-5.8081235272817082</v>
      </c>
      <c r="Q33" s="21">
        <f t="shared" si="6"/>
        <v>0.95595506325144708</v>
      </c>
      <c r="R33" s="172"/>
      <c r="S33" s="28"/>
      <c r="T33" s="28"/>
      <c r="U33" s="4"/>
      <c r="V33" s="22"/>
      <c r="W33" s="4"/>
      <c r="X33" s="4"/>
      <c r="Y33" s="31">
        <f>SUM(Y28:Y32)</f>
        <v>0</v>
      </c>
      <c r="Z33" s="31">
        <f>SUM(Z28:Z32)</f>
        <v>0</v>
      </c>
      <c r="AA33" s="168"/>
      <c r="AB33" s="168"/>
      <c r="AC33" s="31">
        <v>5</v>
      </c>
      <c r="AD33" s="31">
        <f>SUM(AD28:AD32)</f>
        <v>0</v>
      </c>
      <c r="AE33" s="19">
        <f t="shared" si="8"/>
        <v>-105.70784819652681</v>
      </c>
      <c r="AF33" s="21">
        <f t="shared" si="9"/>
        <v>0.95595506325144719</v>
      </c>
      <c r="AG33" s="172"/>
    </row>
    <row r="34" spans="1:33" ht="15.75" customHeight="1">
      <c r="A34" s="191" t="s">
        <v>1229</v>
      </c>
      <c r="B34" s="37" t="s">
        <v>100</v>
      </c>
      <c r="C34" s="165" t="s">
        <v>106</v>
      </c>
      <c r="D34" s="165"/>
      <c r="E34" s="37">
        <v>26.2</v>
      </c>
      <c r="F34" s="4">
        <v>4362</v>
      </c>
      <c r="G34" s="4">
        <f t="shared" ref="G34:G38" si="27">E34*F34</f>
        <v>114284.4</v>
      </c>
      <c r="H34" s="22" t="s">
        <v>139</v>
      </c>
      <c r="I34" s="16">
        <v>18</v>
      </c>
      <c r="J34" s="18">
        <v>2400</v>
      </c>
      <c r="K34" s="17">
        <f t="shared" si="1"/>
        <v>133.33333333333334</v>
      </c>
      <c r="L34" s="16">
        <v>18</v>
      </c>
      <c r="M34" s="18">
        <f t="shared" ref="M34:M38" si="28">F34/V34*60</f>
        <v>2295.7894736842104</v>
      </c>
      <c r="N34" s="17">
        <f t="shared" si="3"/>
        <v>127.54385964912279</v>
      </c>
      <c r="O34" s="19">
        <f t="shared" si="4"/>
        <v>0</v>
      </c>
      <c r="P34" s="20">
        <f t="shared" si="5"/>
        <v>-5.7894736842105488</v>
      </c>
      <c r="Q34" s="21">
        <f t="shared" si="6"/>
        <v>0.95657894736842086</v>
      </c>
      <c r="R34" s="172">
        <f>Q39</f>
        <v>0.95656006356876477</v>
      </c>
      <c r="S34" s="28">
        <v>0.125</v>
      </c>
      <c r="T34" s="28">
        <v>0.20416666666666666</v>
      </c>
      <c r="U34" s="4"/>
      <c r="V34" s="22">
        <f t="shared" ref="V34:V38" si="29">(T34-S34)*24*60</f>
        <v>114</v>
      </c>
      <c r="W34" s="28">
        <f>T34</f>
        <v>0.20416666666666666</v>
      </c>
      <c r="X34" s="28">
        <f>S35</f>
        <v>0.22430555555555556</v>
      </c>
      <c r="Y34" s="28"/>
      <c r="Z34" s="28"/>
      <c r="AA34" s="164"/>
      <c r="AB34" s="164"/>
      <c r="AC34" s="25">
        <v>5</v>
      </c>
      <c r="AD34" s="25"/>
      <c r="AE34" s="19">
        <f t="shared" si="8"/>
        <v>-104.21052631578959</v>
      </c>
      <c r="AF34" s="21">
        <f t="shared" si="9"/>
        <v>0.95657894736842097</v>
      </c>
      <c r="AG34" s="172">
        <f>AF39</f>
        <v>0.95656006356876488</v>
      </c>
    </row>
    <row r="35" spans="1:33" ht="15.75" customHeight="1">
      <c r="A35" s="191" t="s">
        <v>1230</v>
      </c>
      <c r="B35" s="37" t="s">
        <v>100</v>
      </c>
      <c r="C35" s="165" t="s">
        <v>107</v>
      </c>
      <c r="D35" s="165"/>
      <c r="E35" s="37">
        <v>26.18</v>
      </c>
      <c r="F35" s="4">
        <v>1372</v>
      </c>
      <c r="G35" s="4">
        <f t="shared" si="27"/>
        <v>35918.959999999999</v>
      </c>
      <c r="H35" s="22" t="s">
        <v>139</v>
      </c>
      <c r="I35" s="16">
        <v>19</v>
      </c>
      <c r="J35" s="18">
        <v>2400</v>
      </c>
      <c r="K35" s="17">
        <f t="shared" si="1"/>
        <v>126.31578947368421</v>
      </c>
      <c r="L35" s="16">
        <v>19</v>
      </c>
      <c r="M35" s="18">
        <f t="shared" si="28"/>
        <v>2286.6666666666674</v>
      </c>
      <c r="N35" s="17">
        <f t="shared" si="3"/>
        <v>120.35087719298249</v>
      </c>
      <c r="O35" s="19">
        <f t="shared" si="4"/>
        <v>0</v>
      </c>
      <c r="P35" s="20">
        <f t="shared" si="5"/>
        <v>-5.9649122807017108</v>
      </c>
      <c r="Q35" s="21">
        <f t="shared" si="6"/>
        <v>0.95277777777777817</v>
      </c>
      <c r="R35" s="172"/>
      <c r="S35" s="28">
        <v>0.22430555555555556</v>
      </c>
      <c r="T35" s="28">
        <v>0.24930555555555556</v>
      </c>
      <c r="U35" s="4">
        <f t="shared" ref="U35:U38" si="30">(S35-T34)*24*60</f>
        <v>29.000000000000018</v>
      </c>
      <c r="V35" s="22">
        <f t="shared" si="29"/>
        <v>35.999999999999993</v>
      </c>
      <c r="W35" s="4"/>
      <c r="X35" s="4"/>
      <c r="Y35" s="4"/>
      <c r="Z35" s="4"/>
      <c r="AA35" s="164"/>
      <c r="AB35" s="164"/>
      <c r="AC35" s="25"/>
      <c r="AD35" s="25"/>
      <c r="AE35" s="19">
        <f t="shared" si="8"/>
        <v>-113.33333333333258</v>
      </c>
      <c r="AF35" s="21">
        <f t="shared" si="9"/>
        <v>0.95277777777777806</v>
      </c>
      <c r="AG35" s="172"/>
    </row>
    <row r="36" spans="1:33">
      <c r="A36" s="192" t="s">
        <v>1230</v>
      </c>
      <c r="B36" s="37" t="s">
        <v>100</v>
      </c>
      <c r="C36" s="165" t="s">
        <v>108</v>
      </c>
      <c r="D36" s="165"/>
      <c r="E36" s="37">
        <v>26.39</v>
      </c>
      <c r="F36" s="4">
        <v>3975</v>
      </c>
      <c r="G36" s="4">
        <f t="shared" si="27"/>
        <v>104900.25</v>
      </c>
      <c r="H36" s="22" t="s">
        <v>139</v>
      </c>
      <c r="I36" s="16">
        <v>19</v>
      </c>
      <c r="J36" s="18">
        <v>2400</v>
      </c>
      <c r="K36" s="17">
        <f t="shared" si="1"/>
        <v>126.31578947368421</v>
      </c>
      <c r="L36" s="16">
        <v>19</v>
      </c>
      <c r="M36" s="18">
        <f t="shared" si="28"/>
        <v>2293.26923076923</v>
      </c>
      <c r="N36" s="17">
        <f t="shared" si="3"/>
        <v>120.69838056680157</v>
      </c>
      <c r="O36" s="19">
        <f t="shared" si="4"/>
        <v>0</v>
      </c>
      <c r="P36" s="20">
        <f t="shared" si="5"/>
        <v>-5.6174089068826305</v>
      </c>
      <c r="Q36" s="21">
        <f t="shared" si="6"/>
        <v>0.95552884615384581</v>
      </c>
      <c r="R36" s="172"/>
      <c r="S36" s="28">
        <v>0.25486111111111109</v>
      </c>
      <c r="T36" s="28">
        <v>0.32708333333333334</v>
      </c>
      <c r="U36" s="4">
        <f t="shared" si="30"/>
        <v>7.9999999999999716</v>
      </c>
      <c r="V36" s="22">
        <f t="shared" si="29"/>
        <v>104.00000000000003</v>
      </c>
      <c r="W36" s="4"/>
      <c r="X36" s="4"/>
      <c r="Y36" s="4"/>
      <c r="Z36" s="4"/>
      <c r="AA36" s="164"/>
      <c r="AB36" s="164"/>
      <c r="AC36" s="25"/>
      <c r="AD36" s="25"/>
      <c r="AE36" s="19">
        <f t="shared" si="8"/>
        <v>-106.73076923076997</v>
      </c>
      <c r="AF36" s="21">
        <f t="shared" si="9"/>
        <v>0.95552884615384581</v>
      </c>
      <c r="AG36" s="172"/>
    </row>
    <row r="37" spans="1:33">
      <c r="A37" s="192" t="s">
        <v>1230</v>
      </c>
      <c r="B37" s="37" t="s">
        <v>100</v>
      </c>
      <c r="C37" s="165" t="s">
        <v>137</v>
      </c>
      <c r="D37" s="165"/>
      <c r="E37" s="37">
        <v>20.21</v>
      </c>
      <c r="F37" s="4">
        <v>2365</v>
      </c>
      <c r="G37" s="4">
        <f t="shared" si="27"/>
        <v>47796.65</v>
      </c>
      <c r="H37" s="22" t="s">
        <v>139</v>
      </c>
      <c r="I37" s="16">
        <v>16</v>
      </c>
      <c r="J37" s="18">
        <v>2400</v>
      </c>
      <c r="K37" s="17">
        <f t="shared" si="1"/>
        <v>150</v>
      </c>
      <c r="L37" s="16">
        <v>16</v>
      </c>
      <c r="M37" s="18">
        <f t="shared" si="28"/>
        <v>2288.7096774193542</v>
      </c>
      <c r="N37" s="17">
        <f t="shared" si="3"/>
        <v>143.04435483870964</v>
      </c>
      <c r="O37" s="19">
        <f t="shared" si="4"/>
        <v>0</v>
      </c>
      <c r="P37" s="20">
        <f t="shared" si="5"/>
        <v>-6.9556451612903629</v>
      </c>
      <c r="Q37" s="21">
        <f t="shared" si="6"/>
        <v>0.95362903225806428</v>
      </c>
      <c r="R37" s="172"/>
      <c r="S37" s="28">
        <v>0.33194444444444443</v>
      </c>
      <c r="T37" s="28">
        <v>0.375</v>
      </c>
      <c r="U37" s="4">
        <f t="shared" si="30"/>
        <v>6.9999999999999751</v>
      </c>
      <c r="V37" s="22">
        <f t="shared" si="29"/>
        <v>62.000000000000021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8"/>
        <v>-111.29032258064581</v>
      </c>
      <c r="AF37" s="21">
        <f t="shared" si="9"/>
        <v>0.95362903225806428</v>
      </c>
      <c r="AG37" s="172"/>
    </row>
    <row r="38" spans="1:33">
      <c r="A38" s="192" t="s">
        <v>1230</v>
      </c>
      <c r="B38" s="37" t="s">
        <v>100</v>
      </c>
      <c r="C38" s="165" t="s">
        <v>134</v>
      </c>
      <c r="D38" s="165"/>
      <c r="E38" s="37">
        <v>20.52</v>
      </c>
      <c r="F38" s="4">
        <v>2160</v>
      </c>
      <c r="G38" s="4">
        <f t="shared" si="27"/>
        <v>44323.199999999997</v>
      </c>
      <c r="H38" s="22" t="s">
        <v>139</v>
      </c>
      <c r="I38" s="16">
        <v>18</v>
      </c>
      <c r="J38" s="18">
        <v>2400</v>
      </c>
      <c r="K38" s="17">
        <f t="shared" si="1"/>
        <v>133.33333333333334</v>
      </c>
      <c r="L38" s="16">
        <v>18</v>
      </c>
      <c r="M38" s="18">
        <f t="shared" si="28"/>
        <v>2314.285714285716</v>
      </c>
      <c r="N38" s="17">
        <f t="shared" si="3"/>
        <v>128.57142857142867</v>
      </c>
      <c r="O38" s="19">
        <f t="shared" si="4"/>
        <v>0</v>
      </c>
      <c r="P38" s="20">
        <f t="shared" si="5"/>
        <v>-4.7619047619046739</v>
      </c>
      <c r="Q38" s="21">
        <f t="shared" si="6"/>
        <v>0.96428571428571497</v>
      </c>
      <c r="R38" s="172"/>
      <c r="S38" s="28">
        <v>0.38055555555555554</v>
      </c>
      <c r="T38" s="28">
        <v>0.4194444444444444</v>
      </c>
      <c r="U38" s="4">
        <f t="shared" si="30"/>
        <v>7.9999999999999716</v>
      </c>
      <c r="V38" s="22">
        <f t="shared" si="29"/>
        <v>55.999999999999957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8"/>
        <v>-85.71428571428396</v>
      </c>
      <c r="AF38" s="21">
        <f t="shared" si="9"/>
        <v>0.96428571428571497</v>
      </c>
      <c r="AG38" s="172"/>
    </row>
    <row r="39" spans="1:33">
      <c r="A39" s="192" t="s">
        <v>1230</v>
      </c>
      <c r="B39" s="17" t="s">
        <v>1231</v>
      </c>
      <c r="C39" s="177"/>
      <c r="D39" s="177"/>
      <c r="E39" s="38"/>
      <c r="F39" s="17"/>
      <c r="G39" s="17"/>
      <c r="H39" s="4"/>
      <c r="I39" s="30">
        <v>18</v>
      </c>
      <c r="J39" s="18">
        <v>2400</v>
      </c>
      <c r="K39" s="17">
        <f t="shared" si="1"/>
        <v>133.33333333333334</v>
      </c>
      <c r="L39" s="30">
        <v>18</v>
      </c>
      <c r="M39" s="18">
        <f>AVERAGE(M34:M38)</f>
        <v>2295.7441525650356</v>
      </c>
      <c r="N39" s="17">
        <f t="shared" si="3"/>
        <v>127.54134180916864</v>
      </c>
      <c r="O39" s="19">
        <f t="shared" si="4"/>
        <v>0</v>
      </c>
      <c r="P39" s="20">
        <f t="shared" si="5"/>
        <v>-5.7919915241647004</v>
      </c>
      <c r="Q39" s="21">
        <f t="shared" si="6"/>
        <v>0.95656006356876477</v>
      </c>
      <c r="R39" s="172"/>
      <c r="S39" s="28"/>
      <c r="T39" s="28"/>
      <c r="U39" s="17"/>
      <c r="V39" s="22"/>
      <c r="W39" s="17"/>
      <c r="X39" s="17"/>
      <c r="Y39" s="31">
        <f>SUM(Y34:Y38)</f>
        <v>0</v>
      </c>
      <c r="Z39" s="31">
        <f>SUM(Z34:Z38)</f>
        <v>0</v>
      </c>
      <c r="AA39" s="168"/>
      <c r="AB39" s="168"/>
      <c r="AC39" s="31">
        <v>5</v>
      </c>
      <c r="AD39" s="31">
        <f>SUM(AD34:AD38)</f>
        <v>0</v>
      </c>
      <c r="AE39" s="19">
        <f t="shared" si="8"/>
        <v>-104.25584743496438</v>
      </c>
      <c r="AF39" s="21">
        <f t="shared" si="9"/>
        <v>0.95656006356876488</v>
      </c>
      <c r="AG39" s="172"/>
    </row>
    <row r="40" spans="1:33" ht="15.75" customHeight="1">
      <c r="A40" s="184" t="s">
        <v>1232</v>
      </c>
      <c r="B40" s="37" t="s">
        <v>111</v>
      </c>
      <c r="C40" s="173" t="s">
        <v>403</v>
      </c>
      <c r="D40" s="174"/>
      <c r="E40" s="37">
        <v>34.36</v>
      </c>
      <c r="F40" s="4">
        <v>3554</v>
      </c>
      <c r="G40" s="4">
        <f t="shared" ref="G40:G49" si="31">E40*F40</f>
        <v>122115.44</v>
      </c>
      <c r="H40" s="22" t="s">
        <v>139</v>
      </c>
      <c r="I40" s="16">
        <v>10</v>
      </c>
      <c r="J40" s="18">
        <v>3000</v>
      </c>
      <c r="K40" s="17">
        <f t="shared" si="1"/>
        <v>300</v>
      </c>
      <c r="L40" s="16">
        <v>10</v>
      </c>
      <c r="M40" s="18">
        <f t="shared" ref="M40:M49" si="32">F40/V40*60</f>
        <v>2881.6216216216212</v>
      </c>
      <c r="N40" s="18">
        <f t="shared" si="3"/>
        <v>288.16216216216213</v>
      </c>
      <c r="O40" s="19">
        <f t="shared" si="4"/>
        <v>0</v>
      </c>
      <c r="P40" s="20">
        <f t="shared" si="5"/>
        <v>-11.837837837837867</v>
      </c>
      <c r="Q40" s="21">
        <f t="shared" si="6"/>
        <v>0.96054054054054039</v>
      </c>
      <c r="R40" s="187">
        <f>Q50</f>
        <v>0.96324667681336329</v>
      </c>
      <c r="S40" s="28">
        <v>0.20833333333333334</v>
      </c>
      <c r="T40" s="28">
        <v>0.25972222222222224</v>
      </c>
      <c r="U40" s="28"/>
      <c r="V40" s="22">
        <f t="shared" ref="V40:V49" si="33">(T40-S40)*24*60</f>
        <v>74.000000000000014</v>
      </c>
      <c r="W40" s="23"/>
      <c r="X40" s="23"/>
      <c r="Y40" s="26"/>
      <c r="Z40" s="26"/>
      <c r="AA40" s="175"/>
      <c r="AB40" s="176"/>
      <c r="AC40" s="25">
        <v>10</v>
      </c>
      <c r="AD40" s="25"/>
      <c r="AE40" s="19">
        <f t="shared" si="8"/>
        <v>-118.37837837837878</v>
      </c>
      <c r="AF40" s="21">
        <f t="shared" si="9"/>
        <v>0.96054054054054039</v>
      </c>
      <c r="AG40" s="187">
        <f>AF50</f>
        <v>0.96324667681336329</v>
      </c>
    </row>
    <row r="41" spans="1:33" ht="15.75" customHeight="1">
      <c r="A41" s="185" t="s">
        <v>1232</v>
      </c>
      <c r="B41" s="37" t="s">
        <v>111</v>
      </c>
      <c r="C41" s="173" t="s">
        <v>114</v>
      </c>
      <c r="D41" s="174"/>
      <c r="E41" s="37">
        <v>35.119999999999997</v>
      </c>
      <c r="F41" s="4">
        <v>3050</v>
      </c>
      <c r="G41" s="4">
        <f t="shared" si="31"/>
        <v>107115.99999999999</v>
      </c>
      <c r="H41" s="22">
        <v>2</v>
      </c>
      <c r="I41" s="16">
        <v>10</v>
      </c>
      <c r="J41" s="18">
        <v>3000</v>
      </c>
      <c r="K41" s="17">
        <f t="shared" si="1"/>
        <v>300</v>
      </c>
      <c r="L41" s="16">
        <v>10</v>
      </c>
      <c r="M41" s="18">
        <f t="shared" si="32"/>
        <v>2859.3749999999995</v>
      </c>
      <c r="N41" s="18">
        <f t="shared" si="3"/>
        <v>285.93749999999994</v>
      </c>
      <c r="O41" s="19">
        <f t="shared" si="4"/>
        <v>0</v>
      </c>
      <c r="P41" s="20">
        <f t="shared" si="5"/>
        <v>-14.062500000000057</v>
      </c>
      <c r="Q41" s="21">
        <f t="shared" si="6"/>
        <v>0.95312499999999978</v>
      </c>
      <c r="R41" s="188"/>
      <c r="S41" s="28">
        <v>0.26527777777777778</v>
      </c>
      <c r="T41" s="28">
        <v>0.30972222222222223</v>
      </c>
      <c r="U41" s="4">
        <f t="shared" ref="U41:U49" si="34">(S41-T40)*24*60</f>
        <v>7.9999999999999716</v>
      </c>
      <c r="V41" s="22">
        <f t="shared" si="33"/>
        <v>64.000000000000014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8"/>
        <v>-140.62500000000045</v>
      </c>
      <c r="AF41" s="21">
        <f t="shared" si="9"/>
        <v>0.95312499999999989</v>
      </c>
      <c r="AG41" s="188"/>
    </row>
    <row r="42" spans="1:33" ht="15.75" customHeight="1">
      <c r="A42" s="185" t="s">
        <v>1233</v>
      </c>
      <c r="B42" s="37" t="s">
        <v>111</v>
      </c>
      <c r="C42" s="173" t="s">
        <v>115</v>
      </c>
      <c r="D42" s="174"/>
      <c r="E42" s="37">
        <v>26.78</v>
      </c>
      <c r="F42" s="4">
        <v>2223</v>
      </c>
      <c r="G42" s="4">
        <f t="shared" si="31"/>
        <v>59531.94</v>
      </c>
      <c r="H42" s="22" t="s">
        <v>139</v>
      </c>
      <c r="I42" s="16">
        <v>10</v>
      </c>
      <c r="J42" s="18">
        <v>3000</v>
      </c>
      <c r="K42" s="17">
        <f t="shared" si="1"/>
        <v>300</v>
      </c>
      <c r="L42" s="16">
        <v>10</v>
      </c>
      <c r="M42" s="18">
        <f t="shared" si="32"/>
        <v>2899.5652173913045</v>
      </c>
      <c r="N42" s="18">
        <f t="shared" si="3"/>
        <v>289.95652173913044</v>
      </c>
      <c r="O42" s="19">
        <f t="shared" si="4"/>
        <v>0</v>
      </c>
      <c r="P42" s="20">
        <f t="shared" si="5"/>
        <v>-10.043478260869563</v>
      </c>
      <c r="Q42" s="21">
        <f t="shared" si="6"/>
        <v>0.96652173913043482</v>
      </c>
      <c r="R42" s="188"/>
      <c r="S42" s="28">
        <v>0.31319444444444444</v>
      </c>
      <c r="T42" s="28">
        <v>0.34513888888888888</v>
      </c>
      <c r="U42" s="4">
        <f t="shared" si="34"/>
        <v>4.9999999999999822</v>
      </c>
      <c r="V42" s="22">
        <f t="shared" si="33"/>
        <v>46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8"/>
        <v>-100.43478260869551</v>
      </c>
      <c r="AF42" s="21">
        <f t="shared" si="9"/>
        <v>0.96652173913043482</v>
      </c>
      <c r="AG42" s="188"/>
    </row>
    <row r="43" spans="1:33" ht="15.75" customHeight="1">
      <c r="A43" s="185" t="s">
        <v>1234</v>
      </c>
      <c r="B43" s="37" t="s">
        <v>111</v>
      </c>
      <c r="C43" s="173" t="s">
        <v>117</v>
      </c>
      <c r="D43" s="174"/>
      <c r="E43" s="37">
        <v>44.03</v>
      </c>
      <c r="F43" s="4">
        <v>973</v>
      </c>
      <c r="G43" s="4">
        <f t="shared" si="31"/>
        <v>42841.19</v>
      </c>
      <c r="H43" s="22" t="s">
        <v>139</v>
      </c>
      <c r="I43" s="16">
        <v>10</v>
      </c>
      <c r="J43" s="18">
        <v>3000</v>
      </c>
      <c r="K43" s="17">
        <f t="shared" si="1"/>
        <v>300</v>
      </c>
      <c r="L43" s="16">
        <v>10</v>
      </c>
      <c r="M43" s="18">
        <f t="shared" si="32"/>
        <v>2918.9999999999991</v>
      </c>
      <c r="N43" s="18">
        <f t="shared" si="3"/>
        <v>291.89999999999992</v>
      </c>
      <c r="O43" s="19">
        <f t="shared" si="4"/>
        <v>0</v>
      </c>
      <c r="P43" s="20">
        <f t="shared" si="5"/>
        <v>-8.1000000000000796</v>
      </c>
      <c r="Q43" s="21">
        <f t="shared" si="6"/>
        <v>0.97299999999999975</v>
      </c>
      <c r="R43" s="188"/>
      <c r="S43" s="28">
        <v>0.35069444444444442</v>
      </c>
      <c r="T43" s="28">
        <v>0.36458333333333331</v>
      </c>
      <c r="U43" s="4">
        <f t="shared" si="34"/>
        <v>7.9999999999999716</v>
      </c>
      <c r="V43" s="22">
        <f t="shared" si="33"/>
        <v>20.000000000000007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8"/>
        <v>-81.000000000000909</v>
      </c>
      <c r="AF43" s="21">
        <f t="shared" si="9"/>
        <v>0.97299999999999964</v>
      </c>
      <c r="AG43" s="188"/>
    </row>
    <row r="44" spans="1:33" ht="15.75" customHeight="1">
      <c r="A44" s="185" t="s">
        <v>1234</v>
      </c>
      <c r="B44" s="37" t="s">
        <v>111</v>
      </c>
      <c r="C44" s="173" t="s">
        <v>116</v>
      </c>
      <c r="D44" s="174"/>
      <c r="E44" s="37">
        <v>35.869999999999997</v>
      </c>
      <c r="F44" s="4">
        <v>3192</v>
      </c>
      <c r="G44" s="4">
        <f t="shared" si="31"/>
        <v>114497.04</v>
      </c>
      <c r="H44" s="22" t="s">
        <v>139</v>
      </c>
      <c r="I44" s="16">
        <v>9</v>
      </c>
      <c r="J44" s="18">
        <v>3000</v>
      </c>
      <c r="K44" s="17">
        <f t="shared" si="1"/>
        <v>333.33333333333331</v>
      </c>
      <c r="L44" s="16">
        <v>9</v>
      </c>
      <c r="M44" s="18">
        <f t="shared" si="32"/>
        <v>2858.5074626865671</v>
      </c>
      <c r="N44" s="18">
        <f t="shared" si="3"/>
        <v>317.61194029850748</v>
      </c>
      <c r="O44" s="19">
        <f t="shared" si="4"/>
        <v>0</v>
      </c>
      <c r="P44" s="20">
        <f t="shared" si="5"/>
        <v>-15.721393034825837</v>
      </c>
      <c r="Q44" s="21">
        <f t="shared" si="6"/>
        <v>0.95283582089552243</v>
      </c>
      <c r="R44" s="188"/>
      <c r="S44" s="28">
        <v>0.36874999999999997</v>
      </c>
      <c r="T44" s="28">
        <v>0.41527777777777775</v>
      </c>
      <c r="U44" s="4">
        <f t="shared" si="34"/>
        <v>5.9999999999999787</v>
      </c>
      <c r="V44" s="22">
        <f t="shared" si="33"/>
        <v>67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-141.49253731343288</v>
      </c>
      <c r="AF44" s="21">
        <f t="shared" si="9"/>
        <v>0.95283582089552232</v>
      </c>
      <c r="AG44" s="188"/>
    </row>
    <row r="45" spans="1:33" ht="15.75" customHeight="1">
      <c r="A45" s="185" t="s">
        <v>1235</v>
      </c>
      <c r="B45" s="37" t="s">
        <v>111</v>
      </c>
      <c r="C45" s="173" t="s">
        <v>112</v>
      </c>
      <c r="D45" s="174"/>
      <c r="E45" s="37">
        <v>21.13</v>
      </c>
      <c r="F45" s="4">
        <v>2800</v>
      </c>
      <c r="G45" s="4">
        <f t="shared" si="31"/>
        <v>59164</v>
      </c>
      <c r="H45" s="22">
        <v>2</v>
      </c>
      <c r="I45" s="16">
        <v>10</v>
      </c>
      <c r="J45" s="18">
        <v>3000</v>
      </c>
      <c r="K45" s="17">
        <f t="shared" si="1"/>
        <v>300</v>
      </c>
      <c r="L45" s="16">
        <v>10</v>
      </c>
      <c r="M45" s="18">
        <f t="shared" si="32"/>
        <v>2896.5517241379293</v>
      </c>
      <c r="N45" s="18">
        <f t="shared" si="3"/>
        <v>289.65517241379291</v>
      </c>
      <c r="O45" s="19">
        <f t="shared" si="4"/>
        <v>0</v>
      </c>
      <c r="P45" s="20">
        <f t="shared" si="5"/>
        <v>-10.344827586207089</v>
      </c>
      <c r="Q45" s="21">
        <f t="shared" si="6"/>
        <v>0.96551724137930972</v>
      </c>
      <c r="R45" s="188"/>
      <c r="S45" s="28">
        <v>0.4194444444444444</v>
      </c>
      <c r="T45" s="28">
        <v>0.4597222222222222</v>
      </c>
      <c r="U45" s="4">
        <f t="shared" si="34"/>
        <v>5.9999999999999787</v>
      </c>
      <c r="V45" s="22">
        <f t="shared" si="33"/>
        <v>58.000000000000036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8"/>
        <v>-103.44827586207066</v>
      </c>
      <c r="AF45" s="21">
        <f t="shared" si="9"/>
        <v>0.96551724137930983</v>
      </c>
      <c r="AG45" s="188"/>
    </row>
    <row r="46" spans="1:33" ht="15.75" customHeight="1">
      <c r="A46" s="185" t="s">
        <v>1234</v>
      </c>
      <c r="B46" s="37" t="s">
        <v>111</v>
      </c>
      <c r="C46" s="173" t="s">
        <v>113</v>
      </c>
      <c r="D46" s="174"/>
      <c r="E46" s="37">
        <v>27.17</v>
      </c>
      <c r="F46" s="4">
        <v>2700</v>
      </c>
      <c r="G46" s="4">
        <f t="shared" si="31"/>
        <v>73359</v>
      </c>
      <c r="H46" s="22">
        <v>2</v>
      </c>
      <c r="I46" s="16">
        <v>10</v>
      </c>
      <c r="J46" s="18">
        <v>3000</v>
      </c>
      <c r="K46" s="17">
        <f t="shared" si="1"/>
        <v>300</v>
      </c>
      <c r="L46" s="16">
        <v>10</v>
      </c>
      <c r="M46" s="18">
        <f t="shared" si="32"/>
        <v>2892.8571428571408</v>
      </c>
      <c r="N46" s="18">
        <f t="shared" si="3"/>
        <v>289.28571428571411</v>
      </c>
      <c r="O46" s="19">
        <f t="shared" si="4"/>
        <v>0</v>
      </c>
      <c r="P46" s="20">
        <f t="shared" si="5"/>
        <v>-10.714285714285893</v>
      </c>
      <c r="Q46" s="21">
        <f t="shared" si="6"/>
        <v>0.96428571428571364</v>
      </c>
      <c r="R46" s="188"/>
      <c r="S46" s="28">
        <v>0.46319444444444441</v>
      </c>
      <c r="T46" s="28">
        <v>0.50208333333333333</v>
      </c>
      <c r="U46" s="4">
        <f t="shared" si="34"/>
        <v>4.9999999999999822</v>
      </c>
      <c r="V46" s="22">
        <f t="shared" si="33"/>
        <v>56.000000000000043</v>
      </c>
      <c r="W46" s="23">
        <f>T46</f>
        <v>0.50208333333333333</v>
      </c>
      <c r="X46" s="23">
        <f>S47</f>
        <v>0.54305555555555551</v>
      </c>
      <c r="Y46" s="26"/>
      <c r="Z46" s="26"/>
      <c r="AA46" s="175"/>
      <c r="AB46" s="176"/>
      <c r="AC46" s="25"/>
      <c r="AD46" s="25"/>
      <c r="AE46" s="19">
        <f t="shared" si="8"/>
        <v>-107.14285714285916</v>
      </c>
      <c r="AF46" s="21">
        <f t="shared" si="9"/>
        <v>0.96428571428571364</v>
      </c>
      <c r="AG46" s="188"/>
    </row>
    <row r="47" spans="1:33" ht="15.75" customHeight="1">
      <c r="A47" s="185" t="s">
        <v>1232</v>
      </c>
      <c r="B47" s="37" t="s">
        <v>111</v>
      </c>
      <c r="C47" s="173" t="s">
        <v>113</v>
      </c>
      <c r="D47" s="174"/>
      <c r="E47" s="37">
        <v>27.17</v>
      </c>
      <c r="F47" s="4">
        <v>2988</v>
      </c>
      <c r="G47" s="4">
        <f t="shared" si="31"/>
        <v>81183.960000000006</v>
      </c>
      <c r="H47" s="22" t="s">
        <v>139</v>
      </c>
      <c r="I47" s="16">
        <v>10</v>
      </c>
      <c r="J47" s="18">
        <v>3000</v>
      </c>
      <c r="K47" s="17">
        <f t="shared" si="1"/>
        <v>300</v>
      </c>
      <c r="L47" s="16">
        <v>10</v>
      </c>
      <c r="M47" s="18">
        <f t="shared" si="32"/>
        <v>2891.6129032258091</v>
      </c>
      <c r="N47" s="18">
        <f t="shared" si="3"/>
        <v>289.1612903225809</v>
      </c>
      <c r="O47" s="19">
        <f t="shared" si="4"/>
        <v>0</v>
      </c>
      <c r="P47" s="20">
        <f t="shared" si="5"/>
        <v>-10.838709677419104</v>
      </c>
      <c r="Q47" s="21">
        <f t="shared" si="6"/>
        <v>0.96387096774193637</v>
      </c>
      <c r="R47" s="188"/>
      <c r="S47" s="28">
        <v>0.54305555555555551</v>
      </c>
      <c r="T47" s="28">
        <v>0.58611111111111103</v>
      </c>
      <c r="U47" s="4">
        <f t="shared" si="34"/>
        <v>58.99999999999995</v>
      </c>
      <c r="V47" s="22">
        <f t="shared" si="33"/>
        <v>61.999999999999943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8"/>
        <v>-108.38709677419092</v>
      </c>
      <c r="AF47" s="21">
        <f t="shared" si="9"/>
        <v>0.96387096774193637</v>
      </c>
      <c r="AG47" s="188"/>
    </row>
    <row r="48" spans="1:33" ht="15.75" customHeight="1">
      <c r="A48" s="185" t="s">
        <v>1236</v>
      </c>
      <c r="B48" s="37" t="s">
        <v>111</v>
      </c>
      <c r="C48" s="173" t="s">
        <v>114</v>
      </c>
      <c r="D48" s="174"/>
      <c r="E48" s="37">
        <v>35.119999999999997</v>
      </c>
      <c r="F48" s="4">
        <v>1511</v>
      </c>
      <c r="G48" s="4">
        <f t="shared" si="31"/>
        <v>53066.32</v>
      </c>
      <c r="H48" s="22" t="s">
        <v>139</v>
      </c>
      <c r="I48" s="16">
        <v>10</v>
      </c>
      <c r="J48" s="18">
        <v>3000</v>
      </c>
      <c r="K48" s="17">
        <f t="shared" si="1"/>
        <v>300</v>
      </c>
      <c r="L48" s="16">
        <v>10</v>
      </c>
      <c r="M48" s="18">
        <f t="shared" si="32"/>
        <v>2924.5161290322535</v>
      </c>
      <c r="N48" s="18">
        <f t="shared" si="3"/>
        <v>292.45161290322534</v>
      </c>
      <c r="O48" s="19">
        <f t="shared" si="4"/>
        <v>0</v>
      </c>
      <c r="P48" s="20">
        <f t="shared" si="5"/>
        <v>-7.5483870967746611</v>
      </c>
      <c r="Q48" s="21">
        <f t="shared" si="6"/>
        <v>0.97483870967741781</v>
      </c>
      <c r="R48" s="188"/>
      <c r="S48" s="28">
        <v>0.59097222222222212</v>
      </c>
      <c r="T48" s="28">
        <v>0.61249999999999993</v>
      </c>
      <c r="U48" s="4">
        <f t="shared" si="34"/>
        <v>6.9999999999999751</v>
      </c>
      <c r="V48" s="22">
        <f t="shared" si="33"/>
        <v>31.00000000000005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-75.483870967746498</v>
      </c>
      <c r="AF48" s="21">
        <f t="shared" si="9"/>
        <v>0.97483870967741781</v>
      </c>
      <c r="AG48" s="188"/>
    </row>
    <row r="49" spans="1:33" ht="15.75" customHeight="1">
      <c r="A49" s="185" t="s">
        <v>1233</v>
      </c>
      <c r="B49" s="37" t="s">
        <v>111</v>
      </c>
      <c r="C49" s="173" t="s">
        <v>112</v>
      </c>
      <c r="D49" s="174"/>
      <c r="E49" s="37">
        <v>21.13</v>
      </c>
      <c r="F49" s="4">
        <v>1389</v>
      </c>
      <c r="G49" s="4">
        <f t="shared" si="31"/>
        <v>29349.57</v>
      </c>
      <c r="H49" s="22" t="s">
        <v>139</v>
      </c>
      <c r="I49" s="16">
        <v>10</v>
      </c>
      <c r="J49" s="18">
        <v>3000</v>
      </c>
      <c r="K49" s="17">
        <f t="shared" si="1"/>
        <v>300</v>
      </c>
      <c r="L49" s="16">
        <v>10</v>
      </c>
      <c r="M49" s="18">
        <f t="shared" si="32"/>
        <v>2873.7931034482704</v>
      </c>
      <c r="N49" s="18">
        <f t="shared" si="3"/>
        <v>287.37931034482705</v>
      </c>
      <c r="O49" s="19">
        <f t="shared" si="4"/>
        <v>0</v>
      </c>
      <c r="P49" s="20">
        <f t="shared" si="5"/>
        <v>-12.620689655172953</v>
      </c>
      <c r="Q49" s="21">
        <f t="shared" si="6"/>
        <v>0.95793103448275685</v>
      </c>
      <c r="R49" s="188"/>
      <c r="S49" s="28">
        <v>0.61805555555555547</v>
      </c>
      <c r="T49" s="28">
        <v>0.6381944444444444</v>
      </c>
      <c r="U49" s="4">
        <f t="shared" si="34"/>
        <v>7.9999999999999716</v>
      </c>
      <c r="V49" s="22">
        <f t="shared" si="33"/>
        <v>29.000000000000057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-126.20689655172964</v>
      </c>
      <c r="AF49" s="21">
        <f t="shared" si="9"/>
        <v>0.95793103448275674</v>
      </c>
      <c r="AG49" s="188"/>
    </row>
    <row r="50" spans="1:33" ht="15.75" customHeight="1">
      <c r="A50" s="186" t="s">
        <v>1234</v>
      </c>
      <c r="B50" s="37" t="s">
        <v>1220</v>
      </c>
      <c r="C50" s="166"/>
      <c r="D50" s="167"/>
      <c r="E50" s="41"/>
      <c r="F50" s="4"/>
      <c r="G50" s="4"/>
      <c r="H50" s="4"/>
      <c r="I50" s="30">
        <v>9.9</v>
      </c>
      <c r="J50" s="18">
        <v>3000</v>
      </c>
      <c r="K50" s="17">
        <f t="shared" si="1"/>
        <v>303.030303030303</v>
      </c>
      <c r="L50" s="30">
        <v>9.9</v>
      </c>
      <c r="M50" s="18">
        <f>AVERAGE(M40:M49)</f>
        <v>2889.7400304400899</v>
      </c>
      <c r="N50" s="17">
        <f t="shared" si="3"/>
        <v>291.89293236768583</v>
      </c>
      <c r="O50" s="19">
        <f t="shared" si="4"/>
        <v>0</v>
      </c>
      <c r="P50" s="20">
        <f t="shared" si="5"/>
        <v>-11.137370662617172</v>
      </c>
      <c r="Q50" s="21">
        <f t="shared" si="6"/>
        <v>0.96324667681336329</v>
      </c>
      <c r="R50" s="189"/>
      <c r="S50" s="28"/>
      <c r="T50" s="28"/>
      <c r="U50" s="4"/>
      <c r="V50" s="22"/>
      <c r="W50" s="23"/>
      <c r="X50" s="23"/>
      <c r="Y50" s="31">
        <f>SUM(Y40:Y49)</f>
        <v>0</v>
      </c>
      <c r="Z50" s="31">
        <f>SUM(Z40:Z49)</f>
        <v>0</v>
      </c>
      <c r="AA50" s="180"/>
      <c r="AB50" s="181"/>
      <c r="AC50" s="31">
        <v>10</v>
      </c>
      <c r="AD50" s="31">
        <f>SUM(AD40:AD49)</f>
        <v>0</v>
      </c>
      <c r="AE50" s="19">
        <f t="shared" si="8"/>
        <v>-110.25996955991013</v>
      </c>
      <c r="AF50" s="21">
        <f t="shared" si="9"/>
        <v>0.96324667681336329</v>
      </c>
      <c r="AG50" s="189"/>
    </row>
    <row r="51" spans="1:33" ht="15.75" customHeight="1">
      <c r="A51" s="182" t="s">
        <v>1237</v>
      </c>
      <c r="B51" s="37" t="s">
        <v>84</v>
      </c>
      <c r="C51" s="165" t="s">
        <v>118</v>
      </c>
      <c r="D51" s="165"/>
      <c r="E51" s="37">
        <v>46</v>
      </c>
      <c r="F51" s="42">
        <v>912</v>
      </c>
      <c r="G51" s="4">
        <f t="shared" ref="G51:G59" si="35">E51*F51</f>
        <v>41952</v>
      </c>
      <c r="H51" s="22" t="s">
        <v>139</v>
      </c>
      <c r="I51" s="16">
        <v>17</v>
      </c>
      <c r="J51" s="18">
        <v>2000</v>
      </c>
      <c r="K51" s="17">
        <f t="shared" si="1"/>
        <v>117.64705882352941</v>
      </c>
      <c r="L51" s="16">
        <v>17</v>
      </c>
      <c r="M51" s="18">
        <f t="shared" ref="M51:M59" si="36">F51/V51*60</f>
        <v>1954.2857142857129</v>
      </c>
      <c r="N51" s="18">
        <f t="shared" si="3"/>
        <v>114.95798319327723</v>
      </c>
      <c r="O51" s="19">
        <f t="shared" si="4"/>
        <v>0</v>
      </c>
      <c r="P51" s="20">
        <f t="shared" si="5"/>
        <v>-2.6890756302521766</v>
      </c>
      <c r="Q51" s="21">
        <f t="shared" si="6"/>
        <v>0.97714285714285654</v>
      </c>
      <c r="R51" s="172">
        <f>Q60</f>
        <v>0.93716519887492744</v>
      </c>
      <c r="S51" s="28">
        <v>0.20833333333333334</v>
      </c>
      <c r="T51" s="28">
        <v>0.2277777777777778</v>
      </c>
      <c r="U51" s="28"/>
      <c r="V51" s="22">
        <f t="shared" ref="V51:V59" si="37">(T51-S51)*24*60</f>
        <v>28.000000000000021</v>
      </c>
      <c r="W51" s="28"/>
      <c r="X51" s="28"/>
      <c r="Y51" s="28"/>
      <c r="Z51" s="28"/>
      <c r="AA51" s="164"/>
      <c r="AB51" s="164"/>
      <c r="AC51" s="25">
        <v>9</v>
      </c>
      <c r="AD51" s="25"/>
      <c r="AE51" s="19">
        <f t="shared" si="8"/>
        <v>-45.714285714287143</v>
      </c>
      <c r="AF51" s="21">
        <f t="shared" si="9"/>
        <v>0.97714285714285642</v>
      </c>
      <c r="AG51" s="172">
        <f>AF60</f>
        <v>0.93716519887492744</v>
      </c>
    </row>
    <row r="52" spans="1:33" ht="15.75" customHeight="1">
      <c r="A52" s="182" t="s">
        <v>1238</v>
      </c>
      <c r="B52" s="37" t="s">
        <v>84</v>
      </c>
      <c r="C52" s="165" t="s">
        <v>119</v>
      </c>
      <c r="D52" s="165"/>
      <c r="E52" s="37">
        <v>46</v>
      </c>
      <c r="F52" s="42">
        <v>1019</v>
      </c>
      <c r="G52" s="4">
        <f t="shared" si="35"/>
        <v>46874</v>
      </c>
      <c r="H52" s="22" t="s">
        <v>139</v>
      </c>
      <c r="I52" s="16">
        <v>17</v>
      </c>
      <c r="J52" s="18">
        <v>2000</v>
      </c>
      <c r="K52" s="17">
        <f t="shared" si="1"/>
        <v>117.64705882352941</v>
      </c>
      <c r="L52" s="16">
        <v>17</v>
      </c>
      <c r="M52" s="18">
        <f t="shared" si="36"/>
        <v>1910.6249999999995</v>
      </c>
      <c r="N52" s="18">
        <f t="shared" si="3"/>
        <v>112.38970588235291</v>
      </c>
      <c r="O52" s="19">
        <f t="shared" si="4"/>
        <v>0</v>
      </c>
      <c r="P52" s="20">
        <f t="shared" si="5"/>
        <v>-5.2573529411764923</v>
      </c>
      <c r="Q52" s="21">
        <f t="shared" si="6"/>
        <v>0.95531249999999979</v>
      </c>
      <c r="R52" s="172"/>
      <c r="S52" s="28">
        <v>0.23333333333333336</v>
      </c>
      <c r="T52" s="28">
        <v>0.25555555555555559</v>
      </c>
      <c r="U52" s="4">
        <f t="shared" ref="U52:U59" si="38">IF(S52=TIME(17,0,0),"",(S52-T51)*24*60)</f>
        <v>8.0000000000000107</v>
      </c>
      <c r="V52" s="22">
        <f t="shared" si="37"/>
        <v>32.000000000000007</v>
      </c>
      <c r="W52" s="23"/>
      <c r="X52" s="23"/>
      <c r="Y52" s="23"/>
      <c r="Z52" s="23"/>
      <c r="AA52" s="164"/>
      <c r="AB52" s="164"/>
      <c r="AC52" s="25"/>
      <c r="AD52" s="25"/>
      <c r="AE52" s="19">
        <f t="shared" si="8"/>
        <v>-89.375000000000455</v>
      </c>
      <c r="AF52" s="21">
        <f t="shared" si="9"/>
        <v>0.95531249999999979</v>
      </c>
      <c r="AG52" s="172"/>
    </row>
    <row r="53" spans="1:33" ht="15.75" customHeight="1">
      <c r="A53" s="182" t="s">
        <v>1237</v>
      </c>
      <c r="B53" s="37" t="s">
        <v>78</v>
      </c>
      <c r="C53" s="173" t="s">
        <v>120</v>
      </c>
      <c r="D53" s="174"/>
      <c r="E53" s="37">
        <v>56.43</v>
      </c>
      <c r="F53" s="42">
        <v>1594</v>
      </c>
      <c r="G53" s="4">
        <f t="shared" si="35"/>
        <v>89949.42</v>
      </c>
      <c r="H53" s="22" t="s">
        <v>139</v>
      </c>
      <c r="I53" s="16">
        <v>22</v>
      </c>
      <c r="J53" s="18">
        <v>2000</v>
      </c>
      <c r="K53" s="17">
        <f t="shared" si="1"/>
        <v>90.909090909090907</v>
      </c>
      <c r="L53" s="16">
        <v>22</v>
      </c>
      <c r="M53" s="18">
        <f t="shared" si="36"/>
        <v>1771.111111111112</v>
      </c>
      <c r="N53" s="18">
        <f t="shared" si="3"/>
        <v>80.505050505050548</v>
      </c>
      <c r="O53" s="19">
        <f t="shared" si="4"/>
        <v>0</v>
      </c>
      <c r="P53" s="20">
        <f t="shared" si="5"/>
        <v>-10.404040404040359</v>
      </c>
      <c r="Q53" s="21">
        <f t="shared" si="6"/>
        <v>0.8855555555555561</v>
      </c>
      <c r="R53" s="172"/>
      <c r="S53" s="28">
        <v>0.2590277777777778</v>
      </c>
      <c r="T53" s="28">
        <v>0.29652777777777778</v>
      </c>
      <c r="U53" s="4">
        <f t="shared" si="38"/>
        <v>4.9999999999999822</v>
      </c>
      <c r="V53" s="22">
        <f t="shared" si="37"/>
        <v>53.999999999999972</v>
      </c>
      <c r="W53" s="23"/>
      <c r="X53" s="23"/>
      <c r="Y53" s="26"/>
      <c r="Z53" s="26"/>
      <c r="AA53" s="164"/>
      <c r="AB53" s="164"/>
      <c r="AC53" s="25"/>
      <c r="AD53" s="25"/>
      <c r="AE53" s="19">
        <f t="shared" si="8"/>
        <v>-228.888888888888</v>
      </c>
      <c r="AF53" s="21">
        <f t="shared" si="9"/>
        <v>0.88555555555555598</v>
      </c>
      <c r="AG53" s="172"/>
    </row>
    <row r="54" spans="1:33" ht="15.75" customHeight="1">
      <c r="A54" s="182" t="s">
        <v>1239</v>
      </c>
      <c r="B54" s="37" t="s">
        <v>78</v>
      </c>
      <c r="C54" s="43" t="s">
        <v>121</v>
      </c>
      <c r="D54" s="44"/>
      <c r="E54" s="37">
        <v>51.75</v>
      </c>
      <c r="F54" s="42">
        <v>1474</v>
      </c>
      <c r="G54" s="4">
        <f t="shared" si="35"/>
        <v>76279.5</v>
      </c>
      <c r="H54" s="22" t="s">
        <v>139</v>
      </c>
      <c r="I54" s="16">
        <v>25</v>
      </c>
      <c r="J54" s="18">
        <v>2000</v>
      </c>
      <c r="K54" s="17">
        <f t="shared" si="1"/>
        <v>80</v>
      </c>
      <c r="L54" s="16">
        <v>25</v>
      </c>
      <c r="M54" s="18">
        <f t="shared" si="36"/>
        <v>1700.7692307692316</v>
      </c>
      <c r="N54" s="18">
        <f t="shared" si="3"/>
        <v>68.030769230769266</v>
      </c>
      <c r="O54" s="19">
        <f t="shared" si="4"/>
        <v>0</v>
      </c>
      <c r="P54" s="20">
        <f t="shared" si="5"/>
        <v>-11.969230769230734</v>
      </c>
      <c r="Q54" s="21">
        <f t="shared" si="6"/>
        <v>0.85038461538461585</v>
      </c>
      <c r="R54" s="172"/>
      <c r="S54" s="28">
        <v>0.30138888888888887</v>
      </c>
      <c r="T54" s="28">
        <v>0.33749999999999997</v>
      </c>
      <c r="U54" s="4">
        <f t="shared" si="38"/>
        <v>6.9999999999999751</v>
      </c>
      <c r="V54" s="22">
        <f t="shared" si="37"/>
        <v>51.999999999999972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8"/>
        <v>-299.23076923076837</v>
      </c>
      <c r="AF54" s="21">
        <f t="shared" si="9"/>
        <v>0.85038461538461585</v>
      </c>
      <c r="AG54" s="172"/>
    </row>
    <row r="55" spans="1:33" ht="15.75" customHeight="1">
      <c r="A55" s="182" t="s">
        <v>1237</v>
      </c>
      <c r="B55" s="37" t="s">
        <v>78</v>
      </c>
      <c r="C55" s="43" t="s">
        <v>122</v>
      </c>
      <c r="D55" s="44"/>
      <c r="E55" s="37">
        <v>54.09</v>
      </c>
      <c r="F55" s="42">
        <v>1294</v>
      </c>
      <c r="G55" s="4">
        <f t="shared" si="35"/>
        <v>69992.460000000006</v>
      </c>
      <c r="H55" s="22" t="s">
        <v>139</v>
      </c>
      <c r="I55" s="16">
        <v>19</v>
      </c>
      <c r="J55" s="18">
        <v>2000</v>
      </c>
      <c r="K55" s="17">
        <f t="shared" si="1"/>
        <v>105.26315789473684</v>
      </c>
      <c r="L55" s="16">
        <v>19</v>
      </c>
      <c r="M55" s="18">
        <f t="shared" si="36"/>
        <v>1893.6585365853653</v>
      </c>
      <c r="N55" s="18">
        <f t="shared" si="3"/>
        <v>99.666238767650796</v>
      </c>
      <c r="O55" s="19">
        <f t="shared" si="4"/>
        <v>0</v>
      </c>
      <c r="P55" s="20">
        <f t="shared" si="5"/>
        <v>-5.5969191270860392</v>
      </c>
      <c r="Q55" s="21">
        <f t="shared" si="6"/>
        <v>0.94682926829268266</v>
      </c>
      <c r="R55" s="172"/>
      <c r="S55" s="28">
        <v>0.34236111111111106</v>
      </c>
      <c r="T55" s="28">
        <v>0.37083333333333329</v>
      </c>
      <c r="U55" s="4">
        <f t="shared" si="38"/>
        <v>6.9999999999999751</v>
      </c>
      <c r="V55" s="22">
        <f t="shared" si="37"/>
        <v>41.000000000000014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8"/>
        <v>-106.34146341463475</v>
      </c>
      <c r="AF55" s="21">
        <f t="shared" si="9"/>
        <v>0.94682926829268266</v>
      </c>
      <c r="AG55" s="172"/>
    </row>
    <row r="56" spans="1:33" ht="15.75" customHeight="1">
      <c r="A56" s="182" t="s">
        <v>1237</v>
      </c>
      <c r="B56" s="37" t="s">
        <v>78</v>
      </c>
      <c r="C56" s="173" t="s">
        <v>123</v>
      </c>
      <c r="D56" s="174"/>
      <c r="E56" s="37">
        <v>55.56</v>
      </c>
      <c r="F56" s="42">
        <v>1753</v>
      </c>
      <c r="G56" s="4">
        <f t="shared" si="35"/>
        <v>97396.680000000008</v>
      </c>
      <c r="H56" s="22" t="s">
        <v>139</v>
      </c>
      <c r="I56" s="16">
        <v>17</v>
      </c>
      <c r="J56" s="18">
        <v>2000</v>
      </c>
      <c r="K56" s="17">
        <f t="shared" si="1"/>
        <v>117.64705882352941</v>
      </c>
      <c r="L56" s="16">
        <v>17</v>
      </c>
      <c r="M56" s="18">
        <f t="shared" si="36"/>
        <v>1912.3636363636376</v>
      </c>
      <c r="N56" s="18">
        <f t="shared" si="3"/>
        <v>112.49197860962575</v>
      </c>
      <c r="O56" s="19">
        <f t="shared" si="4"/>
        <v>0</v>
      </c>
      <c r="P56" s="20">
        <f t="shared" si="5"/>
        <v>-5.1550802139036591</v>
      </c>
      <c r="Q56" s="21">
        <f t="shared" si="6"/>
        <v>0.95618181818181891</v>
      </c>
      <c r="R56" s="172"/>
      <c r="S56" s="28">
        <v>0.70833333333333337</v>
      </c>
      <c r="T56" s="28">
        <v>0.74652777777777779</v>
      </c>
      <c r="U56" s="4" t="str">
        <f t="shared" si="38"/>
        <v/>
      </c>
      <c r="V56" s="22">
        <f t="shared" si="37"/>
        <v>54.999999999999964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8"/>
        <v>-87.636363636362375</v>
      </c>
      <c r="AF56" s="21">
        <f t="shared" si="9"/>
        <v>0.9561818181818188</v>
      </c>
      <c r="AG56" s="172"/>
    </row>
    <row r="57" spans="1:33" ht="15.75" customHeight="1">
      <c r="A57" s="182" t="s">
        <v>1237</v>
      </c>
      <c r="B57" s="37" t="s">
        <v>78</v>
      </c>
      <c r="C57" s="173" t="s">
        <v>124</v>
      </c>
      <c r="D57" s="174"/>
      <c r="E57" s="37">
        <v>55.32</v>
      </c>
      <c r="F57" s="42">
        <v>1219</v>
      </c>
      <c r="G57" s="4">
        <f t="shared" si="35"/>
        <v>67435.08</v>
      </c>
      <c r="H57" s="22" t="s">
        <v>139</v>
      </c>
      <c r="I57" s="16">
        <v>15</v>
      </c>
      <c r="J57" s="18">
        <v>2000</v>
      </c>
      <c r="K57" s="17">
        <f t="shared" si="1"/>
        <v>133.33333333333334</v>
      </c>
      <c r="L57" s="16">
        <v>15</v>
      </c>
      <c r="M57" s="18">
        <f t="shared" si="36"/>
        <v>1924.7368421052615</v>
      </c>
      <c r="N57" s="18">
        <f t="shared" si="3"/>
        <v>128.31578947368411</v>
      </c>
      <c r="O57" s="19">
        <f t="shared" si="4"/>
        <v>0</v>
      </c>
      <c r="P57" s="20">
        <f t="shared" si="5"/>
        <v>-5.017543859649237</v>
      </c>
      <c r="Q57" s="21">
        <f t="shared" si="6"/>
        <v>0.96236842105263076</v>
      </c>
      <c r="R57" s="172"/>
      <c r="S57" s="28">
        <v>0.75138888888888888</v>
      </c>
      <c r="T57" s="28">
        <v>0.77777777777777779</v>
      </c>
      <c r="U57" s="4">
        <f t="shared" si="38"/>
        <v>6.9999999999999751</v>
      </c>
      <c r="V57" s="22">
        <f t="shared" si="37"/>
        <v>38.000000000000028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8"/>
        <v>-75.26315789473847</v>
      </c>
      <c r="AF57" s="21">
        <f t="shared" si="9"/>
        <v>0.96236842105263076</v>
      </c>
      <c r="AG57" s="172"/>
    </row>
    <row r="58" spans="1:33" ht="15.75" customHeight="1">
      <c r="A58" s="182" t="s">
        <v>1239</v>
      </c>
      <c r="B58" s="37" t="s">
        <v>78</v>
      </c>
      <c r="C58" s="173" t="s">
        <v>125</v>
      </c>
      <c r="D58" s="174"/>
      <c r="E58" s="37">
        <v>54.29</v>
      </c>
      <c r="F58" s="42">
        <v>1523</v>
      </c>
      <c r="G58" s="4">
        <f t="shared" si="35"/>
        <v>82683.67</v>
      </c>
      <c r="H58" s="22" t="s">
        <v>139</v>
      </c>
      <c r="I58" s="16">
        <v>20</v>
      </c>
      <c r="J58" s="18">
        <v>2000</v>
      </c>
      <c r="K58" s="17">
        <f t="shared" si="1"/>
        <v>100</v>
      </c>
      <c r="L58" s="16">
        <v>20</v>
      </c>
      <c r="M58" s="18">
        <f t="shared" si="36"/>
        <v>1903.7500000000005</v>
      </c>
      <c r="N58" s="18">
        <f t="shared" si="3"/>
        <v>95.187500000000028</v>
      </c>
      <c r="O58" s="19">
        <f t="shared" si="4"/>
        <v>0</v>
      </c>
      <c r="P58" s="20">
        <f t="shared" si="5"/>
        <v>-4.8124999999999716</v>
      </c>
      <c r="Q58" s="21">
        <f t="shared" si="6"/>
        <v>0.95187500000000025</v>
      </c>
      <c r="R58" s="172"/>
      <c r="S58" s="28">
        <v>0.78333333333333333</v>
      </c>
      <c r="T58" s="28">
        <v>0.81666666666666665</v>
      </c>
      <c r="U58" s="4">
        <f t="shared" si="38"/>
        <v>7.9999999999999716</v>
      </c>
      <c r="V58" s="22">
        <f t="shared" si="37"/>
        <v>47.999999999999986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8"/>
        <v>-96.249999999999545</v>
      </c>
      <c r="AF58" s="21">
        <f t="shared" si="9"/>
        <v>0.95187500000000025</v>
      </c>
      <c r="AG58" s="172"/>
    </row>
    <row r="59" spans="1:33">
      <c r="A59" s="182" t="s">
        <v>1240</v>
      </c>
      <c r="B59" s="37" t="s">
        <v>78</v>
      </c>
      <c r="C59" s="173" t="s">
        <v>126</v>
      </c>
      <c r="D59" s="174"/>
      <c r="E59" s="37">
        <v>57.73</v>
      </c>
      <c r="F59" s="42">
        <v>1048</v>
      </c>
      <c r="G59" s="4">
        <f t="shared" si="35"/>
        <v>60501.039999999994</v>
      </c>
      <c r="H59" s="22" t="s">
        <v>139</v>
      </c>
      <c r="I59" s="16">
        <v>16</v>
      </c>
      <c r="J59" s="18">
        <v>1500</v>
      </c>
      <c r="K59" s="17">
        <f t="shared" si="1"/>
        <v>93.75</v>
      </c>
      <c r="L59" s="16">
        <v>16</v>
      </c>
      <c r="M59" s="18">
        <f t="shared" si="36"/>
        <v>1429.090909090909</v>
      </c>
      <c r="N59" s="18">
        <f t="shared" si="3"/>
        <v>89.318181818181813</v>
      </c>
      <c r="O59" s="19">
        <f t="shared" si="4"/>
        <v>0</v>
      </c>
      <c r="P59" s="20">
        <f t="shared" si="5"/>
        <v>-4.431818181818187</v>
      </c>
      <c r="Q59" s="21">
        <f t="shared" si="6"/>
        <v>0.95272727272727264</v>
      </c>
      <c r="R59" s="172"/>
      <c r="S59" s="28">
        <v>0.82013888888888886</v>
      </c>
      <c r="T59" s="28">
        <v>0.85069444444444442</v>
      </c>
      <c r="U59" s="4">
        <f t="shared" si="38"/>
        <v>4.9999999999999822</v>
      </c>
      <c r="V59" s="22">
        <f t="shared" si="37"/>
        <v>44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8"/>
        <v>-70.909090909090992</v>
      </c>
      <c r="AF59" s="21">
        <f t="shared" si="9"/>
        <v>0.95272727272727264</v>
      </c>
      <c r="AG59" s="172"/>
    </row>
    <row r="60" spans="1:33">
      <c r="A60" s="183" t="s">
        <v>70</v>
      </c>
      <c r="B60" s="37" t="s">
        <v>1220</v>
      </c>
      <c r="C60" s="177"/>
      <c r="D60" s="177"/>
      <c r="E60" s="38"/>
      <c r="F60" s="17"/>
      <c r="G60" s="17"/>
      <c r="H60" s="4"/>
      <c r="I60" s="30">
        <v>18.666666666666668</v>
      </c>
      <c r="J60" s="18">
        <v>1944.4444444444443</v>
      </c>
      <c r="K60" s="17">
        <f t="shared" si="1"/>
        <v>104.16666666666666</v>
      </c>
      <c r="L60" s="30">
        <v>18.666666666666668</v>
      </c>
      <c r="M60" s="18">
        <f>AVERAGE(M51:M59)</f>
        <v>1822.2656644790254</v>
      </c>
      <c r="N60" s="17">
        <f t="shared" si="3"/>
        <v>97.621374882804929</v>
      </c>
      <c r="O60" s="19">
        <f t="shared" si="4"/>
        <v>0</v>
      </c>
      <c r="P60" s="20">
        <f t="shared" si="5"/>
        <v>-6.5452917838617282</v>
      </c>
      <c r="Q60" s="21">
        <f t="shared" si="6"/>
        <v>0.93716519887492744</v>
      </c>
      <c r="R60" s="172"/>
      <c r="S60" s="28"/>
      <c r="T60" s="28"/>
      <c r="U60" s="4"/>
      <c r="V60" s="22"/>
      <c r="W60" s="17"/>
      <c r="X60" s="17"/>
      <c r="Y60" s="31">
        <f>SUM(Y51:Y59)</f>
        <v>0</v>
      </c>
      <c r="Z60" s="31">
        <f>SUM(Z51:Z59)</f>
        <v>0</v>
      </c>
      <c r="AA60" s="168"/>
      <c r="AB60" s="168"/>
      <c r="AC60" s="31">
        <v>9</v>
      </c>
      <c r="AD60" s="31">
        <f>SUM(AD51:AD59)</f>
        <v>0</v>
      </c>
      <c r="AE60" s="19">
        <f>M60-J60</f>
        <v>-122.17877996541893</v>
      </c>
      <c r="AF60" s="21">
        <f t="shared" si="9"/>
        <v>0.93716519887492744</v>
      </c>
      <c r="AG60" s="172"/>
    </row>
    <row r="61" spans="1:33" ht="15.75" customHeight="1">
      <c r="A61" s="178" t="s">
        <v>1241</v>
      </c>
      <c r="B61" s="4" t="s">
        <v>84</v>
      </c>
      <c r="C61" s="165" t="s">
        <v>127</v>
      </c>
      <c r="D61" s="165"/>
      <c r="E61" s="37">
        <v>26.97</v>
      </c>
      <c r="F61" s="42">
        <v>1576</v>
      </c>
      <c r="G61" s="4">
        <f t="shared" ref="G61:G65" si="39">E61*F61</f>
        <v>42504.72</v>
      </c>
      <c r="H61" s="22" t="s">
        <v>139</v>
      </c>
      <c r="I61" s="16">
        <v>8</v>
      </c>
      <c r="J61" s="18">
        <v>1500</v>
      </c>
      <c r="K61" s="17">
        <f t="shared" si="1"/>
        <v>187.5</v>
      </c>
      <c r="L61" s="16">
        <v>8</v>
      </c>
      <c r="M61" s="18">
        <f t="shared" ref="M61:M65" si="40">F61/V61*60</f>
        <v>1432.7272727272734</v>
      </c>
      <c r="N61" s="17">
        <f t="shared" si="3"/>
        <v>179.09090909090918</v>
      </c>
      <c r="O61" s="19">
        <f t="shared" si="4"/>
        <v>0</v>
      </c>
      <c r="P61" s="20">
        <f t="shared" si="5"/>
        <v>-8.4090909090908212</v>
      </c>
      <c r="Q61" s="21">
        <f t="shared" si="6"/>
        <v>0.95515151515151564</v>
      </c>
      <c r="R61" s="172">
        <f>Q66</f>
        <v>0.95784803431862231</v>
      </c>
      <c r="S61" s="28">
        <v>0.20833333333333334</v>
      </c>
      <c r="T61" s="28">
        <v>0.25416666666666665</v>
      </c>
      <c r="U61" s="4"/>
      <c r="V61" s="22">
        <f t="shared" ref="V61:V65" si="41">(T61-S61)*24*60</f>
        <v>65.999999999999972</v>
      </c>
      <c r="W61" s="28"/>
      <c r="X61" s="28"/>
      <c r="Y61" s="28"/>
      <c r="Z61" s="28"/>
      <c r="AA61" s="164"/>
      <c r="AB61" s="164"/>
      <c r="AC61" s="25">
        <v>5</v>
      </c>
      <c r="AD61" s="25"/>
      <c r="AE61" s="19">
        <f t="shared" ref="AE61:AE72" si="42">M61-J61</f>
        <v>-67.27272727272657</v>
      </c>
      <c r="AF61" s="21">
        <f t="shared" si="9"/>
        <v>0.95515151515151564</v>
      </c>
      <c r="AG61" s="172">
        <f>AF66</f>
        <v>0.9578480343186222</v>
      </c>
    </row>
    <row r="62" spans="1:33" ht="15.75" customHeight="1">
      <c r="A62" s="178" t="s">
        <v>1242</v>
      </c>
      <c r="B62" s="4" t="s">
        <v>84</v>
      </c>
      <c r="C62" s="165" t="s">
        <v>128</v>
      </c>
      <c r="D62" s="165"/>
      <c r="E62" s="37">
        <v>27.4</v>
      </c>
      <c r="F62" s="42">
        <v>813</v>
      </c>
      <c r="G62" s="4">
        <f t="shared" si="39"/>
        <v>22276.199999999997</v>
      </c>
      <c r="H62" s="22" t="s">
        <v>139</v>
      </c>
      <c r="I62" s="16">
        <v>10</v>
      </c>
      <c r="J62" s="18">
        <v>1500</v>
      </c>
      <c r="K62" s="17">
        <f t="shared" si="1"/>
        <v>150</v>
      </c>
      <c r="L62" s="16">
        <v>10</v>
      </c>
      <c r="M62" s="18">
        <f t="shared" si="40"/>
        <v>1434.7058823529394</v>
      </c>
      <c r="N62" s="17">
        <f t="shared" si="3"/>
        <v>143.47058823529395</v>
      </c>
      <c r="O62" s="19">
        <f t="shared" si="4"/>
        <v>0</v>
      </c>
      <c r="P62" s="20">
        <f t="shared" si="5"/>
        <v>-6.5294117647060546</v>
      </c>
      <c r="Q62" s="21">
        <f t="shared" si="6"/>
        <v>0.95647058823529296</v>
      </c>
      <c r="R62" s="172"/>
      <c r="S62" s="28">
        <v>0.25763888888888886</v>
      </c>
      <c r="T62" s="28">
        <v>0.28125</v>
      </c>
      <c r="U62" s="4">
        <f t="shared" ref="U62:U65" si="43">(S62-T61)*24*60</f>
        <v>4.9999999999999822</v>
      </c>
      <c r="V62" s="22">
        <f t="shared" si="41"/>
        <v>34.000000000000043</v>
      </c>
      <c r="W62" s="4"/>
      <c r="X62" s="4"/>
      <c r="Y62" s="4"/>
      <c r="Z62" s="4"/>
      <c r="AA62" s="164"/>
      <c r="AB62" s="164"/>
      <c r="AC62" s="25"/>
      <c r="AD62" s="25"/>
      <c r="AE62" s="19">
        <f t="shared" si="42"/>
        <v>-65.294117647060602</v>
      </c>
      <c r="AF62" s="21">
        <f t="shared" si="9"/>
        <v>0.95647058823529296</v>
      </c>
      <c r="AG62" s="172"/>
    </row>
    <row r="63" spans="1:33" ht="15.75" customHeight="1">
      <c r="A63" s="178" t="s">
        <v>1242</v>
      </c>
      <c r="B63" s="4" t="s">
        <v>111</v>
      </c>
      <c r="C63" s="165" t="s">
        <v>129</v>
      </c>
      <c r="D63" s="165"/>
      <c r="E63" s="37">
        <v>31</v>
      </c>
      <c r="F63" s="42">
        <v>540</v>
      </c>
      <c r="G63" s="4">
        <f t="shared" si="39"/>
        <v>16740</v>
      </c>
      <c r="H63" s="22" t="s">
        <v>139</v>
      </c>
      <c r="I63" s="16">
        <v>13</v>
      </c>
      <c r="J63" s="18">
        <v>2000</v>
      </c>
      <c r="K63" s="17">
        <f t="shared" si="1"/>
        <v>153.84615384615384</v>
      </c>
      <c r="L63" s="16">
        <v>13</v>
      </c>
      <c r="M63" s="18">
        <f t="shared" si="40"/>
        <v>1905.8823529411741</v>
      </c>
      <c r="N63" s="17">
        <f t="shared" si="3"/>
        <v>146.60633484162878</v>
      </c>
      <c r="O63" s="19">
        <f t="shared" si="4"/>
        <v>0</v>
      </c>
      <c r="P63" s="20">
        <f t="shared" si="5"/>
        <v>-7.2398190045250601</v>
      </c>
      <c r="Q63" s="21">
        <f t="shared" si="6"/>
        <v>0.95294117647058707</v>
      </c>
      <c r="R63" s="172"/>
      <c r="S63" s="28">
        <v>0.28680555555555554</v>
      </c>
      <c r="T63" s="28">
        <v>0.2986111111111111</v>
      </c>
      <c r="U63" s="4">
        <f t="shared" si="43"/>
        <v>7.9999999999999716</v>
      </c>
      <c r="V63" s="22">
        <f t="shared" si="41"/>
        <v>17.000000000000021</v>
      </c>
      <c r="W63" s="4"/>
      <c r="X63" s="4"/>
      <c r="Y63" s="4"/>
      <c r="Z63" s="4"/>
      <c r="AA63" s="164"/>
      <c r="AB63" s="164"/>
      <c r="AC63" s="25"/>
      <c r="AD63" s="25"/>
      <c r="AE63" s="19">
        <f t="shared" si="42"/>
        <v>-94.117647058825924</v>
      </c>
      <c r="AF63" s="21">
        <f t="shared" si="9"/>
        <v>0.95294117647058707</v>
      </c>
      <c r="AG63" s="172"/>
    </row>
    <row r="64" spans="1:33" ht="15.75" customHeight="1">
      <c r="A64" s="178" t="s">
        <v>1242</v>
      </c>
      <c r="B64" s="4" t="s">
        <v>111</v>
      </c>
      <c r="C64" s="165" t="s">
        <v>130</v>
      </c>
      <c r="D64" s="165"/>
      <c r="E64" s="37">
        <v>37.85</v>
      </c>
      <c r="F64" s="42">
        <v>2019</v>
      </c>
      <c r="G64" s="4">
        <f t="shared" si="39"/>
        <v>76419.150000000009</v>
      </c>
      <c r="H64" s="22" t="s">
        <v>139</v>
      </c>
      <c r="I64" s="16">
        <v>12</v>
      </c>
      <c r="J64" s="18">
        <v>2000</v>
      </c>
      <c r="K64" s="17">
        <f t="shared" si="1"/>
        <v>166.66666666666666</v>
      </c>
      <c r="L64" s="16">
        <v>12</v>
      </c>
      <c r="M64" s="18">
        <f t="shared" si="40"/>
        <v>1922.8571428571427</v>
      </c>
      <c r="N64" s="17">
        <f t="shared" si="3"/>
        <v>160.23809523809521</v>
      </c>
      <c r="O64" s="19">
        <f t="shared" si="4"/>
        <v>0</v>
      </c>
      <c r="P64" s="20">
        <f t="shared" si="5"/>
        <v>-6.4285714285714448</v>
      </c>
      <c r="Q64" s="21">
        <f t="shared" si="6"/>
        <v>0.9614285714285713</v>
      </c>
      <c r="R64" s="172"/>
      <c r="S64" s="28">
        <v>0.30208333333333331</v>
      </c>
      <c r="T64" s="28">
        <v>0.34583333333333333</v>
      </c>
      <c r="U64" s="4">
        <f t="shared" si="43"/>
        <v>4.9999999999999822</v>
      </c>
      <c r="V64" s="22">
        <f t="shared" si="41"/>
        <v>63.000000000000014</v>
      </c>
      <c r="W64" s="4"/>
      <c r="X64" s="4"/>
      <c r="Y64" s="4"/>
      <c r="Z64" s="4"/>
      <c r="AA64" s="164"/>
      <c r="AB64" s="164"/>
      <c r="AC64" s="25"/>
      <c r="AD64" s="25"/>
      <c r="AE64" s="19">
        <f t="shared" si="42"/>
        <v>-77.142857142857338</v>
      </c>
      <c r="AF64" s="21">
        <f t="shared" si="9"/>
        <v>0.9614285714285713</v>
      </c>
      <c r="AG64" s="172"/>
    </row>
    <row r="65" spans="1:33">
      <c r="A65" s="179" t="s">
        <v>1242</v>
      </c>
      <c r="B65" s="4" t="s">
        <v>111</v>
      </c>
      <c r="C65" s="165" t="s">
        <v>131</v>
      </c>
      <c r="D65" s="165"/>
      <c r="E65" s="37">
        <v>34.36</v>
      </c>
      <c r="F65" s="42">
        <v>1249</v>
      </c>
      <c r="G65" s="4">
        <f t="shared" si="39"/>
        <v>42915.64</v>
      </c>
      <c r="H65" s="22" t="s">
        <v>139</v>
      </c>
      <c r="I65" s="16">
        <v>10</v>
      </c>
      <c r="J65" s="18">
        <v>3000</v>
      </c>
      <c r="K65" s="17">
        <f t="shared" si="1"/>
        <v>300</v>
      </c>
      <c r="L65" s="16">
        <v>10</v>
      </c>
      <c r="M65" s="18">
        <f t="shared" si="40"/>
        <v>2882.3076923076937</v>
      </c>
      <c r="N65" s="17">
        <f t="shared" si="3"/>
        <v>288.2307692307694</v>
      </c>
      <c r="O65" s="19">
        <f t="shared" si="4"/>
        <v>0</v>
      </c>
      <c r="P65" s="20">
        <f t="shared" si="5"/>
        <v>-11.769230769230603</v>
      </c>
      <c r="Q65" s="21">
        <f t="shared" si="6"/>
        <v>0.96076923076923137</v>
      </c>
      <c r="R65" s="172"/>
      <c r="S65" s="28">
        <v>0.35069444444444442</v>
      </c>
      <c r="T65" s="28">
        <v>0.36874999999999997</v>
      </c>
      <c r="U65" s="4">
        <f t="shared" si="43"/>
        <v>6.9999999999999751</v>
      </c>
      <c r="V65" s="22">
        <f t="shared" si="41"/>
        <v>25.999999999999986</v>
      </c>
      <c r="W65" s="23"/>
      <c r="X65" s="23"/>
      <c r="Y65" s="23"/>
      <c r="Z65" s="23"/>
      <c r="AA65" s="164"/>
      <c r="AB65" s="164"/>
      <c r="AC65" s="25"/>
      <c r="AD65" s="25"/>
      <c r="AE65" s="19">
        <f t="shared" si="42"/>
        <v>-117.69230769230626</v>
      </c>
      <c r="AF65" s="21">
        <f t="shared" si="9"/>
        <v>0.96076923076923126</v>
      </c>
      <c r="AG65" s="172"/>
    </row>
    <row r="66" spans="1:33">
      <c r="A66" s="179" t="s">
        <v>1242</v>
      </c>
      <c r="B66" s="37" t="s">
        <v>1220</v>
      </c>
      <c r="C66" s="177"/>
      <c r="D66" s="177"/>
      <c r="E66" s="38"/>
      <c r="F66" s="17"/>
      <c r="G66" s="17"/>
      <c r="H66" s="4"/>
      <c r="I66" s="30">
        <v>10.6</v>
      </c>
      <c r="J66" s="18">
        <v>2000</v>
      </c>
      <c r="K66" s="17">
        <f t="shared" si="1"/>
        <v>188.67924528301887</v>
      </c>
      <c r="L66" s="30">
        <v>10.6</v>
      </c>
      <c r="M66" s="18">
        <f>AVERAGE(M61:M65)</f>
        <v>1915.6960686372445</v>
      </c>
      <c r="N66" s="17">
        <f t="shared" si="3"/>
        <v>180.72604421106081</v>
      </c>
      <c r="O66" s="19">
        <f t="shared" si="4"/>
        <v>0</v>
      </c>
      <c r="P66" s="20">
        <f t="shared" si="5"/>
        <v>-7.9532010719580626</v>
      </c>
      <c r="Q66" s="21">
        <f t="shared" si="6"/>
        <v>0.95784803431862231</v>
      </c>
      <c r="R66" s="172"/>
      <c r="S66" s="28"/>
      <c r="T66" s="28"/>
      <c r="U66" s="17"/>
      <c r="V66" s="22"/>
      <c r="W66" s="17"/>
      <c r="X66" s="17"/>
      <c r="Y66" s="31">
        <f>SUM(Y61:Y65)</f>
        <v>0</v>
      </c>
      <c r="Z66" s="31">
        <f>SUM(Z61:Z65)</f>
        <v>0</v>
      </c>
      <c r="AA66" s="168"/>
      <c r="AB66" s="168"/>
      <c r="AC66" s="31">
        <v>5</v>
      </c>
      <c r="AD66" s="31">
        <f>SUM(AD61:AD65)</f>
        <v>0</v>
      </c>
      <c r="AE66" s="19">
        <f t="shared" si="42"/>
        <v>-84.30393136275552</v>
      </c>
      <c r="AF66" s="21">
        <f t="shared" si="9"/>
        <v>0.9578480343186222</v>
      </c>
      <c r="AG66" s="172"/>
    </row>
    <row r="67" spans="1:33" ht="15.75" customHeight="1">
      <c r="A67" s="169" t="s">
        <v>1243</v>
      </c>
      <c r="B67" s="4" t="s">
        <v>100</v>
      </c>
      <c r="C67" s="165" t="s">
        <v>133</v>
      </c>
      <c r="D67" s="165"/>
      <c r="E67" s="37">
        <v>20.2</v>
      </c>
      <c r="F67" s="4">
        <v>1293</v>
      </c>
      <c r="G67" s="4">
        <f t="shared" ref="G67:G71" si="44">E67*F67</f>
        <v>26118.6</v>
      </c>
      <c r="H67" s="22" t="s">
        <v>139</v>
      </c>
      <c r="I67" s="16">
        <v>19</v>
      </c>
      <c r="J67" s="18">
        <v>2400</v>
      </c>
      <c r="K67" s="17">
        <f t="shared" si="1"/>
        <v>126.31578947368421</v>
      </c>
      <c r="L67" s="16">
        <v>19</v>
      </c>
      <c r="M67" s="18">
        <f t="shared" ref="M67:M71" si="45">F67/V67*60</f>
        <v>2350.909090909091</v>
      </c>
      <c r="N67" s="17">
        <f t="shared" si="3"/>
        <v>123.73205741626795</v>
      </c>
      <c r="O67" s="19">
        <f t="shared" si="4"/>
        <v>0</v>
      </c>
      <c r="P67" s="20">
        <f t="shared" si="5"/>
        <v>-2.5837320574162561</v>
      </c>
      <c r="Q67" s="21">
        <f t="shared" si="6"/>
        <v>0.97954545454545461</v>
      </c>
      <c r="R67" s="172">
        <f>Q72</f>
        <v>0.96245515992958464</v>
      </c>
      <c r="S67" s="28">
        <v>0.125</v>
      </c>
      <c r="T67" s="28">
        <v>0.14791666666666667</v>
      </c>
      <c r="U67" s="28"/>
      <c r="V67" s="22">
        <f t="shared" ref="V67:V71" si="46">(T67-S67)*24*60</f>
        <v>33</v>
      </c>
      <c r="W67" s="23">
        <f>T67</f>
        <v>0.14791666666666667</v>
      </c>
      <c r="X67" s="23">
        <f>S68</f>
        <v>0.16736111111111113</v>
      </c>
      <c r="Y67" s="23"/>
      <c r="Z67" s="23"/>
      <c r="AA67" s="164"/>
      <c r="AB67" s="164"/>
      <c r="AC67" s="25">
        <v>5</v>
      </c>
      <c r="AD67" s="25"/>
      <c r="AE67" s="19">
        <f t="shared" si="42"/>
        <v>-49.090909090909008</v>
      </c>
      <c r="AF67" s="21">
        <f t="shared" si="9"/>
        <v>0.97954545454545461</v>
      </c>
      <c r="AG67" s="172">
        <f>AF72</f>
        <v>0.96245515992958453</v>
      </c>
    </row>
    <row r="68" spans="1:33" ht="15.75" customHeight="1">
      <c r="A68" s="170" t="s">
        <v>1243</v>
      </c>
      <c r="B68" s="4" t="s">
        <v>100</v>
      </c>
      <c r="C68" s="165" t="s">
        <v>109</v>
      </c>
      <c r="D68" s="165"/>
      <c r="E68" s="37">
        <v>24.45</v>
      </c>
      <c r="F68" s="4">
        <v>1765</v>
      </c>
      <c r="G68" s="4">
        <f t="shared" si="44"/>
        <v>43154.25</v>
      </c>
      <c r="H68" s="22" t="s">
        <v>139</v>
      </c>
      <c r="I68" s="16">
        <v>20</v>
      </c>
      <c r="J68" s="18">
        <v>2400</v>
      </c>
      <c r="K68" s="17">
        <f t="shared" si="1"/>
        <v>120</v>
      </c>
      <c r="L68" s="16">
        <v>20</v>
      </c>
      <c r="M68" s="18">
        <f t="shared" si="45"/>
        <v>2302.1739130434785</v>
      </c>
      <c r="N68" s="17">
        <f t="shared" si="3"/>
        <v>115.10869565217392</v>
      </c>
      <c r="O68" s="19">
        <f t="shared" si="4"/>
        <v>0</v>
      </c>
      <c r="P68" s="20">
        <f t="shared" si="5"/>
        <v>-4.8913043478260789</v>
      </c>
      <c r="Q68" s="21">
        <f t="shared" si="6"/>
        <v>0.95923913043478271</v>
      </c>
      <c r="R68" s="172"/>
      <c r="S68" s="28">
        <v>0.16736111111111113</v>
      </c>
      <c r="T68" s="28">
        <v>0.19930555555555557</v>
      </c>
      <c r="U68" s="4">
        <f t="shared" ref="U68:U71" si="47">(S68-T67)*24*60</f>
        <v>28.000000000000021</v>
      </c>
      <c r="V68" s="22">
        <f t="shared" si="46"/>
        <v>46</v>
      </c>
      <c r="W68" s="23"/>
      <c r="X68" s="23"/>
      <c r="Y68" s="23"/>
      <c r="Z68" s="23"/>
      <c r="AA68" s="164"/>
      <c r="AB68" s="164"/>
      <c r="AC68" s="25"/>
      <c r="AD68" s="25"/>
      <c r="AE68" s="19">
        <f t="shared" si="42"/>
        <v>-97.826086956521522</v>
      </c>
      <c r="AF68" s="21">
        <f t="shared" si="9"/>
        <v>0.95923913043478271</v>
      </c>
      <c r="AG68" s="172"/>
    </row>
    <row r="69" spans="1:33" ht="15.75" customHeight="1">
      <c r="A69" s="170" t="s">
        <v>1243</v>
      </c>
      <c r="B69" s="4" t="s">
        <v>100</v>
      </c>
      <c r="C69" s="165" t="s">
        <v>136</v>
      </c>
      <c r="D69" s="165"/>
      <c r="E69" s="37">
        <v>24.43</v>
      </c>
      <c r="F69" s="4">
        <v>4272</v>
      </c>
      <c r="G69" s="4">
        <f t="shared" si="44"/>
        <v>104364.95999999999</v>
      </c>
      <c r="H69" s="22" t="s">
        <v>139</v>
      </c>
      <c r="I69" s="16">
        <v>14</v>
      </c>
      <c r="J69" s="18">
        <v>2400</v>
      </c>
      <c r="K69" s="17">
        <f t="shared" ref="K69:K72" si="48">J69/I69</f>
        <v>171.42857142857142</v>
      </c>
      <c r="L69" s="16">
        <v>14</v>
      </c>
      <c r="M69" s="18">
        <f t="shared" si="45"/>
        <v>2288.5714285714298</v>
      </c>
      <c r="N69" s="17">
        <f t="shared" ref="N69:N72" si="49">M69/L69</f>
        <v>163.46938775510213</v>
      </c>
      <c r="O69" s="19">
        <f t="shared" ref="O69:O72" si="50">L69-I69</f>
        <v>0</v>
      </c>
      <c r="P69" s="20">
        <f t="shared" ref="P69:P72" si="51">N69-K69</f>
        <v>-7.9591836734692833</v>
      </c>
      <c r="Q69" s="21">
        <f t="shared" ref="Q69:Q72" si="52">N69/K69</f>
        <v>0.95357142857142918</v>
      </c>
      <c r="R69" s="172"/>
      <c r="S69" s="28">
        <v>0.20486111111111113</v>
      </c>
      <c r="T69" s="28">
        <v>0.28263888888888888</v>
      </c>
      <c r="U69" s="4">
        <f t="shared" si="47"/>
        <v>8.0000000000000107</v>
      </c>
      <c r="V69" s="22">
        <f t="shared" si="46"/>
        <v>111.99999999999996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42"/>
        <v>-111.42857142857019</v>
      </c>
      <c r="AF69" s="21">
        <f t="shared" ref="AF69:AF72" si="53">M69/J69</f>
        <v>0.95357142857142907</v>
      </c>
      <c r="AG69" s="172"/>
    </row>
    <row r="70" spans="1:33" ht="15.75" customHeight="1">
      <c r="A70" s="170" t="s">
        <v>1244</v>
      </c>
      <c r="B70" s="4" t="s">
        <v>100</v>
      </c>
      <c r="C70" s="165" t="s">
        <v>138</v>
      </c>
      <c r="D70" s="165"/>
      <c r="E70" s="37">
        <v>22.69</v>
      </c>
      <c r="F70" s="4">
        <v>658</v>
      </c>
      <c r="G70" s="4">
        <f t="shared" si="44"/>
        <v>14930.02</v>
      </c>
      <c r="H70" s="22" t="s">
        <v>139</v>
      </c>
      <c r="I70" s="16">
        <v>15</v>
      </c>
      <c r="J70" s="18">
        <v>2400</v>
      </c>
      <c r="K70" s="17">
        <f t="shared" si="48"/>
        <v>160</v>
      </c>
      <c r="L70" s="16">
        <v>15</v>
      </c>
      <c r="M70" s="18">
        <f t="shared" si="45"/>
        <v>2322.352941176468</v>
      </c>
      <c r="N70" s="17">
        <f t="shared" si="49"/>
        <v>154.82352941176453</v>
      </c>
      <c r="O70" s="19">
        <f t="shared" si="50"/>
        <v>0</v>
      </c>
      <c r="P70" s="20">
        <f t="shared" si="51"/>
        <v>-5.1764705882354747</v>
      </c>
      <c r="Q70" s="21">
        <f t="shared" si="52"/>
        <v>0.96764705882352831</v>
      </c>
      <c r="R70" s="172"/>
      <c r="S70" s="28">
        <v>0.28680555555555554</v>
      </c>
      <c r="T70" s="28">
        <v>0.2986111111111111</v>
      </c>
      <c r="U70" s="4">
        <f t="shared" si="47"/>
        <v>5.9999999999999787</v>
      </c>
      <c r="V70" s="22">
        <f t="shared" si="46"/>
        <v>17.000000000000021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42"/>
        <v>-77.647058823532006</v>
      </c>
      <c r="AF70" s="21">
        <f t="shared" si="53"/>
        <v>0.96764705882352831</v>
      </c>
      <c r="AG70" s="172"/>
    </row>
    <row r="71" spans="1:33" ht="15.75" customHeight="1">
      <c r="A71" s="170" t="s">
        <v>1245</v>
      </c>
      <c r="B71" s="4" t="s">
        <v>100</v>
      </c>
      <c r="C71" s="165" t="s">
        <v>135</v>
      </c>
      <c r="D71" s="165"/>
      <c r="E71" s="37">
        <v>19.02</v>
      </c>
      <c r="F71" s="4">
        <v>6285</v>
      </c>
      <c r="G71" s="4">
        <f t="shared" si="44"/>
        <v>119540.7</v>
      </c>
      <c r="H71" s="22" t="s">
        <v>139</v>
      </c>
      <c r="I71" s="16">
        <v>15</v>
      </c>
      <c r="J71" s="18">
        <v>2400</v>
      </c>
      <c r="K71" s="17">
        <f t="shared" si="48"/>
        <v>160</v>
      </c>
      <c r="L71" s="16">
        <v>15</v>
      </c>
      <c r="M71" s="18">
        <f t="shared" si="45"/>
        <v>2285.454545454546</v>
      </c>
      <c r="N71" s="17">
        <f t="shared" si="49"/>
        <v>152.3636363636364</v>
      </c>
      <c r="O71" s="19">
        <f t="shared" si="50"/>
        <v>0</v>
      </c>
      <c r="P71" s="20">
        <f t="shared" si="51"/>
        <v>-7.6363636363635976</v>
      </c>
      <c r="Q71" s="21">
        <f t="shared" si="52"/>
        <v>0.95227272727272749</v>
      </c>
      <c r="R71" s="172"/>
      <c r="S71" s="28">
        <v>0.3034722222222222</v>
      </c>
      <c r="T71" s="28">
        <v>0.41805555555555551</v>
      </c>
      <c r="U71" s="4">
        <f t="shared" si="47"/>
        <v>6.9999999999999751</v>
      </c>
      <c r="V71" s="22">
        <f t="shared" si="46"/>
        <v>164.99999999999997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42"/>
        <v>-114.54545454545405</v>
      </c>
      <c r="AF71" s="21">
        <f t="shared" si="53"/>
        <v>0.95227272727272749</v>
      </c>
      <c r="AG71" s="172"/>
    </row>
    <row r="72" spans="1:33" ht="16.5" customHeight="1">
      <c r="A72" s="171" t="s">
        <v>1243</v>
      </c>
      <c r="B72" s="37" t="s">
        <v>1231</v>
      </c>
      <c r="C72" s="166"/>
      <c r="D72" s="167"/>
      <c r="E72" s="38"/>
      <c r="F72" s="17"/>
      <c r="G72" s="17"/>
      <c r="H72" s="4"/>
      <c r="I72" s="30">
        <v>16.600000000000001</v>
      </c>
      <c r="J72" s="18">
        <v>2400</v>
      </c>
      <c r="K72" s="17">
        <f t="shared" si="48"/>
        <v>144.57831325301203</v>
      </c>
      <c r="L72" s="30">
        <v>16.600000000000001</v>
      </c>
      <c r="M72" s="18">
        <f>AVERAGE(M67:M71)</f>
        <v>2309.8923838310029</v>
      </c>
      <c r="N72" s="17">
        <f t="shared" si="49"/>
        <v>139.15014360427728</v>
      </c>
      <c r="O72" s="19">
        <f t="shared" si="50"/>
        <v>0</v>
      </c>
      <c r="P72" s="20">
        <f t="shared" si="51"/>
        <v>-5.4281696487347517</v>
      </c>
      <c r="Q72" s="21">
        <f t="shared" si="52"/>
        <v>0.96245515992958464</v>
      </c>
      <c r="R72" s="172"/>
      <c r="S72" s="28"/>
      <c r="T72" s="28"/>
      <c r="U72" s="17"/>
      <c r="V72" s="22"/>
      <c r="W72" s="17"/>
      <c r="X72" s="17"/>
      <c r="Y72" s="31">
        <f>SUM(Y67:Y71)</f>
        <v>0</v>
      </c>
      <c r="Z72" s="31">
        <f>SUM(Z67:Z71)</f>
        <v>0</v>
      </c>
      <c r="AA72" s="168"/>
      <c r="AB72" s="168"/>
      <c r="AC72" s="31">
        <v>5</v>
      </c>
      <c r="AD72" s="31">
        <f>SUM(AD67:AD71)</f>
        <v>0</v>
      </c>
      <c r="AE72" s="19">
        <f t="shared" si="42"/>
        <v>-90.107616168997083</v>
      </c>
      <c r="AF72" s="21">
        <f t="shared" si="53"/>
        <v>0.96245515992958453</v>
      </c>
      <c r="AG72" s="172"/>
    </row>
    <row r="73" spans="1:33">
      <c r="D73" s="33"/>
      <c r="E73" s="33"/>
    </row>
  </sheetData>
  <mergeCells count="197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14:A20"/>
    <mergeCell ref="C14:D14"/>
    <mergeCell ref="R14:R20"/>
    <mergeCell ref="AA14:AB14"/>
    <mergeCell ref="AG14:AG20"/>
    <mergeCell ref="C18:D18"/>
    <mergeCell ref="AA18:AB18"/>
    <mergeCell ref="C19:D19"/>
    <mergeCell ref="AA19:AB19"/>
    <mergeCell ref="C20:D20"/>
    <mergeCell ref="AA20:AB20"/>
    <mergeCell ref="C15:D15"/>
    <mergeCell ref="AA15:AB15"/>
    <mergeCell ref="C16:D16"/>
    <mergeCell ref="AA16:AB16"/>
    <mergeCell ref="C17:D17"/>
    <mergeCell ref="AA17:AB17"/>
    <mergeCell ref="A11:A13"/>
    <mergeCell ref="C11:D11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G28:AG33"/>
    <mergeCell ref="C29:D29"/>
    <mergeCell ref="AA29:AB29"/>
    <mergeCell ref="C30:D30"/>
    <mergeCell ref="AA30:AB30"/>
    <mergeCell ref="C31:D31"/>
    <mergeCell ref="AA24:AB24"/>
    <mergeCell ref="C25:D25"/>
    <mergeCell ref="AA25:AB25"/>
    <mergeCell ref="C26:D26"/>
    <mergeCell ref="AA26:AB26"/>
    <mergeCell ref="C27:D27"/>
    <mergeCell ref="AA27:AB27"/>
    <mergeCell ref="AA31:AB31"/>
    <mergeCell ref="C32:D32"/>
    <mergeCell ref="AA32:AB32"/>
    <mergeCell ref="C33:D33"/>
    <mergeCell ref="AA33:AB33"/>
    <mergeCell ref="A34:A39"/>
    <mergeCell ref="C34:D34"/>
    <mergeCell ref="R34:R39"/>
    <mergeCell ref="AA34:AB34"/>
    <mergeCell ref="AA39:AB39"/>
    <mergeCell ref="A28:A33"/>
    <mergeCell ref="C28:D28"/>
    <mergeCell ref="R28:R33"/>
    <mergeCell ref="AA28:AB28"/>
    <mergeCell ref="AG40:AG50"/>
    <mergeCell ref="C41:D41"/>
    <mergeCell ref="AA41:AB41"/>
    <mergeCell ref="C42:D42"/>
    <mergeCell ref="AA42:AB42"/>
    <mergeCell ref="C43:D43"/>
    <mergeCell ref="AG34:AG39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C47:D47"/>
    <mergeCell ref="AA47:AB47"/>
    <mergeCell ref="C48:D48"/>
    <mergeCell ref="AA48:AB48"/>
    <mergeCell ref="C49:D49"/>
    <mergeCell ref="AA49:AB49"/>
    <mergeCell ref="AA43:AB43"/>
    <mergeCell ref="C44:D44"/>
    <mergeCell ref="A40:A50"/>
    <mergeCell ref="C40:D40"/>
    <mergeCell ref="AA59:AB59"/>
    <mergeCell ref="C60:D60"/>
    <mergeCell ref="AA60:AB60"/>
    <mergeCell ref="AA44:AB44"/>
    <mergeCell ref="C45:D45"/>
    <mergeCell ref="AA45:AB45"/>
    <mergeCell ref="C46:D46"/>
    <mergeCell ref="AA46:AB46"/>
    <mergeCell ref="R40:R50"/>
    <mergeCell ref="AA40:AB40"/>
    <mergeCell ref="C50:D50"/>
    <mergeCell ref="AA50:AB50"/>
    <mergeCell ref="A61:A66"/>
    <mergeCell ref="C61:D61"/>
    <mergeCell ref="R61:R66"/>
    <mergeCell ref="AA61:AB61"/>
    <mergeCell ref="AA66:AB66"/>
    <mergeCell ref="AG51:AG60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51:A60"/>
    <mergeCell ref="C51:D51"/>
    <mergeCell ref="R51:R60"/>
    <mergeCell ref="AA51:AB51"/>
    <mergeCell ref="AA57:AB57"/>
    <mergeCell ref="C58:D58"/>
    <mergeCell ref="AA58:AB58"/>
    <mergeCell ref="C59:D59"/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7:A72"/>
    <mergeCell ref="C67:D67"/>
    <mergeCell ref="R67:R72"/>
    <mergeCell ref="AA67:AB67"/>
    <mergeCell ref="AG67:AG72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  <mergeCell ref="AA72:AB72"/>
  </mergeCells>
  <phoneticPr fontId="3" type="noConversion"/>
  <conditionalFormatting sqref="O5:O72">
    <cfRule type="cellIs" dxfId="128" priority="1" operator="greaterThan">
      <formula>0</formula>
    </cfRule>
  </conditionalFormatting>
  <conditionalFormatting sqref="P5:P72">
    <cfRule type="cellIs" dxfId="127" priority="4" operator="lessThan">
      <formula>0</formula>
    </cfRule>
  </conditionalFormatting>
  <conditionalFormatting sqref="Q5:Q72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R5:R11 AG5:AG11">
    <cfRule type="cellIs" dxfId="124" priority="81" operator="lessThan">
      <formula>0.8</formula>
    </cfRule>
  </conditionalFormatting>
  <conditionalFormatting sqref="AE5:AE72">
    <cfRule type="cellIs" dxfId="123" priority="17" operator="lessThan">
      <formula>0</formula>
    </cfRule>
  </conditionalFormatting>
  <conditionalFormatting sqref="AF5:AF72">
    <cfRule type="cellIs" dxfId="122" priority="15" operator="greaterThan">
      <formula>1</formula>
    </cfRule>
    <cfRule type="cellIs" dxfId="121" priority="16" operator="lessThan">
      <formula>0.8</formula>
    </cfRule>
  </conditionalFormatting>
  <conditionalFormatting sqref="AG14:AG64 R14:R72">
    <cfRule type="cellIs" dxfId="120" priority="5" operator="lessThan">
      <formula>0.8</formula>
    </cfRule>
  </conditionalFormatting>
  <dataValidations count="1">
    <dataValidation type="list" allowBlank="1" showInputMessage="1" showErrorMessage="1" sqref="AB10 AA5:AB9 AB65 AA10:AA65 AB12:AB61 AA66:AB72" xr:uid="{00000000-0002-0000-1F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Q32"/>
  <sheetViews>
    <sheetView zoomScale="85" zoomScaleNormal="85" workbookViewId="0">
      <selection activeCell="M6" sqref="M6:M8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1059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1060</v>
      </c>
      <c r="C3" s="153" t="str">
        <f>TEXT('0212 4度C'!A2,"yyyy.mm.ddaaaa")</f>
        <v>2026.02.12星期四</v>
      </c>
      <c r="D3" s="154"/>
      <c r="E3" s="47" t="s">
        <v>1061</v>
      </c>
      <c r="F3" s="155">
        <f>'0212 4度C'!D1</f>
        <v>129612</v>
      </c>
      <c r="G3" s="156"/>
      <c r="H3" s="47" t="s">
        <v>1062</v>
      </c>
      <c r="I3" s="157">
        <f>'0212 4度C'!F1</f>
        <v>4492599.3299999991</v>
      </c>
      <c r="J3" s="158"/>
      <c r="K3" s="48"/>
      <c r="L3" s="49"/>
      <c r="M3" s="49"/>
      <c r="N3" s="49"/>
    </row>
    <row r="4" spans="2:17" ht="28.5" customHeight="1">
      <c r="B4" s="159" t="s">
        <v>1063</v>
      </c>
      <c r="C4" s="145" t="s">
        <v>1064</v>
      </c>
      <c r="D4" s="146"/>
      <c r="E4" s="162" t="s">
        <v>1065</v>
      </c>
      <c r="F4" s="163"/>
      <c r="G4" s="162" t="s">
        <v>1066</v>
      </c>
      <c r="H4" s="163"/>
      <c r="I4" s="162" t="s">
        <v>1067</v>
      </c>
      <c r="J4" s="163"/>
      <c r="K4" s="143" t="s">
        <v>1068</v>
      </c>
      <c r="L4" s="144"/>
      <c r="M4" s="144" t="s">
        <v>1069</v>
      </c>
      <c r="N4" s="144"/>
    </row>
    <row r="5" spans="2:17" ht="28.5" customHeight="1">
      <c r="B5" s="160"/>
      <c r="C5" s="145" t="s">
        <v>1070</v>
      </c>
      <c r="D5" s="146"/>
      <c r="E5" s="145" t="s">
        <v>1071</v>
      </c>
      <c r="F5" s="146"/>
      <c r="G5" s="147" t="s">
        <v>153</v>
      </c>
      <c r="H5" s="148"/>
      <c r="I5" s="149" t="s">
        <v>1072</v>
      </c>
      <c r="J5" s="150"/>
      <c r="K5" s="50" t="s">
        <v>1073</v>
      </c>
      <c r="L5" s="51" t="s">
        <v>1074</v>
      </c>
      <c r="M5" s="50" t="s">
        <v>1075</v>
      </c>
      <c r="N5" s="51" t="s">
        <v>1076</v>
      </c>
    </row>
    <row r="6" spans="2:17" ht="28.5" customHeight="1">
      <c r="B6" s="160"/>
      <c r="C6" s="145" t="s">
        <v>158</v>
      </c>
      <c r="D6" s="146"/>
      <c r="E6" s="137">
        <f>AVERAGE(D13:M13)</f>
        <v>143.44218069090169</v>
      </c>
      <c r="F6" s="138">
        <f>AVERAGE(D31:O31,D13:J13)</f>
        <v>146.37743263636281</v>
      </c>
      <c r="G6" s="139">
        <f>AVERAGE(D13:J13)</f>
        <v>146.37743263636281</v>
      </c>
      <c r="H6" s="140"/>
      <c r="I6" s="139">
        <f>AVERAGE(K13:M13)</f>
        <v>136.59325948482575</v>
      </c>
      <c r="J6" s="140"/>
      <c r="K6" s="141">
        <f>'0212 4度C'!Y2</f>
        <v>0</v>
      </c>
      <c r="L6" s="126">
        <f>'0212 4度C'!Z2</f>
        <v>0</v>
      </c>
      <c r="M6" s="142">
        <f>'0212 4度C'!AC2</f>
        <v>58</v>
      </c>
      <c r="N6" s="126">
        <f>'0212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137.51836653999649</v>
      </c>
      <c r="F7" s="130">
        <f>AVERAGE(D32:O32,D14:J14)</f>
        <v>140.49042067669248</v>
      </c>
      <c r="G7" s="131">
        <f>AVERAGE(D14:J14)</f>
        <v>140.49042067669248</v>
      </c>
      <c r="H7" s="132"/>
      <c r="I7" s="131">
        <f>AVERAGE(K14:M14)</f>
        <v>130.58357355437249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0.95755936658770346</v>
      </c>
      <c r="F8" s="134">
        <f>AVERAGE(D15:J15,D33:O33)</f>
        <v>0.95824521436957111</v>
      </c>
      <c r="G8" s="135">
        <f>AVERAGE(D15:J15)</f>
        <v>0.95824521436957111</v>
      </c>
      <c r="H8" s="136"/>
      <c r="I8" s="135">
        <f>AVERAGE(K15:M15)</f>
        <v>0.95595905509667867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1077</v>
      </c>
      <c r="N9" s="49"/>
      <c r="O9" s="49"/>
      <c r="P9" s="49"/>
      <c r="Q9" s="49"/>
    </row>
    <row r="10" spans="2:17" ht="30" customHeight="1">
      <c r="B10" s="109" t="s">
        <v>1078</v>
      </c>
      <c r="C10" s="110"/>
      <c r="D10" s="111" t="s">
        <v>1079</v>
      </c>
      <c r="E10" s="112"/>
      <c r="F10" s="112"/>
      <c r="G10" s="112"/>
      <c r="H10" s="112"/>
      <c r="I10" s="112"/>
      <c r="J10" s="113"/>
      <c r="K10" s="114" t="s">
        <v>1080</v>
      </c>
      <c r="L10" s="115"/>
      <c r="M10" s="116"/>
      <c r="P10" s="55"/>
      <c r="Q10" s="55"/>
    </row>
    <row r="11" spans="2:17" ht="17.25" customHeight="1">
      <c r="B11" s="117" t="s">
        <v>1081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1083</v>
      </c>
      <c r="C13" s="62" t="s">
        <v>1084</v>
      </c>
      <c r="D13" s="63">
        <f>SUMIFS('0212 4度C'!$K:$K,'0212 4度C'!$A:$A,"新豐6線",'0212 4度C'!$B:$B,"平均")</f>
        <v>113.63636363636363</v>
      </c>
      <c r="E13" s="64">
        <f>SUMIFS('0212 4度C'!$K:$K,'0212 4度C'!$A:$A,"新豐2線",'0212 4度C'!$B:$B,"平均")</f>
        <v>83.333333333333329</v>
      </c>
      <c r="F13" s="65">
        <f>SUMIFS('0212 4度C'!$K:$K,'0212 4度C'!$A:$A,"新豐5線",'0212 4度C'!$B:$B,"平均")</f>
        <v>106.79611650485435</v>
      </c>
      <c r="G13" s="65">
        <f>SUMIFS('0212 4度C'!$K:$K,'0212 4度C'!$A:$A,"新豐7線",'0212 4度C'!$B:$B,"平均")</f>
        <v>125</v>
      </c>
      <c r="H13" s="65">
        <f>SUMIFS('0212 4度C'!$K:$K,'0212 4度C'!$A:$A,"新豐3線",'0212 4度C'!$B:$B,"平均")</f>
        <v>303.030303030303</v>
      </c>
      <c r="I13" s="65">
        <f>SUMIFS('0212 4度C'!$K:$K,'0212 4度C'!$A:$A,"新豐1線",'0212 4度C'!$B:$B,"平均")</f>
        <v>104.16666666666666</v>
      </c>
      <c r="J13" s="66">
        <f>SUMIFS('0212 4度C'!$K:$K,'0212 4度C'!$A:$A,"新豐10線",'0212 4度C'!$B:$B,"平均")</f>
        <v>188.67924528301887</v>
      </c>
      <c r="K13" s="67">
        <f>SUMIFS('0212 4度C'!$K:$K,'0212 4度C'!$A:$A,"新豐8線",'0212 4度C'!$B:$B,"平均")</f>
        <v>131.86813186813188</v>
      </c>
      <c r="L13" s="68">
        <f>SUMIFS('0212 4度C'!$K:$K,'0212 4度C'!$A:$A,"新豐9線",'0212 4度C'!$B:$B,"平均")</f>
        <v>133.33333333333334</v>
      </c>
      <c r="M13" s="66">
        <f>SUMIFS('0212 4度C'!$K:$K,'0212 4度C'!$A:$A,"新豐4線",'0212 4度C'!$B:$B,"平均")</f>
        <v>144.57831325301203</v>
      </c>
    </row>
    <row r="14" spans="2:17" ht="39.6" customHeight="1">
      <c r="B14" s="122"/>
      <c r="C14" s="69" t="s">
        <v>1085</v>
      </c>
      <c r="D14" s="70">
        <f>SUMIFS('0212 4度C'!$N:$N,'0212 4度C'!$A:$A,"新豐6線",'0212 4度C'!$B:$B,"平均")</f>
        <v>109.776330188095</v>
      </c>
      <c r="E14" s="71">
        <f>SUMIFS('0212 4度C'!$N:$N,'0212 4度C'!$A:$A,"新豐2線",'0212 4度C'!$B:$B,"平均")</f>
        <v>79.698820336152011</v>
      </c>
      <c r="F14" s="71">
        <f>SUMIFS('0212 4度C'!$N:$N,'0212 4度C'!$A:$A,"新豐5線",'0212 4度C'!$B:$B,"平均")</f>
        <v>102.44303272842743</v>
      </c>
      <c r="G14" s="71">
        <f>SUMIFS('0212 4度C'!$N:$N,'0212 4度C'!$A:$A,"新豐7線",'0212 4度C'!$B:$B,"平均")</f>
        <v>120.2893100082792</v>
      </c>
      <c r="H14" s="71">
        <f>SUMIFS('0212 4度C'!$N:$N,'0212 4度C'!$A:$A,"新豐3線",'0212 4度C'!$B:$B,"平均")</f>
        <v>291.45798782453249</v>
      </c>
      <c r="I14" s="71">
        <f>SUMIFS('0212 4度C'!$N:$N,'0212 4度C'!$A:$A,"新豐1線",'0212 4度C'!$B:$B,"平均")</f>
        <v>97.480522604986007</v>
      </c>
      <c r="J14" s="72">
        <f>SUMIFS('0212 4度C'!$N:$N,'0212 4度C'!$A:$A,"新豐10線",'0212 4度C'!$B:$B,"平均")</f>
        <v>182.28694104637506</v>
      </c>
      <c r="K14" s="73">
        <f>SUMIFS('0212 4度C'!$N:$N,'0212 4度C'!$A:$A,"新豐8線",'0212 4度C'!$B:$B,"平均")</f>
        <v>125.77493470027794</v>
      </c>
      <c r="L14" s="74">
        <f>SUMIFS('0212 4度C'!$N:$N,'0212 4度C'!$A:$A,"新豐9線",'0212 4度C'!$B:$B,"平均")</f>
        <v>127.5738129770656</v>
      </c>
      <c r="M14" s="72">
        <f>SUMIFS('0212 4度C'!$N:$N,'0212 4度C'!$A:$A,"新豐4線",'0212 4度C'!$B:$B,"平均")</f>
        <v>138.40197298577394</v>
      </c>
    </row>
    <row r="15" spans="2:17" ht="40.15" customHeight="1">
      <c r="B15" s="123"/>
      <c r="C15" s="75" t="s">
        <v>1086</v>
      </c>
      <c r="D15" s="76">
        <f t="shared" ref="D15:M15" si="0">D14/D13</f>
        <v>0.96603170565523611</v>
      </c>
      <c r="E15" s="77">
        <f t="shared" si="0"/>
        <v>0.95638584403382421</v>
      </c>
      <c r="F15" s="77">
        <f t="shared" si="0"/>
        <v>0.95923930645709332</v>
      </c>
      <c r="G15" s="77">
        <f t="shared" si="0"/>
        <v>0.96231448006623366</v>
      </c>
      <c r="H15" s="77">
        <f t="shared" si="0"/>
        <v>0.96181135982095733</v>
      </c>
      <c r="I15" s="77">
        <f t="shared" si="0"/>
        <v>0.93581301700786579</v>
      </c>
      <c r="J15" s="78">
        <f t="shared" si="0"/>
        <v>0.96612078754578778</v>
      </c>
      <c r="K15" s="76">
        <f t="shared" si="0"/>
        <v>0.95379325481044097</v>
      </c>
      <c r="L15" s="77">
        <f t="shared" si="0"/>
        <v>0.95680359732799192</v>
      </c>
      <c r="M15" s="78">
        <f t="shared" si="0"/>
        <v>0.95728031315160322</v>
      </c>
    </row>
    <row r="16" spans="2:17" ht="17.25" customHeight="1">
      <c r="B16" s="124" t="s">
        <v>1087</v>
      </c>
      <c r="C16" s="79" t="s">
        <v>1088</v>
      </c>
      <c r="D16" s="80">
        <f>VLOOKUP("新豐6線",'0212 4度C'!$A:$T,19,0)</f>
        <v>0.70833333333333337</v>
      </c>
      <c r="E16" s="81">
        <f>VLOOKUP("新豐2線",'0212 4度C'!$A:$T,19,0)</f>
        <v>0.20833333333333334</v>
      </c>
      <c r="F16" s="81">
        <f>VLOOKUP("新豐5線",'0212 4度C'!$A:$T,19,0)</f>
        <v>0.20833333333333334</v>
      </c>
      <c r="G16" s="81">
        <f>VLOOKUP("新豐7線",'0212 4度C'!$A:$T,19,0)</f>
        <v>0.20833333333333334</v>
      </c>
      <c r="H16" s="81">
        <f>VLOOKUP("新豐3線",'0212 4度C'!$A:$T,19,0)</f>
        <v>0.20833333333333334</v>
      </c>
      <c r="I16" s="81">
        <f>VLOOKUP("新豐1線",'0212 4度C'!$A:$T,19,0)</f>
        <v>0.20833333333333334</v>
      </c>
      <c r="J16" s="82">
        <f>VLOOKUP("新豐10線",'0212 4度C'!$A:$T,19,0)</f>
        <v>0.20833333333333334</v>
      </c>
      <c r="K16" s="83">
        <f>VLOOKUP("新豐8線",'0212 4度C'!$A:$T,19,0)</f>
        <v>0.125</v>
      </c>
      <c r="L16" s="84">
        <f>VLOOKUP("新豐9線",'0212 4度C'!$A:$T,19,0)</f>
        <v>0.125</v>
      </c>
      <c r="M16" s="85">
        <f>VLOOKUP("新豐4線",'0212 4度C'!$A:$T,19,0)</f>
        <v>0.125</v>
      </c>
    </row>
    <row r="17" spans="2:13" ht="17.25" customHeight="1">
      <c r="B17" s="125"/>
      <c r="C17" s="79" t="s">
        <v>1089</v>
      </c>
      <c r="D17" s="83">
        <f>LOOKUP(2,1/(('0212 4度C'!$A:$A="新豐6線")*('0212 4度C'!$T:$T&lt;&gt;"")),'0212 4度C'!$T:$T)</f>
        <v>0.83472222222222214</v>
      </c>
      <c r="E17" s="81">
        <f>LOOKUP(2,1/(('0212 4度C'!$A:$A="新豐2線")*('0212 4度C'!$T:$T&lt;&gt;"")),'0212 4度C'!$T:$T)</f>
        <v>0.3923611111111111</v>
      </c>
      <c r="F17" s="81">
        <f>LOOKUP(2,1/(('0212 4度C'!$A:$A="新豐5線")*('0212 4度C'!$T:$T&lt;&gt;"")),'0212 4度C'!$T:$T)</f>
        <v>0.8486111111111112</v>
      </c>
      <c r="G17" s="81">
        <f>LOOKUP(2,1/(('0212 4度C'!$A:$A="新豐7線")*('0212 4度C'!$T:$T&lt;&gt;"")),'0212 4度C'!$T:$T)</f>
        <v>0.8569444444444444</v>
      </c>
      <c r="H17" s="81">
        <f>LOOKUP(2,1/(('0212 4度C'!$A:$A="新豐3線")*('0212 4度C'!$T:$T&lt;&gt;"")),'0212 4度C'!$T:$T)</f>
        <v>0.66041666666666654</v>
      </c>
      <c r="I17" s="81">
        <f>LOOKUP(2,1/(('0212 4度C'!$A:$A="新豐1線")*('0212 4度C'!$T:$T&lt;&gt;"")),'0212 4度C'!$T:$T)</f>
        <v>0.84930555555555554</v>
      </c>
      <c r="J17" s="82">
        <f>LOOKUP(2,1/(('0212 4度C'!$A:$A="新豐10線")*('0212 4度C'!$T:$T&lt;&gt;"")),'0212 4度C'!$T:$T)</f>
        <v>0.39861111111111103</v>
      </c>
      <c r="K17" s="80">
        <f>LOOKUP(2,1/(('0212 4度C'!$A:$A="新豐8線")*('0212 4度C'!$T:$T&lt;&gt;"")),'0212 4度C'!$T:$T)</f>
        <v>0.52222222222222214</v>
      </c>
      <c r="L17" s="81">
        <f>LOOKUP(2,1/(('0212 4度C'!$A:$A="新豐9線")*('0212 4度C'!$T:$T&lt;&gt;"")),'0212 4度C'!$T:$T)</f>
        <v>0.46458333333333324</v>
      </c>
      <c r="M17" s="82">
        <f>LOOKUP(2,1/(('0212 4度C'!$A:$A="新豐4線")*('0212 4度C'!$T:$T&lt;&gt;"")),'0212 4度C'!$T:$T)</f>
        <v>0.46527777777777779</v>
      </c>
    </row>
    <row r="18" spans="2:13" ht="17.25" customHeight="1">
      <c r="B18" s="103" t="s">
        <v>1090</v>
      </c>
      <c r="C18" s="86" t="s">
        <v>184</v>
      </c>
      <c r="D18" s="87">
        <f>SUMIFS('0212 4度C'!$Y:$Y,'0212 4度C'!$A:$A,"新豐6線",'0212 4度C'!$B:$B,"平均")</f>
        <v>0</v>
      </c>
      <c r="E18" s="88">
        <f>SUMIFS('0212 4度C'!$Y:$Y,'0212 4度C'!$A:$A,"新豐2線",'0212 4度C'!$B:$B,"平均")</f>
        <v>0</v>
      </c>
      <c r="F18" s="88">
        <f>SUMIFS('0212 4度C'!$Y:$Y,'0212 4度C'!$A:$A,"新豐5線",'0212 4度C'!$B:$B,"平均")</f>
        <v>0</v>
      </c>
      <c r="G18" s="88">
        <f>SUMIFS('0212 4度C'!$Y:$Y,'0212 4度C'!$A:$A,"新豐7線",'0212 4度C'!$B:$B,"平均")</f>
        <v>0</v>
      </c>
      <c r="H18" s="88">
        <f>SUMIFS('0212 4度C'!$Y:$Y,'0212 4度C'!$A:$A,"新豐3線",'0212 4度C'!$B:$B,"平均")</f>
        <v>0</v>
      </c>
      <c r="I18" s="88">
        <f>SUMIFS('0212 4度C'!$Y:$Y,'0212 4度C'!$A:$A,"新豐1線",'0212 4度C'!$B:$B,"平均")</f>
        <v>0</v>
      </c>
      <c r="J18" s="89">
        <f>SUMIFS('0212 4度C'!$Y:$Y,'0212 4度C'!$A:$A,"新豐10線",'0212 4度C'!$B:$B,"平均")</f>
        <v>0</v>
      </c>
      <c r="K18" s="90">
        <f>SUMIFS('0212 4度C'!$Y:$Y,'0212 4度C'!$A:$A,"新豐8線",'0212 4度C'!$B:$B,"平均")</f>
        <v>0</v>
      </c>
      <c r="L18" s="88">
        <f>SUMIFS('0212 4度C'!$Y:$Y,'0212 4度C'!$A:$A,"新豐9線",'0212 4度C'!$B:$B,"平均")</f>
        <v>0</v>
      </c>
      <c r="M18" s="89">
        <f>SUMIFS('0212 4度C'!$Y:$Y,'0212 4度C'!$A:$A,"新豐4線",'0212 4度C'!$B:$B,"平均")</f>
        <v>0</v>
      </c>
    </row>
    <row r="19" spans="2:13" ht="17.25" customHeight="1">
      <c r="B19" s="104"/>
      <c r="C19" s="86" t="s">
        <v>1091</v>
      </c>
      <c r="D19" s="87">
        <f>SUMIFS('0212 4度C'!$Z:$Z,'0212 4度C'!$A:$A,"新豐6線",'0212 4度C'!$B:$B,"平均")</f>
        <v>0</v>
      </c>
      <c r="E19" s="88">
        <f>SUMIFS('0212 4度C'!$Z:$Z,'0212 4度C'!$A:$A,"新豐2線",'0212 4度C'!$B:$B,"平均")</f>
        <v>0</v>
      </c>
      <c r="F19" s="88">
        <f>SUMIFS('0212 4度C'!$Z:$Z,'0212 4度C'!$A:$A,"新豐5線",'0212 4度C'!$B:$B,"平均")</f>
        <v>0</v>
      </c>
      <c r="G19" s="88">
        <f>SUMIFS('0212 4度C'!$Z:$Z,'0212 4度C'!$A:$A,"新豐7線",'0212 4度C'!$B:$B,"平均")</f>
        <v>0</v>
      </c>
      <c r="H19" s="88">
        <f>SUMIFS('0212 4度C'!$Z:$Z,'0212 4度C'!$A:$A,"新豐3線",'0212 4度C'!$B:$B,"平均")</f>
        <v>0</v>
      </c>
      <c r="I19" s="88">
        <f>SUMIFS('0212 4度C'!$Z:$Z,'0212 4度C'!$A:$A,"新豐1線",'0212 4度C'!$B:$B,"平均")</f>
        <v>0</v>
      </c>
      <c r="J19" s="89">
        <f>SUMIFS('0212 4度C'!$Z:$Z,'0212 4度C'!$A:$A,"新豐10線",'0212 4度C'!$B:$B,"平均")</f>
        <v>0</v>
      </c>
      <c r="K19" s="90">
        <f>SUMIFS('0212 4度C'!$Z:$Z,'0212 4度C'!$A:$A,"新豐8線",'0212 4度C'!$B:$B,"平均")</f>
        <v>0</v>
      </c>
      <c r="L19" s="88">
        <f>SUMIFS('0212 4度C'!$Z:$Z,'0212 4度C'!$A:$A,"新豐9線",'0212 4度C'!$B:$B,"平均")</f>
        <v>0</v>
      </c>
      <c r="M19" s="89">
        <f>SUMIFS('0212 4度C'!$Z:$Z,'0212 4度C'!$A:$A,"新豐4線",'0212 4度C'!$B:$B,"平均")</f>
        <v>0</v>
      </c>
    </row>
    <row r="20" spans="2:13" ht="17.25" customHeight="1">
      <c r="B20" s="103" t="s">
        <v>1092</v>
      </c>
      <c r="C20" s="86" t="s">
        <v>1093</v>
      </c>
      <c r="D20" s="87">
        <f>SUMIFS('0212 4度C'!$AC:$AC,'0212 4度C'!$A:$A,"新豐6線",'0212 4度C'!$B:$B,"平均")</f>
        <v>5</v>
      </c>
      <c r="E20" s="88">
        <f>SUMIFS('0212 4度C'!$AC:$AC,'0212 4度C'!$A:$A,"新豐2線",'0212 4度C'!$B:$B,"平均")</f>
        <v>2</v>
      </c>
      <c r="F20" s="88">
        <f>SUMIFS('0212 4度C'!$AC:$AC,'0212 4度C'!$A:$A,"新豐5線",'0212 4度C'!$B:$B,"平均")</f>
        <v>6</v>
      </c>
      <c r="G20" s="88">
        <f>SUMIFS('0212 4度C'!$AC:$AC,'0212 4度C'!$A:$A,"新豐7線",'0212 4度C'!$B:$B,"平均")</f>
        <v>6</v>
      </c>
      <c r="H20" s="88">
        <f>SUMIFS('0212 4度C'!$AC:$AC,'0212 4度C'!$A:$A,"新豐3線",'0212 4度C'!$B:$B,"平均")</f>
        <v>10</v>
      </c>
      <c r="I20" s="88">
        <f>SUMIFS('0212 4度C'!$AC:$AC,'0212 4度C'!$A:$A,"新豐1線",'0212 4度C'!$B:$B,"平均")</f>
        <v>9</v>
      </c>
      <c r="J20" s="89">
        <f>SUMIFS('0212 4度C'!$AC:$AC,'0212 4度C'!$A:$A,"新豐10線",'0212 4度C'!$B:$B,"平均")</f>
        <v>5</v>
      </c>
      <c r="K20" s="90">
        <f>SUMIFS('0212 4度C'!$AC:$AC,'0212 4度C'!$A:$A,"新豐8線",'0212 4度C'!$B:$B,"平均")</f>
        <v>5</v>
      </c>
      <c r="L20" s="88">
        <f>SUMIFS('0212 4度C'!$AC:$AC,'0212 4度C'!$A:$A,"新豐9線",'0212 4度C'!$B:$B,"平均")</f>
        <v>5</v>
      </c>
      <c r="M20" s="89">
        <f>SUMIFS('0212 4度C'!$AC:$AC,'0212 4度C'!$A:$A,"新豐4線",'0212 4度C'!$B:$B,"平均")</f>
        <v>5</v>
      </c>
    </row>
    <row r="21" spans="2:13" ht="17.25" customHeight="1">
      <c r="B21" s="104"/>
      <c r="C21" s="86" t="s">
        <v>1094</v>
      </c>
      <c r="D21" s="87">
        <f>SUMIFS('0212 4度C'!$AD:$AD,'0212 4度C'!$A:$A,"新豐6線",'0212 4度C'!$B:$B,"平均")</f>
        <v>0</v>
      </c>
      <c r="E21" s="88">
        <f>SUMIFS('0212 4度C'!$AD:$AD,'0212 4度C'!$A:$A,"新豐2線",'0212 4度C'!$B:$B,"平均")</f>
        <v>0</v>
      </c>
      <c r="F21" s="88">
        <f>SUMIFS('0212 4度C'!$AD:$AD,'0212 4度C'!$A:$A,"新豐5線",'0212 4度C'!$B:$B,"平均")</f>
        <v>0</v>
      </c>
      <c r="G21" s="88">
        <f>SUMIFS('0212 4度C'!$AD:$AD,'0212 4度C'!$A:$A,"新豐7線",'0212 4度C'!$B:$B,"平均")</f>
        <v>0</v>
      </c>
      <c r="H21" s="88">
        <f>SUMIFS('0212 4度C'!$AD:$AD,'0212 4度C'!$A:$A,"新豐3線",'0212 4度C'!$B:$B,"平均")</f>
        <v>0</v>
      </c>
      <c r="I21" s="88">
        <f>SUMIFS('0212 4度C'!$AD:$AD,'0212 4度C'!$A:$A,"新豐1線",'0212 4度C'!$B:$B,"平均")</f>
        <v>0</v>
      </c>
      <c r="J21" s="89">
        <f>SUMIFS('0212 4度C'!$AD:$AD,'0212 4度C'!$A:$A,"新豐10線",'0212 4度C'!$B:$B,"平均")</f>
        <v>0</v>
      </c>
      <c r="K21" s="90">
        <f>SUMIFS('0212 4度C'!$AD:$AD,'0212 4度C'!$A:$A,"新豐8線",'0212 4度C'!$B:$B,"平均")</f>
        <v>0</v>
      </c>
      <c r="L21" s="88">
        <f>SUMIFS('0212 4度C'!$AD:$AD,'0212 4度C'!$A:$A,"新豐9線",'0212 4度C'!$B:$B,"平均")</f>
        <v>0</v>
      </c>
      <c r="M21" s="89">
        <f>SUMIFS('0212 4度C'!$AD:$AD,'0212 4度C'!$A:$A,"新豐4線",'0212 4度C'!$B:$B,"平均")</f>
        <v>0</v>
      </c>
    </row>
    <row r="22" spans="2:13" ht="17.25" customHeight="1">
      <c r="B22" s="105" t="s">
        <v>1095</v>
      </c>
      <c r="C22" s="106"/>
      <c r="D22" s="91">
        <f>SUMIFS('0212 4度C'!$I:$I,'0212 4度C'!$A:$A,"新豐6線",'0212 4度C'!$B:$B,"平均")</f>
        <v>17.600000000000001</v>
      </c>
      <c r="E22" s="92">
        <f>SUMIFS('0212 4度C'!$I:$I,'0212 4度C'!$A:$A,"新豐2線",'0212 4度C'!$B:$B,"平均")</f>
        <v>18</v>
      </c>
      <c r="F22" s="92">
        <f>SUMIFS('0212 4度C'!$I:$I,'0212 4度C'!$A:$A,"新豐5線",'0212 4度C'!$B:$B,"平均")</f>
        <v>17.166666666666668</v>
      </c>
      <c r="G22" s="92">
        <f>SUMIFS('0212 4度C'!$I:$I,'0212 4度C'!$A:$A,"新豐7線",'0212 4度C'!$B:$B,"平均")</f>
        <v>15.333333333333334</v>
      </c>
      <c r="H22" s="92">
        <f>SUMIFS('0212 4度C'!$I:$I,'0212 4度C'!$A:$A,"新豐3線",'0212 4度C'!$B:$B,"平均")</f>
        <v>9.9</v>
      </c>
      <c r="I22" s="92">
        <f>SUMIFS('0212 4度C'!$I:$I,'0212 4度C'!$A:$A,"新豐1線",'0212 4度C'!$B:$B,"平均")</f>
        <v>18.666666666666668</v>
      </c>
      <c r="J22" s="93">
        <f>SUMIFS('0212 4度C'!$I:$I,'0212 4度C'!$A:$A,"新豐10線",'0212 4度C'!$B:$B,"平均")</f>
        <v>10.6</v>
      </c>
      <c r="K22" s="91">
        <f>SUMIFS('0212 4度C'!$I:$I,'0212 4度C'!$A:$A,"新豐8線",'0212 4度C'!$B:$B,"平均")</f>
        <v>18.2</v>
      </c>
      <c r="L22" s="92">
        <f>SUMIFS('0212 4度C'!$I:$I,'0212 4度C'!$A:$A,"新豐9線",'0212 4度C'!$B:$B,"平均")</f>
        <v>18</v>
      </c>
      <c r="M22" s="93">
        <f>SUMIFS('0212 4度C'!$I:$I,'0212 4度C'!$A:$A,"新豐4線",'0212 4度C'!$B:$B,"平均")</f>
        <v>16.600000000000001</v>
      </c>
    </row>
    <row r="23" spans="2:13" ht="17.25" customHeight="1">
      <c r="B23" s="105" t="s">
        <v>1096</v>
      </c>
      <c r="C23" s="106"/>
      <c r="D23" s="94" t="s">
        <v>191</v>
      </c>
      <c r="E23" s="95" t="s">
        <v>192</v>
      </c>
      <c r="F23" s="95" t="s">
        <v>1097</v>
      </c>
      <c r="G23" s="95" t="s">
        <v>1097</v>
      </c>
      <c r="H23" s="95" t="s">
        <v>194</v>
      </c>
      <c r="I23" s="95" t="s">
        <v>191</v>
      </c>
      <c r="J23" s="96" t="s">
        <v>194</v>
      </c>
      <c r="K23" s="94" t="s">
        <v>1098</v>
      </c>
      <c r="L23" s="95" t="s">
        <v>442</v>
      </c>
      <c r="M23" s="96" t="s">
        <v>1098</v>
      </c>
    </row>
    <row r="24" spans="2:13" ht="17.25" customHeight="1">
      <c r="B24" s="105" t="s">
        <v>1099</v>
      </c>
      <c r="C24" s="106"/>
      <c r="D24" s="94"/>
      <c r="E24" s="95"/>
      <c r="F24" s="95" t="s">
        <v>1100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198</v>
      </c>
      <c r="C25" s="108"/>
      <c r="D25" s="97"/>
      <c r="E25" s="98" t="s">
        <v>610</v>
      </c>
      <c r="F25" s="101" t="s">
        <v>1101</v>
      </c>
      <c r="G25" s="102"/>
      <c r="H25" s="98" t="s">
        <v>1102</v>
      </c>
      <c r="I25" s="98" t="s">
        <v>1103</v>
      </c>
      <c r="J25" s="99" t="s">
        <v>1102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1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G73"/>
  <sheetViews>
    <sheetView topLeftCell="R1" zoomScale="80" zoomScaleNormal="80" workbookViewId="0">
      <pane ySplit="4" topLeftCell="A5" activePane="bottomLeft" state="frozen"/>
      <selection activeCell="I6" sqref="I6:J6"/>
      <selection pane="bottomLeft" activeCell="J13" sqref="J13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1104</v>
      </c>
      <c r="B1" s="1"/>
      <c r="C1" s="2" t="s">
        <v>1105</v>
      </c>
      <c r="D1" s="3">
        <f>SUM(F5:F72)</f>
        <v>129612</v>
      </c>
      <c r="E1" s="4" t="s">
        <v>1106</v>
      </c>
      <c r="F1" s="1">
        <f>SUM(G5:G72)</f>
        <v>4492599.3299999991</v>
      </c>
      <c r="G1" s="1" t="s">
        <v>1107</v>
      </c>
      <c r="H1" s="5">
        <f>L10+L13+L50+L60+L20+L66+L33+L39+L27+L72</f>
        <v>160.06666666666666</v>
      </c>
      <c r="I1" s="214" t="s">
        <v>1108</v>
      </c>
      <c r="J1" s="214"/>
      <c r="K1" s="214"/>
      <c r="L1" s="214" t="s">
        <v>1109</v>
      </c>
      <c r="M1" s="214"/>
      <c r="N1" s="214"/>
      <c r="O1" s="214" t="s">
        <v>1110</v>
      </c>
      <c r="P1" s="214"/>
      <c r="Q1" s="214"/>
      <c r="R1" s="214"/>
      <c r="S1" s="214" t="s">
        <v>1111</v>
      </c>
      <c r="T1" s="214"/>
      <c r="U1" s="214"/>
      <c r="V1" s="214"/>
      <c r="W1" s="214"/>
      <c r="X1" s="214"/>
      <c r="Y1" s="6" t="s">
        <v>1112</v>
      </c>
      <c r="Z1" s="7" t="s">
        <v>1113</v>
      </c>
      <c r="AA1" s="215" t="s">
        <v>1114</v>
      </c>
      <c r="AB1" s="215"/>
      <c r="AC1" s="8" t="s">
        <v>1112</v>
      </c>
      <c r="AD1" s="7" t="s">
        <v>1115</v>
      </c>
      <c r="AE1" s="214" t="s">
        <v>1116</v>
      </c>
      <c r="AF1" s="216"/>
      <c r="AG1" s="216"/>
    </row>
    <row r="2" spans="1:33" ht="26.25" customHeight="1">
      <c r="A2" s="35">
        <v>46065</v>
      </c>
      <c r="B2" s="36" t="s">
        <v>539</v>
      </c>
      <c r="C2" s="2" t="s">
        <v>1083</v>
      </c>
      <c r="D2" s="10">
        <f>AVERAGE(N10,N13,N50,N60,N20,N66,N27,N33,N39,N72)</f>
        <v>137.51836653999649</v>
      </c>
      <c r="E2" s="11" t="s">
        <v>14</v>
      </c>
      <c r="F2" s="12">
        <f>F1/D1</f>
        <v>34.661908851032308</v>
      </c>
      <c r="G2" s="1" t="s">
        <v>256</v>
      </c>
      <c r="H2" s="13">
        <f>COUNT(H5:H72)</f>
        <v>4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SUM(Y10+Y13+Y20+Y27+Y33+Y39+Y50+Y60+Y66+Y72)</f>
        <v>0</v>
      </c>
      <c r="Z2" s="14">
        <f>SUM(Z10+Z13+Z20+Z27+Z33+Z39+Z50+Z60+Z66+Z72)</f>
        <v>0</v>
      </c>
      <c r="AA2" s="215"/>
      <c r="AB2" s="215"/>
      <c r="AC2" s="14">
        <v>58</v>
      </c>
      <c r="AD2" s="14">
        <f>SUM(AD10+AD13+AD20+AD27+AD33+AD39+AD50+AD60+AD66+AD72)</f>
        <v>0</v>
      </c>
      <c r="AE2" s="216"/>
      <c r="AF2" s="216"/>
      <c r="AG2" s="216"/>
    </row>
    <row r="3" spans="1:33" ht="40.5" customHeight="1">
      <c r="A3" s="164" t="s">
        <v>1117</v>
      </c>
      <c r="B3" s="164" t="s">
        <v>1118</v>
      </c>
      <c r="C3" s="164" t="s">
        <v>18</v>
      </c>
      <c r="D3" s="164"/>
      <c r="E3" s="212" t="s">
        <v>19</v>
      </c>
      <c r="F3" s="164" t="s">
        <v>1119</v>
      </c>
      <c r="G3" s="212" t="s">
        <v>367</v>
      </c>
      <c r="H3" s="206" t="s">
        <v>22</v>
      </c>
      <c r="I3" s="204" t="s">
        <v>262</v>
      </c>
      <c r="J3" s="201" t="s">
        <v>1120</v>
      </c>
      <c r="K3" s="211" t="s">
        <v>13</v>
      </c>
      <c r="L3" s="204" t="s">
        <v>262</v>
      </c>
      <c r="M3" s="201" t="s">
        <v>24</v>
      </c>
      <c r="N3" s="211" t="s">
        <v>1082</v>
      </c>
      <c r="O3" s="204" t="s">
        <v>262</v>
      </c>
      <c r="P3" s="211" t="s">
        <v>1121</v>
      </c>
      <c r="Q3" s="202" t="s">
        <v>263</v>
      </c>
      <c r="R3" s="182" t="s">
        <v>29</v>
      </c>
      <c r="S3" s="164" t="s">
        <v>30</v>
      </c>
      <c r="T3" s="164"/>
      <c r="U3" s="206" t="s">
        <v>31</v>
      </c>
      <c r="V3" s="206" t="s">
        <v>32</v>
      </c>
      <c r="W3" s="164" t="s">
        <v>1122</v>
      </c>
      <c r="X3" s="164"/>
      <c r="Y3" s="207" t="s">
        <v>703</v>
      </c>
      <c r="Z3" s="168"/>
      <c r="AA3" s="208" t="s">
        <v>376</v>
      </c>
      <c r="AB3" s="209"/>
      <c r="AC3" s="207" t="s">
        <v>36</v>
      </c>
      <c r="AD3" s="168"/>
      <c r="AE3" s="201" t="s">
        <v>24</v>
      </c>
      <c r="AF3" s="202" t="s">
        <v>263</v>
      </c>
      <c r="AG3" s="182" t="s">
        <v>1123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40</v>
      </c>
      <c r="X4" s="4" t="s">
        <v>1124</v>
      </c>
      <c r="Y4" s="15" t="s">
        <v>1125</v>
      </c>
      <c r="Z4" s="15" t="s">
        <v>43</v>
      </c>
      <c r="AA4" s="210"/>
      <c r="AB4" s="209"/>
      <c r="AC4" s="15" t="s">
        <v>1126</v>
      </c>
      <c r="AD4" s="15" t="s">
        <v>1127</v>
      </c>
      <c r="AE4" s="201"/>
      <c r="AF4" s="202"/>
      <c r="AG4" s="182"/>
    </row>
    <row r="5" spans="1:33">
      <c r="A5" s="203" t="s">
        <v>1128</v>
      </c>
      <c r="B5" s="37" t="s">
        <v>78</v>
      </c>
      <c r="C5" s="205" t="s">
        <v>79</v>
      </c>
      <c r="D5" s="205"/>
      <c r="E5" s="37">
        <v>50.67</v>
      </c>
      <c r="F5" s="4">
        <v>1298</v>
      </c>
      <c r="G5" s="4">
        <v>65769.66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9" si="1">F5/V5*60</f>
        <v>1946.9999999999993</v>
      </c>
      <c r="N5" s="17">
        <f t="shared" ref="N5:N68" si="2">M5/L5</f>
        <v>114.52941176470584</v>
      </c>
      <c r="O5" s="19">
        <f t="shared" ref="O5:O68" si="3">L5-I5</f>
        <v>0</v>
      </c>
      <c r="P5" s="20">
        <f t="shared" ref="P5:P68" si="4">N5-K5</f>
        <v>-3.1176470588235645</v>
      </c>
      <c r="Q5" s="21">
        <f t="shared" ref="Q5:Q68" si="5">N5/K5</f>
        <v>0.9734999999999997</v>
      </c>
      <c r="R5" s="172">
        <f>Q10</f>
        <v>0.96603170565523611</v>
      </c>
      <c r="S5" s="28">
        <v>0.70833333333333337</v>
      </c>
      <c r="T5" s="28">
        <v>0.73611111111111116</v>
      </c>
      <c r="U5" s="4"/>
      <c r="V5" s="22">
        <f t="shared" ref="V5:V9" si="6">(T5-S5)*24*60</f>
        <v>40.000000000000014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9" si="7">M5-J5</f>
        <v>-53.000000000000682</v>
      </c>
      <c r="AF5" s="21">
        <f t="shared" ref="AF5:AF68" si="8">M5/J5</f>
        <v>0.9734999999999997</v>
      </c>
      <c r="AG5" s="172">
        <f>AF10</f>
        <v>0.96603170565523611</v>
      </c>
    </row>
    <row r="6" spans="1:33">
      <c r="A6" s="204" t="s">
        <v>1129</v>
      </c>
      <c r="B6" s="37" t="s">
        <v>78</v>
      </c>
      <c r="C6" s="205" t="s">
        <v>80</v>
      </c>
      <c r="D6" s="205"/>
      <c r="E6" s="37">
        <v>54.09</v>
      </c>
      <c r="F6" s="4">
        <v>1194</v>
      </c>
      <c r="G6" s="4">
        <v>64583.460000000006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1936.2162162162147</v>
      </c>
      <c r="N6" s="17">
        <f t="shared" si="2"/>
        <v>101.90611664295866</v>
      </c>
      <c r="O6" s="19">
        <f t="shared" si="3"/>
        <v>0</v>
      </c>
      <c r="P6" s="20">
        <f t="shared" si="4"/>
        <v>-3.3570412517781705</v>
      </c>
      <c r="Q6" s="21">
        <f t="shared" si="5"/>
        <v>0.96810810810810732</v>
      </c>
      <c r="R6" s="172"/>
      <c r="S6" s="28">
        <v>0.74097222222222225</v>
      </c>
      <c r="T6" s="28">
        <v>0.76666666666666672</v>
      </c>
      <c r="U6" s="4">
        <f t="shared" ref="U6:U9" si="9">IF(S6=TIME(17,0,0),"",(S6-T5)*24*60)</f>
        <v>6.9999999999999751</v>
      </c>
      <c r="V6" s="22">
        <f t="shared" si="6"/>
        <v>37.000000000000028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-63.783783783785339</v>
      </c>
      <c r="AF6" s="21">
        <f t="shared" si="8"/>
        <v>0.96810810810810732</v>
      </c>
      <c r="AG6" s="172"/>
    </row>
    <row r="7" spans="1:33">
      <c r="A7" s="204" t="s">
        <v>46</v>
      </c>
      <c r="B7" s="37" t="s">
        <v>78</v>
      </c>
      <c r="C7" s="196" t="s">
        <v>81</v>
      </c>
      <c r="D7" s="197"/>
      <c r="E7" s="37">
        <v>50.29</v>
      </c>
      <c r="F7" s="4">
        <v>645</v>
      </c>
      <c r="G7" s="4">
        <v>32437.05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1935.0000000000068</v>
      </c>
      <c r="N7" s="17">
        <f t="shared" si="2"/>
        <v>120.93750000000043</v>
      </c>
      <c r="O7" s="19">
        <f t="shared" si="3"/>
        <v>0</v>
      </c>
      <c r="P7" s="20">
        <f t="shared" si="4"/>
        <v>-4.0624999999995737</v>
      </c>
      <c r="Q7" s="21">
        <f t="shared" si="5"/>
        <v>0.96750000000000336</v>
      </c>
      <c r="R7" s="172"/>
      <c r="S7" s="28">
        <v>0.77152777777777781</v>
      </c>
      <c r="T7" s="28">
        <v>0.78541666666666665</v>
      </c>
      <c r="U7" s="4">
        <f t="shared" si="9"/>
        <v>6.9999999999999751</v>
      </c>
      <c r="V7" s="22">
        <f t="shared" si="6"/>
        <v>19.999999999999929</v>
      </c>
      <c r="W7" s="23"/>
      <c r="X7" s="23"/>
      <c r="Y7" s="26"/>
      <c r="Z7" s="26"/>
      <c r="AA7" s="175"/>
      <c r="AB7" s="176"/>
      <c r="AC7" s="25"/>
      <c r="AD7" s="27"/>
      <c r="AE7" s="19">
        <f t="shared" si="7"/>
        <v>-64.999999999993179</v>
      </c>
      <c r="AF7" s="21">
        <f t="shared" si="8"/>
        <v>0.96750000000000336</v>
      </c>
      <c r="AG7" s="172"/>
    </row>
    <row r="8" spans="1:33">
      <c r="A8" s="204" t="s">
        <v>1130</v>
      </c>
      <c r="B8" s="37" t="s">
        <v>78</v>
      </c>
      <c r="C8" s="196" t="s">
        <v>82</v>
      </c>
      <c r="D8" s="197"/>
      <c r="E8" s="37">
        <v>57.3</v>
      </c>
      <c r="F8" s="4">
        <v>1343</v>
      </c>
      <c r="G8" s="4">
        <v>76953.899999999994</v>
      </c>
      <c r="H8" s="22" t="s">
        <v>139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1918.5714285714278</v>
      </c>
      <c r="N8" s="17">
        <f t="shared" si="2"/>
        <v>127.90476190476186</v>
      </c>
      <c r="O8" s="19">
        <f t="shared" si="3"/>
        <v>0</v>
      </c>
      <c r="P8" s="20">
        <f t="shared" si="4"/>
        <v>-5.4285714285714874</v>
      </c>
      <c r="Q8" s="21">
        <f t="shared" si="5"/>
        <v>0.95928571428571385</v>
      </c>
      <c r="R8" s="172"/>
      <c r="S8" s="28">
        <v>0.78888888888888886</v>
      </c>
      <c r="T8" s="28">
        <v>0.81805555555555554</v>
      </c>
      <c r="U8" s="4">
        <f t="shared" si="9"/>
        <v>4.9999999999999822</v>
      </c>
      <c r="V8" s="22">
        <f t="shared" si="6"/>
        <v>42.000000000000014</v>
      </c>
      <c r="W8" s="28"/>
      <c r="X8" s="28"/>
      <c r="Y8" s="29"/>
      <c r="Z8" s="29"/>
      <c r="AA8" s="175"/>
      <c r="AB8" s="176"/>
      <c r="AC8" s="25"/>
      <c r="AD8" s="27"/>
      <c r="AE8" s="19">
        <f t="shared" si="7"/>
        <v>-81.428571428572241</v>
      </c>
      <c r="AF8" s="21">
        <f t="shared" si="8"/>
        <v>0.95928571428571385</v>
      </c>
      <c r="AG8" s="172"/>
    </row>
    <row r="9" spans="1:33">
      <c r="A9" s="204" t="s">
        <v>1129</v>
      </c>
      <c r="B9" s="37" t="s">
        <v>78</v>
      </c>
      <c r="C9" s="196" t="s">
        <v>83</v>
      </c>
      <c r="D9" s="197"/>
      <c r="E9" s="37">
        <v>50.67</v>
      </c>
      <c r="F9" s="4">
        <v>545</v>
      </c>
      <c r="G9" s="4">
        <v>27615.15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1923.5294117647129</v>
      </c>
      <c r="N9" s="17">
        <f t="shared" si="2"/>
        <v>91.596638655462513</v>
      </c>
      <c r="O9" s="19">
        <f t="shared" si="3"/>
        <v>0</v>
      </c>
      <c r="P9" s="20">
        <f t="shared" si="4"/>
        <v>-3.6414565826327276</v>
      </c>
      <c r="Q9" s="21">
        <f t="shared" si="5"/>
        <v>0.96176470588235641</v>
      </c>
      <c r="R9" s="172"/>
      <c r="S9" s="28">
        <v>0.82291666666666663</v>
      </c>
      <c r="T9" s="28">
        <v>0.83472222222222214</v>
      </c>
      <c r="U9" s="4">
        <f t="shared" si="9"/>
        <v>6.9999999999999751</v>
      </c>
      <c r="V9" s="22">
        <f t="shared" si="6"/>
        <v>16.99999999999994</v>
      </c>
      <c r="W9" s="23"/>
      <c r="X9" s="23"/>
      <c r="Y9" s="26"/>
      <c r="Z9" s="26"/>
      <c r="AA9" s="175"/>
      <c r="AB9" s="176"/>
      <c r="AC9" s="25"/>
      <c r="AD9" s="27"/>
      <c r="AE9" s="19">
        <f t="shared" si="7"/>
        <v>-76.470588235287096</v>
      </c>
      <c r="AF9" s="21">
        <f t="shared" si="8"/>
        <v>0.96176470588235641</v>
      </c>
      <c r="AG9" s="172"/>
    </row>
    <row r="10" spans="1:33">
      <c r="A10" s="204" t="s">
        <v>46</v>
      </c>
      <c r="B10" s="37" t="s">
        <v>1131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0"/>
        <v>113.63636363636363</v>
      </c>
      <c r="L10" s="30">
        <v>17.600000000000001</v>
      </c>
      <c r="M10" s="18">
        <f>AVERAGE(M5:M9)</f>
        <v>1932.0634113104722</v>
      </c>
      <c r="N10" s="17">
        <f t="shared" si="2"/>
        <v>109.776330188095</v>
      </c>
      <c r="O10" s="19">
        <f t="shared" si="3"/>
        <v>0</v>
      </c>
      <c r="P10" s="20">
        <f t="shared" si="4"/>
        <v>-3.8600334482686236</v>
      </c>
      <c r="Q10" s="21">
        <f t="shared" si="5"/>
        <v>0.96603170565523611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7"/>
        <v>-67.936588689527753</v>
      </c>
      <c r="AF10" s="21">
        <f t="shared" si="8"/>
        <v>0.96603170565523611</v>
      </c>
      <c r="AG10" s="172"/>
    </row>
    <row r="11" spans="1:33" ht="15.75" customHeight="1">
      <c r="A11" s="200" t="s">
        <v>1132</v>
      </c>
      <c r="B11" s="37" t="s">
        <v>84</v>
      </c>
      <c r="C11" s="196" t="s">
        <v>85</v>
      </c>
      <c r="D11" s="197"/>
      <c r="E11" s="37">
        <v>39.619999999999997</v>
      </c>
      <c r="F11" s="4">
        <v>2470</v>
      </c>
      <c r="G11" s="4">
        <v>97861.4</v>
      </c>
      <c r="H11" s="22" t="s">
        <v>139</v>
      </c>
      <c r="I11" s="16">
        <v>19</v>
      </c>
      <c r="J11" s="18">
        <v>1500</v>
      </c>
      <c r="K11" s="17">
        <f t="shared" si="0"/>
        <v>78.94736842105263</v>
      </c>
      <c r="L11" s="16">
        <v>19</v>
      </c>
      <c r="M11" s="18">
        <f t="shared" ref="M11:M12" si="10">F11/V11*60</f>
        <v>1438.8349514563108</v>
      </c>
      <c r="N11" s="17">
        <f t="shared" si="2"/>
        <v>75.728155339805838</v>
      </c>
      <c r="O11" s="19">
        <f t="shared" si="3"/>
        <v>0</v>
      </c>
      <c r="P11" s="20">
        <f t="shared" si="4"/>
        <v>-3.2192130812467923</v>
      </c>
      <c r="Q11" s="21">
        <f t="shared" si="5"/>
        <v>0.95922330097087394</v>
      </c>
      <c r="R11" s="172">
        <f>Q13</f>
        <v>0.95638584403382421</v>
      </c>
      <c r="S11" s="28">
        <v>0.20833333333333334</v>
      </c>
      <c r="T11" s="28">
        <v>0.27986111111111112</v>
      </c>
      <c r="U11" s="4"/>
      <c r="V11" s="22">
        <f t="shared" ref="V11:V12" si="11">(T11-S11)*24*60</f>
        <v>103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7"/>
        <v>-61.165048543689181</v>
      </c>
      <c r="AF11" s="21">
        <f t="shared" si="8"/>
        <v>0.95922330097087383</v>
      </c>
      <c r="AG11" s="172">
        <f>AF13</f>
        <v>0.95638584403382421</v>
      </c>
    </row>
    <row r="12" spans="1:33" ht="15.75" customHeight="1">
      <c r="A12" s="200" t="s">
        <v>50</v>
      </c>
      <c r="B12" s="37" t="s">
        <v>84</v>
      </c>
      <c r="C12" s="196" t="s">
        <v>86</v>
      </c>
      <c r="D12" s="197"/>
      <c r="E12" s="37">
        <v>39.799999999999997</v>
      </c>
      <c r="F12" s="4">
        <v>3695</v>
      </c>
      <c r="G12" s="4">
        <v>147061</v>
      </c>
      <c r="H12" s="22" t="s">
        <v>139</v>
      </c>
      <c r="I12" s="16">
        <v>17</v>
      </c>
      <c r="J12" s="18">
        <v>1500</v>
      </c>
      <c r="K12" s="17">
        <f t="shared" si="0"/>
        <v>88.235294117647058</v>
      </c>
      <c r="L12" s="16">
        <v>17</v>
      </c>
      <c r="M12" s="18">
        <f t="shared" si="10"/>
        <v>1430.3225806451615</v>
      </c>
      <c r="N12" s="17">
        <f t="shared" si="2"/>
        <v>84.136622390891844</v>
      </c>
      <c r="O12" s="19">
        <f t="shared" si="3"/>
        <v>0</v>
      </c>
      <c r="P12" s="20">
        <f t="shared" si="4"/>
        <v>-4.0986717267552137</v>
      </c>
      <c r="Q12" s="21">
        <f t="shared" si="5"/>
        <v>0.95354838709677425</v>
      </c>
      <c r="R12" s="172"/>
      <c r="S12" s="28">
        <v>0.28472222222222221</v>
      </c>
      <c r="T12" s="28">
        <v>0.3923611111111111</v>
      </c>
      <c r="U12" s="4">
        <f t="shared" ref="U12" si="12">IF(S12=TIME(17,0,0),"",(S12-T11)*24*60)</f>
        <v>6.9999999999999751</v>
      </c>
      <c r="V12" s="22">
        <f t="shared" si="11"/>
        <v>155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7"/>
        <v>-69.677419354838548</v>
      </c>
      <c r="AF12" s="21">
        <f t="shared" si="8"/>
        <v>0.95354838709677425</v>
      </c>
      <c r="AG12" s="172"/>
    </row>
    <row r="13" spans="1:33" ht="16.5" customHeight="1">
      <c r="A13" s="200" t="s">
        <v>1133</v>
      </c>
      <c r="B13" s="37" t="s">
        <v>48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0"/>
        <v>83.333333333333329</v>
      </c>
      <c r="L13" s="30">
        <v>18</v>
      </c>
      <c r="M13" s="18">
        <f>AVERAGE(M11:M12)</f>
        <v>1434.5787660507362</v>
      </c>
      <c r="N13" s="17">
        <f t="shared" si="2"/>
        <v>79.698820336152011</v>
      </c>
      <c r="O13" s="19">
        <f t="shared" si="3"/>
        <v>0</v>
      </c>
      <c r="P13" s="20">
        <f t="shared" si="4"/>
        <v>-3.6345129971813179</v>
      </c>
      <c r="Q13" s="21">
        <f t="shared" si="5"/>
        <v>0.95638584403382421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7"/>
        <v>-65.421233949263751</v>
      </c>
      <c r="AF13" s="21">
        <f t="shared" si="8"/>
        <v>0.95638584403382421</v>
      </c>
      <c r="AG13" s="172"/>
    </row>
    <row r="14" spans="1:33" ht="16.5" customHeight="1">
      <c r="A14" s="198" t="s">
        <v>53</v>
      </c>
      <c r="B14" s="4" t="s">
        <v>87</v>
      </c>
      <c r="C14" s="190" t="s">
        <v>88</v>
      </c>
      <c r="D14" s="190"/>
      <c r="E14" s="37">
        <v>41</v>
      </c>
      <c r="F14" s="4">
        <v>2447</v>
      </c>
      <c r="G14" s="4">
        <v>100327</v>
      </c>
      <c r="H14" s="22" t="s">
        <v>139</v>
      </c>
      <c r="I14" s="16">
        <v>26</v>
      </c>
      <c r="J14" s="18">
        <v>1500</v>
      </c>
      <c r="K14" s="17">
        <f t="shared" si="0"/>
        <v>57.692307692307693</v>
      </c>
      <c r="L14" s="16">
        <v>26</v>
      </c>
      <c r="M14" s="18">
        <f t="shared" ref="M14:M19" si="13">F14/V14*60</f>
        <v>1439.4117647058822</v>
      </c>
      <c r="N14" s="17">
        <f t="shared" si="2"/>
        <v>55.361990950226236</v>
      </c>
      <c r="O14" s="19">
        <f t="shared" si="3"/>
        <v>0</v>
      </c>
      <c r="P14" s="20">
        <f t="shared" si="4"/>
        <v>-2.3303167420814574</v>
      </c>
      <c r="Q14" s="21">
        <f t="shared" si="5"/>
        <v>0.95960784313725478</v>
      </c>
      <c r="R14" s="172">
        <f>Q20</f>
        <v>0.95923930645709332</v>
      </c>
      <c r="S14" s="28">
        <v>0.20833333333333334</v>
      </c>
      <c r="T14" s="28">
        <v>0.27916666666666667</v>
      </c>
      <c r="U14" s="4"/>
      <c r="V14" s="22">
        <f t="shared" ref="V14:V19" si="14">(T14-S14)*24*60</f>
        <v>102</v>
      </c>
      <c r="W14" s="28"/>
      <c r="X14" s="28"/>
      <c r="Y14" s="28"/>
      <c r="Z14" s="28"/>
      <c r="AA14" s="164"/>
      <c r="AB14" s="164"/>
      <c r="AC14" s="25">
        <v>6</v>
      </c>
      <c r="AD14" s="25"/>
      <c r="AE14" s="19">
        <f t="shared" si="7"/>
        <v>-60.588235294117794</v>
      </c>
      <c r="AF14" s="21">
        <f t="shared" si="8"/>
        <v>0.95960784313725478</v>
      </c>
      <c r="AG14" s="172">
        <f>AF20</f>
        <v>0.95923930645709321</v>
      </c>
    </row>
    <row r="15" spans="1:33" ht="16.5" customHeight="1">
      <c r="A15" s="199" t="s">
        <v>1134</v>
      </c>
      <c r="B15" s="4" t="s">
        <v>89</v>
      </c>
      <c r="C15" s="190" t="s">
        <v>90</v>
      </c>
      <c r="D15" s="190"/>
      <c r="E15" s="37">
        <v>72.400000000000006</v>
      </c>
      <c r="F15" s="4">
        <v>740</v>
      </c>
      <c r="G15" s="4">
        <v>53576.000000000007</v>
      </c>
      <c r="H15" s="22" t="s">
        <v>139</v>
      </c>
      <c r="I15" s="16">
        <v>18</v>
      </c>
      <c r="J15" s="18">
        <v>1500</v>
      </c>
      <c r="K15" s="17">
        <f t="shared" si="0"/>
        <v>83.333333333333329</v>
      </c>
      <c r="L15" s="16">
        <v>18</v>
      </c>
      <c r="M15" s="18">
        <f t="shared" si="13"/>
        <v>1432.2580645161304</v>
      </c>
      <c r="N15" s="17">
        <f t="shared" si="2"/>
        <v>79.569892473118358</v>
      </c>
      <c r="O15" s="19">
        <f t="shared" si="3"/>
        <v>0</v>
      </c>
      <c r="P15" s="20">
        <f t="shared" si="4"/>
        <v>-3.7634408602149705</v>
      </c>
      <c r="Q15" s="21">
        <f t="shared" si="5"/>
        <v>0.95483870967742035</v>
      </c>
      <c r="R15" s="172"/>
      <c r="S15" s="28">
        <v>0.28472222222222221</v>
      </c>
      <c r="T15" s="28">
        <v>0.30624999999999997</v>
      </c>
      <c r="U15" s="4">
        <f t="shared" ref="U15:U19" si="15">IF(S15=TIME(17,0,0),"",(S15-T14)*24*60)</f>
        <v>7.9999999999999716</v>
      </c>
      <c r="V15" s="22">
        <f t="shared" si="14"/>
        <v>30.999999999999972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7"/>
        <v>-67.741935483869611</v>
      </c>
      <c r="AF15" s="21">
        <f t="shared" si="8"/>
        <v>0.95483870967742024</v>
      </c>
      <c r="AG15" s="172"/>
    </row>
    <row r="16" spans="1:33" ht="16.5" customHeight="1">
      <c r="A16" s="199" t="s">
        <v>1135</v>
      </c>
      <c r="B16" s="4" t="s">
        <v>78</v>
      </c>
      <c r="C16" s="190" t="s">
        <v>91</v>
      </c>
      <c r="D16" s="190"/>
      <c r="E16" s="37">
        <v>50.98</v>
      </c>
      <c r="F16" s="4">
        <v>2389</v>
      </c>
      <c r="G16" s="4">
        <v>121791.21999999999</v>
      </c>
      <c r="H16" s="22" t="s">
        <v>139</v>
      </c>
      <c r="I16" s="16">
        <v>16</v>
      </c>
      <c r="J16" s="18">
        <v>2000</v>
      </c>
      <c r="K16" s="17">
        <f t="shared" si="0"/>
        <v>125</v>
      </c>
      <c r="L16" s="16">
        <v>16</v>
      </c>
      <c r="M16" s="18">
        <f t="shared" si="13"/>
        <v>1911.1999999999987</v>
      </c>
      <c r="N16" s="17">
        <f t="shared" si="2"/>
        <v>119.44999999999992</v>
      </c>
      <c r="O16" s="19">
        <f t="shared" si="3"/>
        <v>0</v>
      </c>
      <c r="P16" s="20">
        <f t="shared" si="4"/>
        <v>-5.5500000000000824</v>
      </c>
      <c r="Q16" s="21">
        <f t="shared" si="5"/>
        <v>0.95559999999999934</v>
      </c>
      <c r="R16" s="172"/>
      <c r="S16" s="28">
        <v>0.70833333333333337</v>
      </c>
      <c r="T16" s="28">
        <v>0.76041666666666674</v>
      </c>
      <c r="U16" s="4" t="str">
        <f t="shared" si="15"/>
        <v/>
      </c>
      <c r="V16" s="22">
        <f t="shared" si="14"/>
        <v>75.000000000000057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-88.800000000001319</v>
      </c>
      <c r="AF16" s="21">
        <f t="shared" si="8"/>
        <v>0.95559999999999934</v>
      </c>
      <c r="AG16" s="172"/>
    </row>
    <row r="17" spans="1:33" ht="16.5" customHeight="1">
      <c r="A17" s="199" t="s">
        <v>53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v>40736</v>
      </c>
      <c r="H17" s="22">
        <v>2</v>
      </c>
      <c r="I17" s="16">
        <v>15</v>
      </c>
      <c r="J17" s="18">
        <v>2000</v>
      </c>
      <c r="K17" s="17">
        <f t="shared" si="0"/>
        <v>133.33333333333334</v>
      </c>
      <c r="L17" s="16">
        <v>15</v>
      </c>
      <c r="M17" s="18">
        <f t="shared" si="13"/>
        <v>1919.9999999999945</v>
      </c>
      <c r="N17" s="17">
        <f t="shared" si="2"/>
        <v>127.99999999999963</v>
      </c>
      <c r="O17" s="19">
        <f t="shared" si="3"/>
        <v>0</v>
      </c>
      <c r="P17" s="20">
        <f t="shared" si="4"/>
        <v>-5.3333333333337123</v>
      </c>
      <c r="Q17" s="21">
        <f t="shared" si="5"/>
        <v>0.95999999999999719</v>
      </c>
      <c r="R17" s="172"/>
      <c r="S17" s="28">
        <v>0.76388888888888895</v>
      </c>
      <c r="T17" s="28">
        <v>0.78125000000000011</v>
      </c>
      <c r="U17" s="4">
        <f t="shared" si="15"/>
        <v>4.9999999999999822</v>
      </c>
      <c r="V17" s="22">
        <f t="shared" si="14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-80.000000000005457</v>
      </c>
      <c r="AF17" s="21">
        <f t="shared" si="8"/>
        <v>0.9599999999999973</v>
      </c>
      <c r="AG17" s="172"/>
    </row>
    <row r="18" spans="1:33" ht="16.5" customHeight="1">
      <c r="A18" s="199" t="s">
        <v>53</v>
      </c>
      <c r="B18" s="4" t="s">
        <v>78</v>
      </c>
      <c r="C18" s="190" t="s">
        <v>93</v>
      </c>
      <c r="D18" s="190"/>
      <c r="E18" s="37">
        <v>50.67</v>
      </c>
      <c r="F18" s="4">
        <v>1252</v>
      </c>
      <c r="G18" s="4">
        <v>63438.840000000004</v>
      </c>
      <c r="H18" s="22" t="s">
        <v>139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1926.1538461538453</v>
      </c>
      <c r="N18" s="17">
        <f t="shared" si="2"/>
        <v>128.41025641025635</v>
      </c>
      <c r="O18" s="19">
        <f t="shared" si="3"/>
        <v>0</v>
      </c>
      <c r="P18" s="20">
        <f t="shared" si="4"/>
        <v>-4.9230769230769909</v>
      </c>
      <c r="Q18" s="21">
        <f t="shared" si="5"/>
        <v>0.96307692307692261</v>
      </c>
      <c r="R18" s="172"/>
      <c r="S18" s="28">
        <v>0.78541666666666676</v>
      </c>
      <c r="T18" s="28">
        <v>0.81250000000000011</v>
      </c>
      <c r="U18" s="4">
        <f t="shared" si="15"/>
        <v>5.9999999999999787</v>
      </c>
      <c r="V18" s="22">
        <f t="shared" si="14"/>
        <v>39.000000000000021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-73.846153846154721</v>
      </c>
      <c r="AF18" s="21">
        <f t="shared" si="8"/>
        <v>0.96307692307692261</v>
      </c>
      <c r="AG18" s="172"/>
    </row>
    <row r="19" spans="1:33" ht="16.5" customHeight="1">
      <c r="A19" s="199" t="s">
        <v>53</v>
      </c>
      <c r="B19" s="4" t="s">
        <v>78</v>
      </c>
      <c r="C19" s="217" t="s">
        <v>94</v>
      </c>
      <c r="D19" s="218"/>
      <c r="E19" s="37">
        <v>57.3</v>
      </c>
      <c r="F19" s="4">
        <v>1474</v>
      </c>
      <c r="G19" s="4">
        <v>84460.2</v>
      </c>
      <c r="H19" s="22" t="s">
        <v>139</v>
      </c>
      <c r="I19" s="16">
        <v>13</v>
      </c>
      <c r="J19" s="18">
        <v>2000</v>
      </c>
      <c r="K19" s="17">
        <f t="shared" si="0"/>
        <v>153.84615384615384</v>
      </c>
      <c r="L19" s="16">
        <v>13</v>
      </c>
      <c r="M19" s="18">
        <f t="shared" si="13"/>
        <v>1922.6086956521738</v>
      </c>
      <c r="N19" s="17">
        <f t="shared" si="2"/>
        <v>147.89297658862876</v>
      </c>
      <c r="O19" s="19">
        <f t="shared" si="3"/>
        <v>0</v>
      </c>
      <c r="P19" s="20">
        <f t="shared" si="4"/>
        <v>-5.9531772575250841</v>
      </c>
      <c r="Q19" s="21">
        <f t="shared" si="5"/>
        <v>0.96130434782608698</v>
      </c>
      <c r="R19" s="172"/>
      <c r="S19" s="28">
        <v>0.81666666666666676</v>
      </c>
      <c r="T19" s="28">
        <v>0.8486111111111112</v>
      </c>
      <c r="U19" s="4">
        <f t="shared" si="15"/>
        <v>5.9999999999999787</v>
      </c>
      <c r="V19" s="22">
        <f t="shared" si="14"/>
        <v>46</v>
      </c>
      <c r="W19" s="23"/>
      <c r="X19" s="23"/>
      <c r="Y19" s="26"/>
      <c r="Z19" s="26"/>
      <c r="AA19" s="175"/>
      <c r="AB19" s="176"/>
      <c r="AC19" s="25"/>
      <c r="AD19" s="25"/>
      <c r="AE19" s="19">
        <f t="shared" si="7"/>
        <v>-77.391304347826235</v>
      </c>
      <c r="AF19" s="21">
        <f t="shared" si="8"/>
        <v>0.96130434782608687</v>
      </c>
      <c r="AG19" s="172"/>
    </row>
    <row r="20" spans="1:33" ht="16.5" customHeight="1">
      <c r="A20" s="199" t="s">
        <v>1136</v>
      </c>
      <c r="B20" s="37" t="s">
        <v>1137</v>
      </c>
      <c r="C20" s="177"/>
      <c r="D20" s="177"/>
      <c r="E20" s="38"/>
      <c r="F20" s="17"/>
      <c r="G20" s="17"/>
      <c r="H20" s="4"/>
      <c r="I20" s="30">
        <v>17.166666666666668</v>
      </c>
      <c r="J20" s="18">
        <v>1833.3333333333333</v>
      </c>
      <c r="K20" s="17">
        <f t="shared" si="0"/>
        <v>106.79611650485435</v>
      </c>
      <c r="L20" s="30">
        <v>17.166666666666668</v>
      </c>
      <c r="M20" s="18">
        <f>AVERAGE(M14:M19)</f>
        <v>1758.6053951713375</v>
      </c>
      <c r="N20" s="17">
        <f t="shared" si="2"/>
        <v>102.44303272842743</v>
      </c>
      <c r="O20" s="19">
        <f t="shared" si="3"/>
        <v>0</v>
      </c>
      <c r="P20" s="20">
        <f t="shared" si="4"/>
        <v>-4.3530837764269279</v>
      </c>
      <c r="Q20" s="21">
        <f t="shared" si="5"/>
        <v>0.95923930645709332</v>
      </c>
      <c r="R20" s="172"/>
      <c r="S20" s="28"/>
      <c r="T20" s="28"/>
      <c r="U20" s="4"/>
      <c r="V20" s="22"/>
      <c r="W20" s="17"/>
      <c r="X20" s="17"/>
      <c r="Y20" s="31">
        <f>SUM(Y14:Y19)</f>
        <v>0</v>
      </c>
      <c r="Z20" s="31">
        <f>SUM(Z14:Z19)</f>
        <v>0</v>
      </c>
      <c r="AA20" s="168"/>
      <c r="AB20" s="168"/>
      <c r="AC20" s="31">
        <v>6</v>
      </c>
      <c r="AD20" s="31">
        <f>SUM(AD14:AD19)</f>
        <v>0</v>
      </c>
      <c r="AE20" s="19">
        <f t="shared" si="7"/>
        <v>-74.72793816199578</v>
      </c>
      <c r="AF20" s="21">
        <f t="shared" si="8"/>
        <v>0.95923930645709321</v>
      </c>
      <c r="AG20" s="172"/>
    </row>
    <row r="21" spans="1:33" ht="15.75" customHeight="1">
      <c r="A21" s="194" t="s">
        <v>59</v>
      </c>
      <c r="B21" s="37" t="s">
        <v>78</v>
      </c>
      <c r="C21" s="190" t="s">
        <v>95</v>
      </c>
      <c r="D21" s="190"/>
      <c r="E21" s="37">
        <v>57.73</v>
      </c>
      <c r="F21" s="4">
        <v>2153</v>
      </c>
      <c r="G21" s="4">
        <v>124292.68999999999</v>
      </c>
      <c r="H21" s="22" t="s">
        <v>139</v>
      </c>
      <c r="I21" s="16">
        <v>14</v>
      </c>
      <c r="J21" s="18">
        <v>2000</v>
      </c>
      <c r="K21" s="17">
        <f t="shared" si="0"/>
        <v>142.85714285714286</v>
      </c>
      <c r="L21" s="16">
        <v>14</v>
      </c>
      <c r="M21" s="18">
        <f t="shared" ref="M21:M26" si="16">F21/V21*60</f>
        <v>1928.0597014925386</v>
      </c>
      <c r="N21" s="17">
        <f t="shared" si="2"/>
        <v>137.71855010660991</v>
      </c>
      <c r="O21" s="19">
        <f t="shared" si="3"/>
        <v>0</v>
      </c>
      <c r="P21" s="20">
        <f t="shared" si="4"/>
        <v>-5.1385927505329505</v>
      </c>
      <c r="Q21" s="21">
        <f t="shared" si="5"/>
        <v>0.96402985074626935</v>
      </c>
      <c r="R21" s="172">
        <f>Q27</f>
        <v>0.96231448006623366</v>
      </c>
      <c r="S21" s="28">
        <v>0.20833333333333334</v>
      </c>
      <c r="T21" s="28">
        <v>0.25486111111111109</v>
      </c>
      <c r="U21" s="4"/>
      <c r="V21" s="22">
        <f t="shared" ref="V21:V26" si="17">(T21-S21)*24*60</f>
        <v>66.999999999999957</v>
      </c>
      <c r="W21" s="28"/>
      <c r="X21" s="28"/>
      <c r="Y21" s="28"/>
      <c r="Z21" s="28"/>
      <c r="AA21" s="164"/>
      <c r="AB21" s="164"/>
      <c r="AC21" s="25">
        <v>6</v>
      </c>
      <c r="AD21" s="25"/>
      <c r="AE21" s="19">
        <f t="shared" si="7"/>
        <v>-71.940298507461421</v>
      </c>
      <c r="AF21" s="21">
        <f t="shared" si="8"/>
        <v>0.96402985074626923</v>
      </c>
      <c r="AG21" s="172">
        <f>AF27</f>
        <v>0.96231448006623366</v>
      </c>
    </row>
    <row r="22" spans="1:33" ht="15.75" customHeight="1">
      <c r="A22" s="195" t="s">
        <v>59</v>
      </c>
      <c r="B22" s="37" t="s">
        <v>78</v>
      </c>
      <c r="C22" s="190" t="s">
        <v>96</v>
      </c>
      <c r="D22" s="190"/>
      <c r="E22" s="37">
        <v>53.68</v>
      </c>
      <c r="F22" s="4">
        <v>1367</v>
      </c>
      <c r="G22" s="4">
        <v>73380.56</v>
      </c>
      <c r="H22" s="22" t="s">
        <v>139</v>
      </c>
      <c r="I22" s="16">
        <v>16</v>
      </c>
      <c r="J22" s="18">
        <v>2000</v>
      </c>
      <c r="K22" s="17">
        <f t="shared" si="0"/>
        <v>125</v>
      </c>
      <c r="L22" s="16">
        <v>16</v>
      </c>
      <c r="M22" s="18">
        <f t="shared" si="16"/>
        <v>1907.441860465116</v>
      </c>
      <c r="N22" s="17">
        <f t="shared" si="2"/>
        <v>119.21511627906975</v>
      </c>
      <c r="O22" s="19">
        <f t="shared" si="3"/>
        <v>0</v>
      </c>
      <c r="P22" s="20">
        <f t="shared" si="4"/>
        <v>-5.784883720930253</v>
      </c>
      <c r="Q22" s="21">
        <f t="shared" si="5"/>
        <v>0.953720930232558</v>
      </c>
      <c r="R22" s="172"/>
      <c r="S22" s="28">
        <v>0.26041666666666663</v>
      </c>
      <c r="T22" s="28">
        <v>0.29027777777777775</v>
      </c>
      <c r="U22" s="4">
        <f t="shared" ref="U22:U26" si="18">IF(S22=TIME(17,0,0),"",(S22-T21)*24*60)</f>
        <v>7.9999999999999716</v>
      </c>
      <c r="V22" s="22">
        <f t="shared" si="17"/>
        <v>43.000000000000007</v>
      </c>
      <c r="W22" s="23"/>
      <c r="X22" s="4"/>
      <c r="Y22" s="4"/>
      <c r="Z22" s="4"/>
      <c r="AA22" s="164"/>
      <c r="AB22" s="164"/>
      <c r="AC22" s="25"/>
      <c r="AD22" s="25"/>
      <c r="AE22" s="19">
        <f t="shared" si="7"/>
        <v>-92.558139534884049</v>
      </c>
      <c r="AF22" s="21">
        <f t="shared" si="8"/>
        <v>0.953720930232558</v>
      </c>
      <c r="AG22" s="172"/>
    </row>
    <row r="23" spans="1:33" ht="15.75" customHeight="1">
      <c r="A23" s="195" t="s">
        <v>59</v>
      </c>
      <c r="B23" s="37" t="s">
        <v>78</v>
      </c>
      <c r="C23" s="190" t="s">
        <v>97</v>
      </c>
      <c r="D23" s="190"/>
      <c r="E23" s="37">
        <v>50.49</v>
      </c>
      <c r="F23" s="4">
        <v>1583</v>
      </c>
      <c r="G23" s="4">
        <v>79925.67</v>
      </c>
      <c r="H23" s="22" t="s">
        <v>139</v>
      </c>
      <c r="I23" s="16">
        <v>15</v>
      </c>
      <c r="J23" s="18">
        <v>2000</v>
      </c>
      <c r="K23" s="17">
        <f t="shared" si="0"/>
        <v>133.33333333333334</v>
      </c>
      <c r="L23" s="16">
        <v>15</v>
      </c>
      <c r="M23" s="18">
        <f t="shared" si="16"/>
        <v>1938.3673469387761</v>
      </c>
      <c r="N23" s="17">
        <f t="shared" si="2"/>
        <v>129.2244897959184</v>
      </c>
      <c r="O23" s="19">
        <f t="shared" si="3"/>
        <v>0</v>
      </c>
      <c r="P23" s="20">
        <f t="shared" si="4"/>
        <v>-4.1088435374149412</v>
      </c>
      <c r="Q23" s="21">
        <f t="shared" si="5"/>
        <v>0.96918367346938794</v>
      </c>
      <c r="R23" s="172"/>
      <c r="S23" s="28">
        <v>0.70833333333333337</v>
      </c>
      <c r="T23" s="28">
        <v>0.74236111111111114</v>
      </c>
      <c r="U23" s="4" t="str">
        <f t="shared" si="18"/>
        <v/>
      </c>
      <c r="V23" s="22">
        <f t="shared" si="17"/>
        <v>48.999999999999986</v>
      </c>
      <c r="W23" s="23"/>
      <c r="X23" s="4"/>
      <c r="Y23" s="4"/>
      <c r="Z23" s="4"/>
      <c r="AA23" s="164"/>
      <c r="AB23" s="164"/>
      <c r="AC23" s="25"/>
      <c r="AD23" s="25"/>
      <c r="AE23" s="19">
        <f t="shared" si="7"/>
        <v>-61.632653061223891</v>
      </c>
      <c r="AF23" s="21">
        <f t="shared" si="8"/>
        <v>0.96918367346938805</v>
      </c>
      <c r="AG23" s="172"/>
    </row>
    <row r="24" spans="1:33" ht="15.75" customHeight="1">
      <c r="A24" s="195" t="s">
        <v>59</v>
      </c>
      <c r="B24" s="37" t="s">
        <v>78</v>
      </c>
      <c r="C24" s="190" t="s">
        <v>98</v>
      </c>
      <c r="D24" s="190"/>
      <c r="E24" s="37">
        <v>50.67</v>
      </c>
      <c r="F24" s="4">
        <v>850</v>
      </c>
      <c r="G24" s="4">
        <v>43069.5</v>
      </c>
      <c r="H24" s="22" t="s">
        <v>139</v>
      </c>
      <c r="I24" s="16">
        <v>16</v>
      </c>
      <c r="J24" s="18">
        <v>2000</v>
      </c>
      <c r="K24" s="17">
        <f t="shared" si="0"/>
        <v>125</v>
      </c>
      <c r="L24" s="16">
        <v>16</v>
      </c>
      <c r="M24" s="18">
        <f t="shared" si="16"/>
        <v>1961.5384615384564</v>
      </c>
      <c r="N24" s="17">
        <f t="shared" si="2"/>
        <v>122.59615384615353</v>
      </c>
      <c r="O24" s="19">
        <f t="shared" si="3"/>
        <v>0</v>
      </c>
      <c r="P24" s="20">
        <f t="shared" si="4"/>
        <v>-2.403846153846473</v>
      </c>
      <c r="Q24" s="21">
        <f t="shared" si="5"/>
        <v>0.98076923076922817</v>
      </c>
      <c r="R24" s="172"/>
      <c r="S24" s="28">
        <v>0.74583333333333335</v>
      </c>
      <c r="T24" s="28">
        <v>0.76388888888888895</v>
      </c>
      <c r="U24" s="4">
        <f t="shared" si="18"/>
        <v>4.9999999999999822</v>
      </c>
      <c r="V24" s="22">
        <f t="shared" si="17"/>
        <v>26.000000000000068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-38.461538461543569</v>
      </c>
      <c r="AF24" s="21">
        <f t="shared" si="8"/>
        <v>0.98076923076922817</v>
      </c>
      <c r="AG24" s="172"/>
    </row>
    <row r="25" spans="1:33" ht="15.75" customHeight="1">
      <c r="A25" s="195" t="s">
        <v>59</v>
      </c>
      <c r="B25" s="37" t="s">
        <v>78</v>
      </c>
      <c r="C25" s="190" t="s">
        <v>99</v>
      </c>
      <c r="D25" s="190"/>
      <c r="E25" s="37">
        <v>53.68</v>
      </c>
      <c r="F25" s="4">
        <v>1617</v>
      </c>
      <c r="G25" s="4">
        <v>86800.56</v>
      </c>
      <c r="H25" s="22" t="s">
        <v>139</v>
      </c>
      <c r="I25" s="16">
        <v>16</v>
      </c>
      <c r="J25" s="18">
        <v>1500</v>
      </c>
      <c r="K25" s="17">
        <f t="shared" si="0"/>
        <v>93.75</v>
      </c>
      <c r="L25" s="16">
        <v>16</v>
      </c>
      <c r="M25" s="18">
        <f t="shared" si="16"/>
        <v>1426.7647058823547</v>
      </c>
      <c r="N25" s="17">
        <f t="shared" si="2"/>
        <v>89.172794117647172</v>
      </c>
      <c r="O25" s="19">
        <f t="shared" si="3"/>
        <v>0</v>
      </c>
      <c r="P25" s="20">
        <f t="shared" si="4"/>
        <v>-4.5772058823528283</v>
      </c>
      <c r="Q25" s="21">
        <f t="shared" si="5"/>
        <v>0.95117647058823651</v>
      </c>
      <c r="R25" s="172"/>
      <c r="S25" s="28">
        <v>0.7680555555555556</v>
      </c>
      <c r="T25" s="28">
        <v>0.81527777777777777</v>
      </c>
      <c r="U25" s="4">
        <f t="shared" si="18"/>
        <v>5.9999999999999787</v>
      </c>
      <c r="V25" s="22">
        <f t="shared" si="17"/>
        <v>67.999999999999915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-73.235294117645253</v>
      </c>
      <c r="AF25" s="21">
        <f t="shared" si="8"/>
        <v>0.95117647058823651</v>
      </c>
      <c r="AG25" s="172"/>
    </row>
    <row r="26" spans="1:33" ht="15.75" customHeight="1">
      <c r="A26" s="195" t="s">
        <v>59</v>
      </c>
      <c r="B26" s="37" t="s">
        <v>78</v>
      </c>
      <c r="C26" s="190" t="s">
        <v>92</v>
      </c>
      <c r="D26" s="190"/>
      <c r="E26" s="37">
        <v>50.92</v>
      </c>
      <c r="F26" s="4">
        <v>1714</v>
      </c>
      <c r="G26" s="4">
        <v>87276.88</v>
      </c>
      <c r="H26" s="22" t="s">
        <v>139</v>
      </c>
      <c r="I26" s="16">
        <v>15</v>
      </c>
      <c r="J26" s="18">
        <v>2000</v>
      </c>
      <c r="K26" s="17">
        <f t="shared" si="0"/>
        <v>133.33333333333334</v>
      </c>
      <c r="L26" s="16">
        <v>15</v>
      </c>
      <c r="M26" s="18">
        <f t="shared" si="16"/>
        <v>1904.4444444444455</v>
      </c>
      <c r="N26" s="17">
        <f t="shared" si="2"/>
        <v>126.96296296296303</v>
      </c>
      <c r="O26" s="19">
        <f t="shared" si="3"/>
        <v>0</v>
      </c>
      <c r="P26" s="20">
        <f t="shared" si="4"/>
        <v>-6.3703703703703098</v>
      </c>
      <c r="Q26" s="21">
        <f t="shared" si="5"/>
        <v>0.95222222222222264</v>
      </c>
      <c r="R26" s="172"/>
      <c r="S26" s="28">
        <v>0.81944444444444442</v>
      </c>
      <c r="T26" s="28">
        <v>0.8569444444444444</v>
      </c>
      <c r="U26" s="4">
        <f t="shared" si="18"/>
        <v>5.9999999999999787</v>
      </c>
      <c r="V26" s="22">
        <f t="shared" si="17"/>
        <v>53.999999999999972</v>
      </c>
      <c r="W26" s="23"/>
      <c r="X26" s="28"/>
      <c r="Y26" s="28"/>
      <c r="Z26" s="28"/>
      <c r="AA26" s="164"/>
      <c r="AB26" s="164"/>
      <c r="AC26" s="25"/>
      <c r="AD26" s="25"/>
      <c r="AE26" s="19">
        <f t="shared" si="7"/>
        <v>-95.55555555555452</v>
      </c>
      <c r="AF26" s="21">
        <f t="shared" si="8"/>
        <v>0.95222222222222275</v>
      </c>
      <c r="AG26" s="172"/>
    </row>
    <row r="27" spans="1:33" ht="15.75" customHeight="1">
      <c r="A27" s="195" t="s">
        <v>1138</v>
      </c>
      <c r="B27" s="37" t="s">
        <v>48</v>
      </c>
      <c r="C27" s="177"/>
      <c r="D27" s="177"/>
      <c r="E27" s="38"/>
      <c r="F27" s="4"/>
      <c r="G27" s="4"/>
      <c r="H27" s="4"/>
      <c r="I27" s="30">
        <v>15.333333333333334</v>
      </c>
      <c r="J27" s="18">
        <v>1916.6666666666667</v>
      </c>
      <c r="K27" s="17">
        <f t="shared" si="0"/>
        <v>125</v>
      </c>
      <c r="L27" s="30">
        <v>15.333333333333334</v>
      </c>
      <c r="M27" s="18">
        <f>AVERAGE(M21:M26)</f>
        <v>1844.4360867936145</v>
      </c>
      <c r="N27" s="17">
        <f t="shared" si="2"/>
        <v>120.2893100082792</v>
      </c>
      <c r="O27" s="19">
        <f t="shared" si="3"/>
        <v>0</v>
      </c>
      <c r="P27" s="20">
        <f t="shared" si="4"/>
        <v>-4.7106899917207983</v>
      </c>
      <c r="Q27" s="21">
        <f t="shared" si="5"/>
        <v>0.96231448006623366</v>
      </c>
      <c r="R27" s="172"/>
      <c r="S27" s="28"/>
      <c r="T27" s="28"/>
      <c r="U27" s="17"/>
      <c r="V27" s="22"/>
      <c r="W27" s="17"/>
      <c r="X27" s="17"/>
      <c r="Y27" s="31">
        <f>SUM(Y21:Y26)</f>
        <v>0</v>
      </c>
      <c r="Z27" s="31">
        <f>SUM(Z21:Z26)</f>
        <v>0</v>
      </c>
      <c r="AA27" s="168"/>
      <c r="AB27" s="168"/>
      <c r="AC27" s="31">
        <v>6</v>
      </c>
      <c r="AD27" s="31">
        <f>SUM(AD21:AD26)</f>
        <v>0</v>
      </c>
      <c r="AE27" s="19">
        <f t="shared" si="7"/>
        <v>-72.230579873052193</v>
      </c>
      <c r="AF27" s="21">
        <f t="shared" si="8"/>
        <v>0.96231448006623366</v>
      </c>
      <c r="AG27" s="172"/>
    </row>
    <row r="28" spans="1:33" ht="15.75" customHeight="1">
      <c r="A28" s="193" t="s">
        <v>1139</v>
      </c>
      <c r="B28" s="37" t="s">
        <v>100</v>
      </c>
      <c r="C28" s="190" t="s">
        <v>101</v>
      </c>
      <c r="D28" s="190"/>
      <c r="E28" s="37">
        <v>31.29</v>
      </c>
      <c r="F28" s="4">
        <v>7102</v>
      </c>
      <c r="G28" s="4">
        <v>222221.58</v>
      </c>
      <c r="H28" s="22" t="s">
        <v>139</v>
      </c>
      <c r="I28" s="16">
        <v>18</v>
      </c>
      <c r="J28" s="18">
        <v>2400</v>
      </c>
      <c r="K28" s="17">
        <f t="shared" si="0"/>
        <v>133.33333333333334</v>
      </c>
      <c r="L28" s="16">
        <v>18</v>
      </c>
      <c r="M28" s="18">
        <f t="shared" ref="M28:M32" si="19">F28/V28*60</f>
        <v>2290.9677419354839</v>
      </c>
      <c r="N28" s="17">
        <f t="shared" si="2"/>
        <v>127.27598566308244</v>
      </c>
      <c r="O28" s="19">
        <f t="shared" si="3"/>
        <v>0</v>
      </c>
      <c r="P28" s="20">
        <f t="shared" si="4"/>
        <v>-6.0573476702509055</v>
      </c>
      <c r="Q28" s="21">
        <f t="shared" si="5"/>
        <v>0.95456989247311819</v>
      </c>
      <c r="R28" s="172">
        <f>Q33</f>
        <v>0.95379325481044097</v>
      </c>
      <c r="S28" s="28">
        <v>0.125</v>
      </c>
      <c r="T28" s="28">
        <v>0.25416666666666665</v>
      </c>
      <c r="U28" s="4"/>
      <c r="V28" s="22">
        <f t="shared" ref="V28:V32" si="20">(T28-S28)*24*60</f>
        <v>185.99999999999997</v>
      </c>
      <c r="W28" s="28">
        <f>T28</f>
        <v>0.25416666666666665</v>
      </c>
      <c r="X28" s="28">
        <f>S29</f>
        <v>0.27499999999999997</v>
      </c>
      <c r="Y28" s="23"/>
      <c r="Z28" s="23"/>
      <c r="AA28" s="164"/>
      <c r="AB28" s="164"/>
      <c r="AC28" s="25">
        <v>5</v>
      </c>
      <c r="AD28" s="25"/>
      <c r="AE28" s="19">
        <f t="shared" si="7"/>
        <v>-109.0322580645161</v>
      </c>
      <c r="AF28" s="21">
        <f t="shared" si="8"/>
        <v>0.9545698924731183</v>
      </c>
      <c r="AG28" s="172">
        <f>AF33</f>
        <v>0.95379325481044097</v>
      </c>
    </row>
    <row r="29" spans="1:33" ht="15.75" customHeight="1">
      <c r="A29" s="193" t="s">
        <v>1140</v>
      </c>
      <c r="B29" s="37" t="s">
        <v>100</v>
      </c>
      <c r="C29" s="190" t="s">
        <v>102</v>
      </c>
      <c r="D29" s="190"/>
      <c r="E29" s="37">
        <v>26.2</v>
      </c>
      <c r="F29" s="4">
        <v>4072</v>
      </c>
      <c r="G29" s="4">
        <v>106686.39999999999</v>
      </c>
      <c r="H29" s="22" t="s">
        <v>139</v>
      </c>
      <c r="I29" s="16">
        <v>20</v>
      </c>
      <c r="J29" s="18">
        <v>2400</v>
      </c>
      <c r="K29" s="17">
        <f t="shared" si="0"/>
        <v>120</v>
      </c>
      <c r="L29" s="16">
        <v>20</v>
      </c>
      <c r="M29" s="18">
        <f t="shared" si="19"/>
        <v>2283.3644859813085</v>
      </c>
      <c r="N29" s="17">
        <f t="shared" si="2"/>
        <v>114.16822429906543</v>
      </c>
      <c r="O29" s="19">
        <f t="shared" si="3"/>
        <v>0</v>
      </c>
      <c r="P29" s="20">
        <f t="shared" si="4"/>
        <v>-5.8317757009345712</v>
      </c>
      <c r="Q29" s="21">
        <f t="shared" si="5"/>
        <v>0.95140186915887859</v>
      </c>
      <c r="R29" s="172"/>
      <c r="S29" s="28">
        <v>0.27499999999999997</v>
      </c>
      <c r="T29" s="28">
        <v>0.34930555555555554</v>
      </c>
      <c r="U29" s="4">
        <f t="shared" ref="U29:U32" si="21">(S29-T28)*24*60</f>
        <v>29.999999999999972</v>
      </c>
      <c r="V29" s="22">
        <f t="shared" si="20"/>
        <v>107.00000000000001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7"/>
        <v>-116.63551401869154</v>
      </c>
      <c r="AF29" s="21">
        <f t="shared" si="8"/>
        <v>0.95140186915887848</v>
      </c>
      <c r="AG29" s="172"/>
    </row>
    <row r="30" spans="1:33" ht="15.75" customHeight="1">
      <c r="A30" s="193" t="s">
        <v>61</v>
      </c>
      <c r="B30" s="37" t="s">
        <v>100</v>
      </c>
      <c r="C30" s="190" t="s">
        <v>103</v>
      </c>
      <c r="D30" s="190"/>
      <c r="E30" s="37">
        <v>25.99</v>
      </c>
      <c r="F30" s="4">
        <v>3285</v>
      </c>
      <c r="G30" s="4">
        <v>85377.15</v>
      </c>
      <c r="H30" s="22" t="s">
        <v>139</v>
      </c>
      <c r="I30" s="16">
        <v>14</v>
      </c>
      <c r="J30" s="18">
        <v>2400</v>
      </c>
      <c r="K30" s="17">
        <f t="shared" si="0"/>
        <v>171.42857142857142</v>
      </c>
      <c r="L30" s="16">
        <v>14</v>
      </c>
      <c r="M30" s="18">
        <f t="shared" si="19"/>
        <v>2291.8604651162786</v>
      </c>
      <c r="N30" s="17">
        <f t="shared" si="2"/>
        <v>163.70431893687706</v>
      </c>
      <c r="O30" s="19">
        <f t="shared" si="3"/>
        <v>0</v>
      </c>
      <c r="P30" s="20">
        <f t="shared" si="4"/>
        <v>-7.724252491694358</v>
      </c>
      <c r="Q30" s="21">
        <f t="shared" si="5"/>
        <v>0.9549418604651162</v>
      </c>
      <c r="R30" s="172"/>
      <c r="S30" s="28">
        <v>0.35347222222222219</v>
      </c>
      <c r="T30" s="28">
        <v>0.41319444444444442</v>
      </c>
      <c r="U30" s="4">
        <f t="shared" si="21"/>
        <v>5.9999999999999787</v>
      </c>
      <c r="V30" s="22">
        <f t="shared" si="20"/>
        <v>86.000000000000014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7"/>
        <v>-108.13953488372135</v>
      </c>
      <c r="AF30" s="21">
        <f t="shared" si="8"/>
        <v>0.95494186046511609</v>
      </c>
      <c r="AG30" s="172"/>
    </row>
    <row r="31" spans="1:33" ht="15.75" customHeight="1">
      <c r="A31" s="193" t="s">
        <v>61</v>
      </c>
      <c r="B31" s="37" t="s">
        <v>100</v>
      </c>
      <c r="C31" s="190" t="s">
        <v>105</v>
      </c>
      <c r="D31" s="190"/>
      <c r="E31" s="37">
        <v>25.98</v>
      </c>
      <c r="F31" s="4">
        <v>2402</v>
      </c>
      <c r="G31" s="4">
        <v>62403.96</v>
      </c>
      <c r="H31" s="22" t="s">
        <v>139</v>
      </c>
      <c r="I31" s="16">
        <v>21</v>
      </c>
      <c r="J31" s="18">
        <v>2400</v>
      </c>
      <c r="K31" s="17">
        <f t="shared" si="0"/>
        <v>114.28571428571429</v>
      </c>
      <c r="L31" s="16">
        <v>21</v>
      </c>
      <c r="M31" s="18">
        <f t="shared" si="19"/>
        <v>2287.6190476190473</v>
      </c>
      <c r="N31" s="17">
        <f t="shared" si="2"/>
        <v>108.93424036281178</v>
      </c>
      <c r="O31" s="19">
        <f t="shared" si="3"/>
        <v>0</v>
      </c>
      <c r="P31" s="20">
        <f t="shared" si="4"/>
        <v>-5.3514739229025139</v>
      </c>
      <c r="Q31" s="21">
        <f t="shared" si="5"/>
        <v>0.95317460317460301</v>
      </c>
      <c r="R31" s="172"/>
      <c r="S31" s="28">
        <v>0.41736111111111107</v>
      </c>
      <c r="T31" s="28">
        <v>0.46111111111111108</v>
      </c>
      <c r="U31" s="4">
        <f t="shared" si="21"/>
        <v>5.9999999999999787</v>
      </c>
      <c r="V31" s="22">
        <f t="shared" si="20"/>
        <v>63.000000000000014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-112.38095238095275</v>
      </c>
      <c r="AF31" s="21">
        <f t="shared" si="8"/>
        <v>0.95317460317460301</v>
      </c>
      <c r="AG31" s="172"/>
    </row>
    <row r="32" spans="1:33" ht="15.75" customHeight="1">
      <c r="A32" s="193" t="s">
        <v>61</v>
      </c>
      <c r="B32" s="37" t="s">
        <v>100</v>
      </c>
      <c r="C32" s="190" t="s">
        <v>104</v>
      </c>
      <c r="D32" s="190"/>
      <c r="E32" s="37">
        <v>20.52</v>
      </c>
      <c r="F32" s="4">
        <v>3132</v>
      </c>
      <c r="G32" s="4">
        <v>64268.639999999999</v>
      </c>
      <c r="H32" s="22" t="s">
        <v>139</v>
      </c>
      <c r="I32" s="16">
        <v>18</v>
      </c>
      <c r="J32" s="18">
        <v>2400</v>
      </c>
      <c r="K32" s="17">
        <f t="shared" si="0"/>
        <v>133.33333333333334</v>
      </c>
      <c r="L32" s="16">
        <v>18</v>
      </c>
      <c r="M32" s="18">
        <f t="shared" si="19"/>
        <v>2291.7073170731724</v>
      </c>
      <c r="N32" s="17">
        <f t="shared" si="2"/>
        <v>127.3170731707318</v>
      </c>
      <c r="O32" s="19">
        <f t="shared" si="3"/>
        <v>0</v>
      </c>
      <c r="P32" s="20">
        <f t="shared" si="4"/>
        <v>-6.0162601626015402</v>
      </c>
      <c r="Q32" s="21">
        <f t="shared" si="5"/>
        <v>0.95487804878048843</v>
      </c>
      <c r="R32" s="172"/>
      <c r="S32" s="28">
        <v>0.46527777777777773</v>
      </c>
      <c r="T32" s="28">
        <v>0.52222222222222214</v>
      </c>
      <c r="U32" s="4">
        <f t="shared" si="21"/>
        <v>5.9999999999999787</v>
      </c>
      <c r="V32" s="22">
        <f t="shared" si="20"/>
        <v>81.999999999999943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-108.29268292682764</v>
      </c>
      <c r="AF32" s="21">
        <f t="shared" si="8"/>
        <v>0.95487804878048843</v>
      </c>
      <c r="AG32" s="172"/>
    </row>
    <row r="33" spans="1:33" ht="15.75" customHeight="1">
      <c r="A33" s="193" t="s">
        <v>61</v>
      </c>
      <c r="B33" s="37" t="s">
        <v>48</v>
      </c>
      <c r="C33" s="177"/>
      <c r="D33" s="177"/>
      <c r="E33" s="38"/>
      <c r="F33" s="4"/>
      <c r="G33" s="4"/>
      <c r="H33" s="4"/>
      <c r="I33" s="30">
        <v>18.2</v>
      </c>
      <c r="J33" s="18">
        <v>2400</v>
      </c>
      <c r="K33" s="17">
        <f t="shared" si="0"/>
        <v>131.86813186813188</v>
      </c>
      <c r="L33" s="30">
        <v>18.2</v>
      </c>
      <c r="M33" s="18">
        <f>AVERAGE(M28:M32)</f>
        <v>2289.1038115450583</v>
      </c>
      <c r="N33" s="17">
        <f t="shared" si="2"/>
        <v>125.77493470027794</v>
      </c>
      <c r="O33" s="19">
        <f t="shared" si="3"/>
        <v>0</v>
      </c>
      <c r="P33" s="20">
        <f t="shared" si="4"/>
        <v>-6.0931971678539441</v>
      </c>
      <c r="Q33" s="21">
        <f t="shared" si="5"/>
        <v>0.95379325481044097</v>
      </c>
      <c r="R33" s="172"/>
      <c r="S33" s="28"/>
      <c r="T33" s="28"/>
      <c r="U33" s="4"/>
      <c r="V33" s="22"/>
      <c r="W33" s="4"/>
      <c r="X33" s="4"/>
      <c r="Y33" s="31">
        <f>SUM(Y28:Y32)</f>
        <v>0</v>
      </c>
      <c r="Z33" s="31">
        <f>SUM(Z28:Z32)</f>
        <v>0</v>
      </c>
      <c r="AA33" s="168"/>
      <c r="AB33" s="168"/>
      <c r="AC33" s="31">
        <v>5</v>
      </c>
      <c r="AD33" s="31">
        <f>SUM(AD28:AD32)</f>
        <v>0</v>
      </c>
      <c r="AE33" s="19">
        <f t="shared" si="7"/>
        <v>-110.89618845494169</v>
      </c>
      <c r="AF33" s="21">
        <f t="shared" si="8"/>
        <v>0.95379325481044097</v>
      </c>
      <c r="AG33" s="172"/>
    </row>
    <row r="34" spans="1:33" ht="15.75" customHeight="1">
      <c r="A34" s="191" t="s">
        <v>64</v>
      </c>
      <c r="B34" s="37" t="s">
        <v>100</v>
      </c>
      <c r="C34" s="165" t="s">
        <v>106</v>
      </c>
      <c r="D34" s="165"/>
      <c r="E34" s="37">
        <v>26.2</v>
      </c>
      <c r="F34" s="4">
        <v>5211</v>
      </c>
      <c r="G34" s="4">
        <v>136528.19999999998</v>
      </c>
      <c r="H34" s="22" t="s">
        <v>139</v>
      </c>
      <c r="I34" s="16">
        <v>18</v>
      </c>
      <c r="J34" s="18">
        <v>2400</v>
      </c>
      <c r="K34" s="17">
        <f t="shared" si="0"/>
        <v>133.33333333333334</v>
      </c>
      <c r="L34" s="16">
        <v>18</v>
      </c>
      <c r="M34" s="18">
        <f t="shared" ref="M34:M38" si="22">F34/V34*60</f>
        <v>2282.1897810218979</v>
      </c>
      <c r="N34" s="17">
        <f t="shared" si="2"/>
        <v>126.78832116788323</v>
      </c>
      <c r="O34" s="19">
        <f t="shared" si="3"/>
        <v>0</v>
      </c>
      <c r="P34" s="20">
        <f t="shared" si="4"/>
        <v>-6.5450121654501174</v>
      </c>
      <c r="Q34" s="21">
        <f t="shared" si="5"/>
        <v>0.95091240875912408</v>
      </c>
      <c r="R34" s="172">
        <f>Q39</f>
        <v>0.95680359732799192</v>
      </c>
      <c r="S34" s="28">
        <v>0.125</v>
      </c>
      <c r="T34" s="28">
        <v>0.22013888888888888</v>
      </c>
      <c r="U34" s="4"/>
      <c r="V34" s="22">
        <f t="shared" ref="V34:V38" si="23">(T34-S34)*24*60</f>
        <v>137</v>
      </c>
      <c r="W34" s="28">
        <f>T34</f>
        <v>0.22013888888888888</v>
      </c>
      <c r="X34" s="28">
        <f>S35</f>
        <v>0.23888888888888887</v>
      </c>
      <c r="Y34" s="28"/>
      <c r="Z34" s="28"/>
      <c r="AA34" s="164"/>
      <c r="AB34" s="164"/>
      <c r="AC34" s="25">
        <v>5</v>
      </c>
      <c r="AD34" s="25"/>
      <c r="AE34" s="19">
        <f t="shared" si="7"/>
        <v>-117.81021897810206</v>
      </c>
      <c r="AF34" s="21">
        <f t="shared" si="8"/>
        <v>0.95091240875912419</v>
      </c>
      <c r="AG34" s="172">
        <f>AF39</f>
        <v>0.95680359732799203</v>
      </c>
    </row>
    <row r="35" spans="1:33" ht="15.75" customHeight="1">
      <c r="A35" s="191" t="s">
        <v>64</v>
      </c>
      <c r="B35" s="37" t="s">
        <v>100</v>
      </c>
      <c r="C35" s="165" t="s">
        <v>107</v>
      </c>
      <c r="D35" s="165"/>
      <c r="E35" s="37">
        <v>26.18</v>
      </c>
      <c r="F35" s="4">
        <v>1678</v>
      </c>
      <c r="G35" s="4">
        <v>43930.04</v>
      </c>
      <c r="H35" s="22" t="s">
        <v>139</v>
      </c>
      <c r="I35" s="16">
        <v>19</v>
      </c>
      <c r="J35" s="18">
        <v>2400</v>
      </c>
      <c r="K35" s="17">
        <f t="shared" si="0"/>
        <v>126.31578947368421</v>
      </c>
      <c r="L35" s="16">
        <v>19</v>
      </c>
      <c r="M35" s="18">
        <f t="shared" si="22"/>
        <v>2288.181818181818</v>
      </c>
      <c r="N35" s="17">
        <f t="shared" si="2"/>
        <v>120.43062200956938</v>
      </c>
      <c r="O35" s="19">
        <f t="shared" si="3"/>
        <v>0</v>
      </c>
      <c r="P35" s="20">
        <f t="shared" si="4"/>
        <v>-5.8851674641148293</v>
      </c>
      <c r="Q35" s="21">
        <f t="shared" si="5"/>
        <v>0.95340909090909098</v>
      </c>
      <c r="R35" s="172"/>
      <c r="S35" s="28">
        <v>0.23888888888888887</v>
      </c>
      <c r="T35" s="28">
        <v>0.26944444444444443</v>
      </c>
      <c r="U35" s="4">
        <f t="shared" ref="U35:U38" si="24">(S35-T34)*24*60</f>
        <v>26.999999999999986</v>
      </c>
      <c r="V35" s="22">
        <f t="shared" si="23"/>
        <v>44</v>
      </c>
      <c r="W35" s="4"/>
      <c r="X35" s="4"/>
      <c r="Y35" s="4"/>
      <c r="Z35" s="4"/>
      <c r="AA35" s="164"/>
      <c r="AB35" s="164"/>
      <c r="AC35" s="25"/>
      <c r="AD35" s="25"/>
      <c r="AE35" s="19">
        <f t="shared" si="7"/>
        <v>-111.81818181818198</v>
      </c>
      <c r="AF35" s="21">
        <f t="shared" si="8"/>
        <v>0.95340909090909087</v>
      </c>
      <c r="AG35" s="172"/>
    </row>
    <row r="36" spans="1:33">
      <c r="A36" s="192" t="s">
        <v>64</v>
      </c>
      <c r="B36" s="37" t="s">
        <v>100</v>
      </c>
      <c r="C36" s="165" t="s">
        <v>108</v>
      </c>
      <c r="D36" s="165"/>
      <c r="E36" s="37">
        <v>26.39</v>
      </c>
      <c r="F36" s="4">
        <v>4679</v>
      </c>
      <c r="G36" s="4">
        <v>123478.81</v>
      </c>
      <c r="H36" s="22" t="s">
        <v>139</v>
      </c>
      <c r="I36" s="16">
        <v>19</v>
      </c>
      <c r="J36" s="18">
        <v>2400</v>
      </c>
      <c r="K36" s="17">
        <f t="shared" si="0"/>
        <v>126.31578947368421</v>
      </c>
      <c r="L36" s="16">
        <v>19</v>
      </c>
      <c r="M36" s="18">
        <f t="shared" si="22"/>
        <v>2301.1475409836071</v>
      </c>
      <c r="N36" s="17">
        <f t="shared" si="2"/>
        <v>121.11302847282143</v>
      </c>
      <c r="O36" s="19">
        <f t="shared" si="3"/>
        <v>0</v>
      </c>
      <c r="P36" s="20">
        <f t="shared" si="4"/>
        <v>-5.2027610008627789</v>
      </c>
      <c r="Q36" s="21">
        <f t="shared" si="5"/>
        <v>0.95881147540983636</v>
      </c>
      <c r="R36" s="172"/>
      <c r="S36" s="28">
        <v>0.27361111111111108</v>
      </c>
      <c r="T36" s="28">
        <v>0.35833333333333328</v>
      </c>
      <c r="U36" s="4">
        <f t="shared" si="24"/>
        <v>5.9999999999999787</v>
      </c>
      <c r="V36" s="22">
        <f t="shared" si="23"/>
        <v>121.99999999999997</v>
      </c>
      <c r="W36" s="4"/>
      <c r="X36" s="4"/>
      <c r="Y36" s="4"/>
      <c r="Z36" s="4"/>
      <c r="AA36" s="164"/>
      <c r="AB36" s="164"/>
      <c r="AC36" s="25"/>
      <c r="AD36" s="25"/>
      <c r="AE36" s="19">
        <f t="shared" si="7"/>
        <v>-98.852459016392913</v>
      </c>
      <c r="AF36" s="21">
        <f t="shared" si="8"/>
        <v>0.95881147540983624</v>
      </c>
      <c r="AG36" s="172"/>
    </row>
    <row r="37" spans="1:33">
      <c r="A37" s="192" t="s">
        <v>64</v>
      </c>
      <c r="B37" s="37" t="s">
        <v>100</v>
      </c>
      <c r="C37" s="165" t="s">
        <v>137</v>
      </c>
      <c r="D37" s="165"/>
      <c r="E37" s="37">
        <v>20.21</v>
      </c>
      <c r="F37" s="4">
        <v>2734</v>
      </c>
      <c r="G37" s="4">
        <v>55254.14</v>
      </c>
      <c r="H37" s="22" t="s">
        <v>139</v>
      </c>
      <c r="I37" s="16">
        <v>16</v>
      </c>
      <c r="J37" s="18">
        <v>2400</v>
      </c>
      <c r="K37" s="17">
        <f t="shared" si="0"/>
        <v>150</v>
      </c>
      <c r="L37" s="16">
        <v>16</v>
      </c>
      <c r="M37" s="18">
        <f t="shared" si="22"/>
        <v>2310.422535211268</v>
      </c>
      <c r="N37" s="17">
        <f t="shared" si="2"/>
        <v>144.40140845070425</v>
      </c>
      <c r="O37" s="19">
        <f t="shared" si="3"/>
        <v>0</v>
      </c>
      <c r="P37" s="20">
        <f t="shared" si="4"/>
        <v>-5.5985915492957474</v>
      </c>
      <c r="Q37" s="21">
        <f t="shared" si="5"/>
        <v>0.96267605633802833</v>
      </c>
      <c r="R37" s="172"/>
      <c r="S37" s="28">
        <v>0.36319444444444438</v>
      </c>
      <c r="T37" s="28">
        <v>0.41249999999999992</v>
      </c>
      <c r="U37" s="4">
        <f t="shared" si="24"/>
        <v>6.9999999999999751</v>
      </c>
      <c r="V37" s="22">
        <f t="shared" si="23"/>
        <v>70.999999999999986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7"/>
        <v>-89.577464788731959</v>
      </c>
      <c r="AF37" s="21">
        <f t="shared" si="8"/>
        <v>0.96267605633802833</v>
      </c>
      <c r="AG37" s="172"/>
    </row>
    <row r="38" spans="1:33">
      <c r="A38" s="192" t="s">
        <v>64</v>
      </c>
      <c r="B38" s="37" t="s">
        <v>100</v>
      </c>
      <c r="C38" s="165" t="s">
        <v>134</v>
      </c>
      <c r="D38" s="165"/>
      <c r="E38" s="37">
        <v>20.52</v>
      </c>
      <c r="F38" s="4">
        <v>2568</v>
      </c>
      <c r="G38" s="4">
        <v>52695.360000000001</v>
      </c>
      <c r="H38" s="22" t="s">
        <v>139</v>
      </c>
      <c r="I38" s="16">
        <v>18</v>
      </c>
      <c r="J38" s="18">
        <v>2400</v>
      </c>
      <c r="K38" s="17">
        <f t="shared" si="0"/>
        <v>133.33333333333334</v>
      </c>
      <c r="L38" s="16">
        <v>18</v>
      </c>
      <c r="M38" s="18">
        <f t="shared" si="22"/>
        <v>2299.7014925373132</v>
      </c>
      <c r="N38" s="17">
        <f t="shared" si="2"/>
        <v>127.76119402985074</v>
      </c>
      <c r="O38" s="19">
        <f t="shared" si="3"/>
        <v>0</v>
      </c>
      <c r="P38" s="20">
        <f t="shared" si="4"/>
        <v>-5.5721393034826008</v>
      </c>
      <c r="Q38" s="21">
        <f t="shared" si="5"/>
        <v>0.9582089552238805</v>
      </c>
      <c r="R38" s="172"/>
      <c r="S38" s="28">
        <v>0.41805555555555546</v>
      </c>
      <c r="T38" s="28">
        <v>0.46458333333333324</v>
      </c>
      <c r="U38" s="4">
        <f t="shared" si="24"/>
        <v>7.9999999999999716</v>
      </c>
      <c r="V38" s="22">
        <f t="shared" si="23"/>
        <v>67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7"/>
        <v>-100.29850746268676</v>
      </c>
      <c r="AF38" s="21">
        <f t="shared" si="8"/>
        <v>0.9582089552238805</v>
      </c>
      <c r="AG38" s="172"/>
    </row>
    <row r="39" spans="1:33">
      <c r="A39" s="192" t="s">
        <v>64</v>
      </c>
      <c r="B39" s="17" t="s">
        <v>48</v>
      </c>
      <c r="C39" s="177"/>
      <c r="D39" s="177"/>
      <c r="E39" s="38"/>
      <c r="F39" s="17"/>
      <c r="G39" s="17"/>
      <c r="H39" s="4"/>
      <c r="I39" s="30">
        <v>18</v>
      </c>
      <c r="J39" s="18">
        <v>2400</v>
      </c>
      <c r="K39" s="17">
        <f t="shared" si="0"/>
        <v>133.33333333333334</v>
      </c>
      <c r="L39" s="30">
        <v>18</v>
      </c>
      <c r="M39" s="18">
        <f>AVERAGE(M34:M38)</f>
        <v>2296.3286335871808</v>
      </c>
      <c r="N39" s="17">
        <f t="shared" si="2"/>
        <v>127.5738129770656</v>
      </c>
      <c r="O39" s="19">
        <f t="shared" si="3"/>
        <v>0</v>
      </c>
      <c r="P39" s="20">
        <f t="shared" si="4"/>
        <v>-5.7595203562677426</v>
      </c>
      <c r="Q39" s="21">
        <f t="shared" si="5"/>
        <v>0.95680359732799192</v>
      </c>
      <c r="R39" s="172"/>
      <c r="S39" s="28"/>
      <c r="T39" s="28"/>
      <c r="U39" s="17"/>
      <c r="V39" s="22"/>
      <c r="W39" s="17"/>
      <c r="X39" s="17"/>
      <c r="Y39" s="31">
        <f>SUM(Y34:Y38)</f>
        <v>0</v>
      </c>
      <c r="Z39" s="31">
        <f>SUM(Z34:Z38)</f>
        <v>0</v>
      </c>
      <c r="AA39" s="168"/>
      <c r="AB39" s="168"/>
      <c r="AC39" s="31">
        <v>5</v>
      </c>
      <c r="AD39" s="31">
        <f>SUM(AD34:AD38)</f>
        <v>0</v>
      </c>
      <c r="AE39" s="19">
        <f t="shared" si="7"/>
        <v>-103.67136641281922</v>
      </c>
      <c r="AF39" s="21">
        <f t="shared" si="8"/>
        <v>0.95680359732799203</v>
      </c>
      <c r="AG39" s="172"/>
    </row>
    <row r="40" spans="1:33" ht="15.75" customHeight="1">
      <c r="A40" s="184" t="s">
        <v>67</v>
      </c>
      <c r="B40" s="37" t="s">
        <v>111</v>
      </c>
      <c r="C40" s="173" t="s">
        <v>403</v>
      </c>
      <c r="D40" s="174"/>
      <c r="E40" s="37">
        <v>34.36</v>
      </c>
      <c r="F40" s="4">
        <v>2882</v>
      </c>
      <c r="G40" s="4">
        <v>99025.52</v>
      </c>
      <c r="H40" s="22" t="s">
        <v>139</v>
      </c>
      <c r="I40" s="16">
        <v>10</v>
      </c>
      <c r="J40" s="18">
        <v>3000</v>
      </c>
      <c r="K40" s="17">
        <f t="shared" si="0"/>
        <v>300</v>
      </c>
      <c r="L40" s="16">
        <v>10</v>
      </c>
      <c r="M40" s="18">
        <f t="shared" ref="M40:M49" si="25">F40/V40*60</f>
        <v>2882.0000000000009</v>
      </c>
      <c r="N40" s="18">
        <f t="shared" si="2"/>
        <v>288.2000000000001</v>
      </c>
      <c r="O40" s="19">
        <f t="shared" si="3"/>
        <v>0</v>
      </c>
      <c r="P40" s="20">
        <f t="shared" si="4"/>
        <v>-11.799999999999898</v>
      </c>
      <c r="Q40" s="21">
        <f t="shared" si="5"/>
        <v>0.960666666666667</v>
      </c>
      <c r="R40" s="187">
        <f>Q50</f>
        <v>0.96181135982095733</v>
      </c>
      <c r="S40" s="28">
        <v>0.20833333333333334</v>
      </c>
      <c r="T40" s="28">
        <v>0.25</v>
      </c>
      <c r="U40" s="28"/>
      <c r="V40" s="22">
        <f t="shared" ref="V40:V49" si="26">(T40-S40)*24*60</f>
        <v>59.999999999999986</v>
      </c>
      <c r="W40" s="23"/>
      <c r="X40" s="23"/>
      <c r="Y40" s="26"/>
      <c r="Z40" s="26"/>
      <c r="AA40" s="175"/>
      <c r="AB40" s="176"/>
      <c r="AC40" s="25">
        <v>10</v>
      </c>
      <c r="AD40" s="25"/>
      <c r="AE40" s="19">
        <f t="shared" si="7"/>
        <v>-117.99999999999909</v>
      </c>
      <c r="AF40" s="21">
        <f t="shared" si="8"/>
        <v>0.960666666666667</v>
      </c>
      <c r="AG40" s="187">
        <f>AF50</f>
        <v>0.96181135982095722</v>
      </c>
    </row>
    <row r="41" spans="1:33" ht="15.75" customHeight="1">
      <c r="A41" s="185" t="s">
        <v>67</v>
      </c>
      <c r="B41" s="37" t="s">
        <v>111</v>
      </c>
      <c r="C41" s="173" t="s">
        <v>114</v>
      </c>
      <c r="D41" s="174"/>
      <c r="E41" s="37">
        <v>35.119999999999997</v>
      </c>
      <c r="F41" s="4">
        <v>3050</v>
      </c>
      <c r="G41" s="4">
        <v>107115.99999999999</v>
      </c>
      <c r="H41" s="22">
        <v>2</v>
      </c>
      <c r="I41" s="16">
        <v>10</v>
      </c>
      <c r="J41" s="18">
        <v>3000</v>
      </c>
      <c r="K41" s="17">
        <f t="shared" si="0"/>
        <v>300</v>
      </c>
      <c r="L41" s="16">
        <v>10</v>
      </c>
      <c r="M41" s="18">
        <f t="shared" si="25"/>
        <v>2859.3749999999995</v>
      </c>
      <c r="N41" s="18">
        <f t="shared" si="2"/>
        <v>285.93749999999994</v>
      </c>
      <c r="O41" s="19">
        <f t="shared" si="3"/>
        <v>0</v>
      </c>
      <c r="P41" s="20">
        <f t="shared" si="4"/>
        <v>-14.062500000000057</v>
      </c>
      <c r="Q41" s="21">
        <f t="shared" si="5"/>
        <v>0.95312499999999978</v>
      </c>
      <c r="R41" s="188"/>
      <c r="S41" s="28">
        <v>0.25347222222222221</v>
      </c>
      <c r="T41" s="28">
        <v>0.29791666666666666</v>
      </c>
      <c r="U41" s="4">
        <f t="shared" ref="U41:U49" si="27">(S41-T40)*24*60</f>
        <v>4.9999999999999822</v>
      </c>
      <c r="V41" s="22">
        <f t="shared" si="26"/>
        <v>64.000000000000014</v>
      </c>
      <c r="W41" s="23"/>
      <c r="X41" s="23"/>
      <c r="Y41" s="26"/>
      <c r="Z41" s="26"/>
      <c r="AA41" s="175"/>
      <c r="AB41" s="176"/>
      <c r="AC41" s="25"/>
      <c r="AD41" s="25"/>
      <c r="AE41" s="19">
        <f t="shared" si="7"/>
        <v>-140.62500000000045</v>
      </c>
      <c r="AF41" s="21">
        <f t="shared" si="8"/>
        <v>0.95312499999999989</v>
      </c>
      <c r="AG41" s="188"/>
    </row>
    <row r="42" spans="1:33" ht="15.75" customHeight="1">
      <c r="A42" s="185" t="s">
        <v>67</v>
      </c>
      <c r="B42" s="37" t="s">
        <v>111</v>
      </c>
      <c r="C42" s="173" t="s">
        <v>115</v>
      </c>
      <c r="D42" s="174"/>
      <c r="E42" s="37">
        <v>26.78</v>
      </c>
      <c r="F42" s="4">
        <v>2618</v>
      </c>
      <c r="G42" s="4">
        <v>70110.040000000008</v>
      </c>
      <c r="H42" s="22" t="s">
        <v>139</v>
      </c>
      <c r="I42" s="16">
        <v>10</v>
      </c>
      <c r="J42" s="18">
        <v>3000</v>
      </c>
      <c r="K42" s="17">
        <f t="shared" si="0"/>
        <v>300</v>
      </c>
      <c r="L42" s="16">
        <v>10</v>
      </c>
      <c r="M42" s="18">
        <f t="shared" si="25"/>
        <v>2856.0000000000018</v>
      </c>
      <c r="N42" s="18">
        <f t="shared" si="2"/>
        <v>285.60000000000019</v>
      </c>
      <c r="O42" s="19">
        <f t="shared" si="3"/>
        <v>0</v>
      </c>
      <c r="P42" s="20">
        <f t="shared" si="4"/>
        <v>-14.399999999999807</v>
      </c>
      <c r="Q42" s="21">
        <f t="shared" si="5"/>
        <v>0.95200000000000062</v>
      </c>
      <c r="R42" s="188"/>
      <c r="S42" s="28">
        <v>0.30277777777777776</v>
      </c>
      <c r="T42" s="28">
        <v>0.34097222222222218</v>
      </c>
      <c r="U42" s="4">
        <f t="shared" si="27"/>
        <v>6.9999999999999751</v>
      </c>
      <c r="V42" s="22">
        <f t="shared" si="26"/>
        <v>54.999999999999964</v>
      </c>
      <c r="W42" s="23"/>
      <c r="X42" s="23"/>
      <c r="Y42" s="26"/>
      <c r="Z42" s="26"/>
      <c r="AA42" s="175"/>
      <c r="AB42" s="176"/>
      <c r="AC42" s="25"/>
      <c r="AD42" s="25"/>
      <c r="AE42" s="19">
        <f t="shared" si="7"/>
        <v>-143.99999999999818</v>
      </c>
      <c r="AF42" s="21">
        <f t="shared" si="8"/>
        <v>0.95200000000000062</v>
      </c>
      <c r="AG42" s="188"/>
    </row>
    <row r="43" spans="1:33" ht="15.75" customHeight="1">
      <c r="A43" s="185" t="s">
        <v>67</v>
      </c>
      <c r="B43" s="37" t="s">
        <v>111</v>
      </c>
      <c r="C43" s="173" t="s">
        <v>117</v>
      </c>
      <c r="D43" s="174"/>
      <c r="E43" s="37">
        <v>44.03</v>
      </c>
      <c r="F43" s="4">
        <v>1222</v>
      </c>
      <c r="G43" s="4">
        <v>53804.66</v>
      </c>
      <c r="H43" s="22" t="s">
        <v>139</v>
      </c>
      <c r="I43" s="16">
        <v>10</v>
      </c>
      <c r="J43" s="18">
        <v>3000</v>
      </c>
      <c r="K43" s="17">
        <f t="shared" si="0"/>
        <v>300</v>
      </c>
      <c r="L43" s="16">
        <v>10</v>
      </c>
      <c r="M43" s="18">
        <f t="shared" si="25"/>
        <v>2932.8000000000011</v>
      </c>
      <c r="N43" s="18">
        <f t="shared" si="2"/>
        <v>293.28000000000009</v>
      </c>
      <c r="O43" s="19">
        <f t="shared" si="3"/>
        <v>0</v>
      </c>
      <c r="P43" s="20">
        <f t="shared" si="4"/>
        <v>-6.7199999999999136</v>
      </c>
      <c r="Q43" s="21">
        <f t="shared" si="5"/>
        <v>0.97760000000000025</v>
      </c>
      <c r="R43" s="188"/>
      <c r="S43" s="28">
        <v>0.34583333333333327</v>
      </c>
      <c r="T43" s="28">
        <v>0.36319444444444438</v>
      </c>
      <c r="U43" s="4">
        <f t="shared" si="27"/>
        <v>6.9999999999999751</v>
      </c>
      <c r="V43" s="22">
        <f t="shared" si="26"/>
        <v>24.999999999999993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7"/>
        <v>-67.199999999998909</v>
      </c>
      <c r="AF43" s="21">
        <f t="shared" si="8"/>
        <v>0.97760000000000036</v>
      </c>
      <c r="AG43" s="188"/>
    </row>
    <row r="44" spans="1:33" ht="15.75" customHeight="1">
      <c r="A44" s="185" t="s">
        <v>67</v>
      </c>
      <c r="B44" s="37" t="s">
        <v>111</v>
      </c>
      <c r="C44" s="173" t="s">
        <v>116</v>
      </c>
      <c r="D44" s="174"/>
      <c r="E44" s="37">
        <v>35.869999999999997</v>
      </c>
      <c r="F44" s="4">
        <v>3544</v>
      </c>
      <c r="G44" s="4">
        <v>127123.27999999998</v>
      </c>
      <c r="H44" s="22" t="s">
        <v>139</v>
      </c>
      <c r="I44" s="16">
        <v>9</v>
      </c>
      <c r="J44" s="18">
        <v>3000</v>
      </c>
      <c r="K44" s="17">
        <f t="shared" si="0"/>
        <v>333.33333333333331</v>
      </c>
      <c r="L44" s="16">
        <v>9</v>
      </c>
      <c r="M44" s="18">
        <f t="shared" si="25"/>
        <v>2873.5135135135147</v>
      </c>
      <c r="N44" s="18">
        <f t="shared" si="2"/>
        <v>319.27927927927942</v>
      </c>
      <c r="O44" s="19">
        <f t="shared" si="3"/>
        <v>0</v>
      </c>
      <c r="P44" s="20">
        <f t="shared" si="4"/>
        <v>-14.054054054053893</v>
      </c>
      <c r="Q44" s="21">
        <f t="shared" si="5"/>
        <v>0.95783783783783827</v>
      </c>
      <c r="R44" s="188"/>
      <c r="S44" s="28">
        <v>0.36666666666666659</v>
      </c>
      <c r="T44" s="28">
        <v>0.41805555555555546</v>
      </c>
      <c r="U44" s="4">
        <f t="shared" si="27"/>
        <v>4.9999999999999822</v>
      </c>
      <c r="V44" s="22">
        <f t="shared" si="26"/>
        <v>73.999999999999972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7"/>
        <v>-126.48648648648532</v>
      </c>
      <c r="AF44" s="21">
        <f t="shared" si="8"/>
        <v>0.95783783783783827</v>
      </c>
      <c r="AG44" s="188"/>
    </row>
    <row r="45" spans="1:33" ht="15.75" customHeight="1">
      <c r="A45" s="185" t="s">
        <v>67</v>
      </c>
      <c r="B45" s="37" t="s">
        <v>111</v>
      </c>
      <c r="C45" s="173" t="s">
        <v>112</v>
      </c>
      <c r="D45" s="174"/>
      <c r="E45" s="37">
        <v>21.13</v>
      </c>
      <c r="F45" s="4">
        <v>2800</v>
      </c>
      <c r="G45" s="4">
        <v>59164</v>
      </c>
      <c r="H45" s="22">
        <v>2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2896.5517241379293</v>
      </c>
      <c r="N45" s="18">
        <f t="shared" si="2"/>
        <v>289.65517241379291</v>
      </c>
      <c r="O45" s="19">
        <f t="shared" si="3"/>
        <v>0</v>
      </c>
      <c r="P45" s="20">
        <f t="shared" si="4"/>
        <v>-10.344827586207089</v>
      </c>
      <c r="Q45" s="21">
        <f t="shared" si="5"/>
        <v>0.96551724137930972</v>
      </c>
      <c r="R45" s="188"/>
      <c r="S45" s="28">
        <v>0.42152777777777767</v>
      </c>
      <c r="T45" s="28">
        <v>0.46180555555555547</v>
      </c>
      <c r="U45" s="4">
        <f t="shared" si="27"/>
        <v>4.9999999999999822</v>
      </c>
      <c r="V45" s="22">
        <f t="shared" si="26"/>
        <v>58.000000000000036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7"/>
        <v>-103.44827586207066</v>
      </c>
      <c r="AF45" s="21">
        <f t="shared" si="8"/>
        <v>0.96551724137930983</v>
      </c>
      <c r="AG45" s="188"/>
    </row>
    <row r="46" spans="1:33" ht="15.75" customHeight="1">
      <c r="A46" s="185" t="s">
        <v>67</v>
      </c>
      <c r="B46" s="37" t="s">
        <v>111</v>
      </c>
      <c r="C46" s="173" t="s">
        <v>113</v>
      </c>
      <c r="D46" s="174"/>
      <c r="E46" s="37">
        <v>27.17</v>
      </c>
      <c r="F46" s="4">
        <v>2700</v>
      </c>
      <c r="G46" s="4">
        <v>73359</v>
      </c>
      <c r="H46" s="22">
        <v>2</v>
      </c>
      <c r="I46" s="16">
        <v>10</v>
      </c>
      <c r="J46" s="18">
        <v>3000</v>
      </c>
      <c r="K46" s="17">
        <f t="shared" si="0"/>
        <v>300</v>
      </c>
      <c r="L46" s="16">
        <v>10</v>
      </c>
      <c r="M46" s="18">
        <f t="shared" si="25"/>
        <v>2892.8571428571449</v>
      </c>
      <c r="N46" s="18">
        <f t="shared" si="2"/>
        <v>289.2857142857145</v>
      </c>
      <c r="O46" s="19">
        <f t="shared" si="3"/>
        <v>0</v>
      </c>
      <c r="P46" s="20">
        <f t="shared" si="4"/>
        <v>-10.714285714285495</v>
      </c>
      <c r="Q46" s="21">
        <f t="shared" si="5"/>
        <v>0.96428571428571497</v>
      </c>
      <c r="R46" s="188"/>
      <c r="S46" s="28">
        <v>0.46597222222222212</v>
      </c>
      <c r="T46" s="28">
        <v>0.50486111111111098</v>
      </c>
      <c r="U46" s="4">
        <f t="shared" si="27"/>
        <v>5.9999999999999787</v>
      </c>
      <c r="V46" s="22">
        <f t="shared" si="26"/>
        <v>55.999999999999957</v>
      </c>
      <c r="W46" s="23">
        <f>T46</f>
        <v>0.50486111111111098</v>
      </c>
      <c r="X46" s="23">
        <f>S47</f>
        <v>0.54374999999999984</v>
      </c>
      <c r="Y46" s="26"/>
      <c r="Z46" s="26"/>
      <c r="AA46" s="175"/>
      <c r="AB46" s="176"/>
      <c r="AC46" s="25"/>
      <c r="AD46" s="25"/>
      <c r="AE46" s="19">
        <f t="shared" si="7"/>
        <v>-107.14285714285506</v>
      </c>
      <c r="AF46" s="21">
        <f t="shared" si="8"/>
        <v>0.96428571428571497</v>
      </c>
      <c r="AG46" s="188"/>
    </row>
    <row r="47" spans="1:33" ht="15.75" customHeight="1">
      <c r="A47" s="185" t="s">
        <v>67</v>
      </c>
      <c r="B47" s="37" t="s">
        <v>111</v>
      </c>
      <c r="C47" s="173" t="s">
        <v>113</v>
      </c>
      <c r="D47" s="174"/>
      <c r="E47" s="37">
        <v>27.17</v>
      </c>
      <c r="F47" s="4">
        <v>3513</v>
      </c>
      <c r="G47" s="4">
        <v>95448.21</v>
      </c>
      <c r="H47" s="22" t="s">
        <v>139</v>
      </c>
      <c r="I47" s="16">
        <v>10</v>
      </c>
      <c r="J47" s="18">
        <v>3000</v>
      </c>
      <c r="K47" s="17">
        <f t="shared" si="0"/>
        <v>300</v>
      </c>
      <c r="L47" s="16">
        <v>10</v>
      </c>
      <c r="M47" s="18">
        <f t="shared" si="25"/>
        <v>2887.3972602739705</v>
      </c>
      <c r="N47" s="18">
        <f t="shared" si="2"/>
        <v>288.73972602739707</v>
      </c>
      <c r="O47" s="19">
        <f t="shared" si="3"/>
        <v>0</v>
      </c>
      <c r="P47" s="20">
        <f t="shared" si="4"/>
        <v>-11.260273972602931</v>
      </c>
      <c r="Q47" s="21">
        <f t="shared" si="5"/>
        <v>0.9624657534246569</v>
      </c>
      <c r="R47" s="188"/>
      <c r="S47" s="28">
        <v>0.54374999999999984</v>
      </c>
      <c r="T47" s="28">
        <v>0.59444444444444433</v>
      </c>
      <c r="U47" s="4">
        <f t="shared" si="27"/>
        <v>55.999999999999957</v>
      </c>
      <c r="V47" s="22">
        <f t="shared" si="26"/>
        <v>73.000000000000057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7"/>
        <v>-112.60273972602954</v>
      </c>
      <c r="AF47" s="21">
        <f t="shared" si="8"/>
        <v>0.96246575342465679</v>
      </c>
      <c r="AG47" s="188"/>
    </row>
    <row r="48" spans="1:33" ht="15.75" customHeight="1">
      <c r="A48" s="185" t="s">
        <v>67</v>
      </c>
      <c r="B48" s="37" t="s">
        <v>111</v>
      </c>
      <c r="C48" s="173" t="s">
        <v>114</v>
      </c>
      <c r="D48" s="174"/>
      <c r="E48" s="37">
        <v>35.119999999999997</v>
      </c>
      <c r="F48" s="4">
        <v>2064</v>
      </c>
      <c r="G48" s="4">
        <v>72487.679999999993</v>
      </c>
      <c r="H48" s="22" t="s">
        <v>139</v>
      </c>
      <c r="I48" s="16">
        <v>10</v>
      </c>
      <c r="J48" s="18">
        <v>3000</v>
      </c>
      <c r="K48" s="17">
        <f t="shared" si="0"/>
        <v>300</v>
      </c>
      <c r="L48" s="16">
        <v>10</v>
      </c>
      <c r="M48" s="18">
        <f t="shared" si="25"/>
        <v>2879.9999999999995</v>
      </c>
      <c r="N48" s="18">
        <f t="shared" si="2"/>
        <v>287.99999999999994</v>
      </c>
      <c r="O48" s="19">
        <f t="shared" si="3"/>
        <v>0</v>
      </c>
      <c r="P48" s="20">
        <f t="shared" si="4"/>
        <v>-12.000000000000057</v>
      </c>
      <c r="Q48" s="21">
        <f t="shared" si="5"/>
        <v>0.95999999999999985</v>
      </c>
      <c r="R48" s="188"/>
      <c r="S48" s="28">
        <v>0.59930555555555542</v>
      </c>
      <c r="T48" s="28">
        <v>0.62916666666666654</v>
      </c>
      <c r="U48" s="4">
        <f t="shared" si="27"/>
        <v>6.9999999999999751</v>
      </c>
      <c r="V48" s="22">
        <f t="shared" si="26"/>
        <v>43.000000000000007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7"/>
        <v>-120.00000000000045</v>
      </c>
      <c r="AF48" s="21">
        <f t="shared" si="8"/>
        <v>0.95999999999999985</v>
      </c>
      <c r="AG48" s="188"/>
    </row>
    <row r="49" spans="1:33" ht="15.75" customHeight="1">
      <c r="A49" s="185" t="s">
        <v>67</v>
      </c>
      <c r="B49" s="37" t="s">
        <v>111</v>
      </c>
      <c r="C49" s="173" t="s">
        <v>112</v>
      </c>
      <c r="D49" s="174"/>
      <c r="E49" s="37">
        <v>21.13</v>
      </c>
      <c r="F49" s="4">
        <v>1881</v>
      </c>
      <c r="G49" s="4">
        <v>39745.53</v>
      </c>
      <c r="H49" s="22" t="s">
        <v>139</v>
      </c>
      <c r="I49" s="16">
        <v>10</v>
      </c>
      <c r="J49" s="18">
        <v>3000</v>
      </c>
      <c r="K49" s="17">
        <f t="shared" si="0"/>
        <v>300</v>
      </c>
      <c r="L49" s="16">
        <v>10</v>
      </c>
      <c r="M49" s="18">
        <f t="shared" si="25"/>
        <v>2893.8461538461524</v>
      </c>
      <c r="N49" s="18">
        <f t="shared" si="2"/>
        <v>289.38461538461524</v>
      </c>
      <c r="O49" s="19">
        <f t="shared" si="3"/>
        <v>0</v>
      </c>
      <c r="P49" s="20">
        <f t="shared" si="4"/>
        <v>-10.615384615384755</v>
      </c>
      <c r="Q49" s="21">
        <f t="shared" si="5"/>
        <v>0.9646153846153841</v>
      </c>
      <c r="R49" s="188"/>
      <c r="S49" s="28">
        <v>0.63333333333333319</v>
      </c>
      <c r="T49" s="28">
        <v>0.66041666666666654</v>
      </c>
      <c r="U49" s="4">
        <f t="shared" si="27"/>
        <v>5.9999999999999787</v>
      </c>
      <c r="V49" s="22">
        <f t="shared" si="26"/>
        <v>39.000000000000021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7"/>
        <v>-106.15384615384755</v>
      </c>
      <c r="AF49" s="21">
        <f t="shared" si="8"/>
        <v>0.9646153846153841</v>
      </c>
      <c r="AG49" s="188"/>
    </row>
    <row r="50" spans="1:33" ht="15.75" customHeight="1">
      <c r="A50" s="186" t="s">
        <v>67</v>
      </c>
      <c r="B50" s="37" t="s">
        <v>48</v>
      </c>
      <c r="C50" s="166"/>
      <c r="D50" s="167"/>
      <c r="E50" s="41"/>
      <c r="F50" s="4"/>
      <c r="G50" s="4"/>
      <c r="H50" s="4"/>
      <c r="I50" s="30">
        <v>9.9</v>
      </c>
      <c r="J50" s="18">
        <v>3000</v>
      </c>
      <c r="K50" s="17">
        <f t="shared" si="0"/>
        <v>303.030303030303</v>
      </c>
      <c r="L50" s="30">
        <v>9.9</v>
      </c>
      <c r="M50" s="18">
        <f>AVERAGE(M40:M49)</f>
        <v>2885.4340794628715</v>
      </c>
      <c r="N50" s="17">
        <f t="shared" si="2"/>
        <v>291.45798782453249</v>
      </c>
      <c r="O50" s="19">
        <f t="shared" si="3"/>
        <v>0</v>
      </c>
      <c r="P50" s="20">
        <f t="shared" si="4"/>
        <v>-11.572315205770508</v>
      </c>
      <c r="Q50" s="21">
        <f t="shared" si="5"/>
        <v>0.96181135982095733</v>
      </c>
      <c r="R50" s="189"/>
      <c r="S50" s="28"/>
      <c r="T50" s="28"/>
      <c r="U50" s="4"/>
      <c r="V50" s="22"/>
      <c r="W50" s="23"/>
      <c r="X50" s="23"/>
      <c r="Y50" s="31">
        <f>SUM(Y40:Y49)</f>
        <v>0</v>
      </c>
      <c r="Z50" s="31">
        <f>SUM(Z40:Z49)</f>
        <v>0</v>
      </c>
      <c r="AA50" s="180"/>
      <c r="AB50" s="181"/>
      <c r="AC50" s="31">
        <v>10</v>
      </c>
      <c r="AD50" s="31">
        <f>SUM(AD40:AD49)</f>
        <v>0</v>
      </c>
      <c r="AE50" s="19">
        <f t="shared" si="7"/>
        <v>-114.56592053712848</v>
      </c>
      <c r="AF50" s="21">
        <f t="shared" si="8"/>
        <v>0.96181135982095722</v>
      </c>
      <c r="AG50" s="189"/>
    </row>
    <row r="51" spans="1:33" ht="15.75" customHeight="1">
      <c r="A51" s="182" t="s">
        <v>70</v>
      </c>
      <c r="B51" s="37" t="s">
        <v>84</v>
      </c>
      <c r="C51" s="165" t="s">
        <v>118</v>
      </c>
      <c r="D51" s="165"/>
      <c r="E51" s="37">
        <v>46</v>
      </c>
      <c r="F51" s="42">
        <v>1149</v>
      </c>
      <c r="G51" s="4">
        <v>52854</v>
      </c>
      <c r="H51" s="22" t="s">
        <v>139</v>
      </c>
      <c r="I51" s="16">
        <v>17</v>
      </c>
      <c r="J51" s="18">
        <v>2000</v>
      </c>
      <c r="K51" s="17">
        <f t="shared" si="0"/>
        <v>117.64705882352941</v>
      </c>
      <c r="L51" s="16">
        <v>17</v>
      </c>
      <c r="M51" s="18">
        <f t="shared" ref="M51:M59" si="28">F51/V51*60</f>
        <v>1915.0000000000002</v>
      </c>
      <c r="N51" s="18">
        <f t="shared" si="2"/>
        <v>112.64705882352942</v>
      </c>
      <c r="O51" s="19">
        <f t="shared" si="3"/>
        <v>0</v>
      </c>
      <c r="P51" s="20">
        <f t="shared" si="4"/>
        <v>-4.9999999999999858</v>
      </c>
      <c r="Q51" s="21">
        <f t="shared" si="5"/>
        <v>0.95750000000000013</v>
      </c>
      <c r="R51" s="172">
        <f>Q60</f>
        <v>0.93581301700786579</v>
      </c>
      <c r="S51" s="28">
        <v>0.20833333333333334</v>
      </c>
      <c r="T51" s="28">
        <v>0.23333333333333334</v>
      </c>
      <c r="U51" s="28"/>
      <c r="V51" s="22">
        <f t="shared" ref="V51:V59" si="29">(T51-S51)*24*60</f>
        <v>35.999999999999993</v>
      </c>
      <c r="W51" s="28"/>
      <c r="X51" s="28"/>
      <c r="Y51" s="28"/>
      <c r="Z51" s="28"/>
      <c r="AA51" s="164"/>
      <c r="AB51" s="164"/>
      <c r="AC51" s="25">
        <v>9</v>
      </c>
      <c r="AD51" s="25"/>
      <c r="AE51" s="19">
        <f t="shared" si="7"/>
        <v>-84.999999999999773</v>
      </c>
      <c r="AF51" s="21">
        <f t="shared" si="8"/>
        <v>0.95750000000000013</v>
      </c>
      <c r="AG51" s="172">
        <f>AF60</f>
        <v>0.93581301700786579</v>
      </c>
    </row>
    <row r="52" spans="1:33" ht="15.75" customHeight="1">
      <c r="A52" s="182" t="s">
        <v>71</v>
      </c>
      <c r="B52" s="37" t="s">
        <v>84</v>
      </c>
      <c r="C52" s="165" t="s">
        <v>119</v>
      </c>
      <c r="D52" s="165"/>
      <c r="E52" s="37">
        <v>46</v>
      </c>
      <c r="F52" s="42">
        <v>1282</v>
      </c>
      <c r="G52" s="4">
        <v>58972</v>
      </c>
      <c r="H52" s="22" t="s">
        <v>139</v>
      </c>
      <c r="I52" s="16">
        <v>17</v>
      </c>
      <c r="J52" s="18">
        <v>2000</v>
      </c>
      <c r="K52" s="17">
        <f t="shared" si="0"/>
        <v>117.64705882352941</v>
      </c>
      <c r="L52" s="16">
        <v>17</v>
      </c>
      <c r="M52" s="18">
        <f t="shared" si="28"/>
        <v>1923.0000000000011</v>
      </c>
      <c r="N52" s="18">
        <f t="shared" si="2"/>
        <v>113.11764705882359</v>
      </c>
      <c r="O52" s="19">
        <f t="shared" si="3"/>
        <v>0</v>
      </c>
      <c r="P52" s="20">
        <f t="shared" si="4"/>
        <v>-4.529411764705813</v>
      </c>
      <c r="Q52" s="21">
        <f t="shared" si="5"/>
        <v>0.96150000000000058</v>
      </c>
      <c r="R52" s="172"/>
      <c r="S52" s="28">
        <v>0.23750000000000002</v>
      </c>
      <c r="T52" s="28">
        <v>0.26527777777777778</v>
      </c>
      <c r="U52" s="4">
        <f t="shared" ref="U52:U59" si="30">IF(S52=TIME(17,0,0),"",(S52-T51)*24*60)</f>
        <v>6.0000000000000187</v>
      </c>
      <c r="V52" s="22">
        <f t="shared" si="29"/>
        <v>39.999999999999979</v>
      </c>
      <c r="W52" s="23"/>
      <c r="X52" s="23"/>
      <c r="Y52" s="23"/>
      <c r="Z52" s="23"/>
      <c r="AA52" s="164"/>
      <c r="AB52" s="164"/>
      <c r="AC52" s="25"/>
      <c r="AD52" s="25"/>
      <c r="AE52" s="19">
        <f t="shared" si="7"/>
        <v>-76.999999999998863</v>
      </c>
      <c r="AF52" s="21">
        <f t="shared" si="8"/>
        <v>0.96150000000000058</v>
      </c>
      <c r="AG52" s="172"/>
    </row>
    <row r="53" spans="1:33" ht="15.75" customHeight="1">
      <c r="A53" s="182" t="s">
        <v>70</v>
      </c>
      <c r="B53" s="37" t="s">
        <v>78</v>
      </c>
      <c r="C53" s="173" t="s">
        <v>120</v>
      </c>
      <c r="D53" s="174"/>
      <c r="E53" s="37">
        <v>56.43</v>
      </c>
      <c r="F53" s="42">
        <v>1656</v>
      </c>
      <c r="G53" s="4">
        <v>93448.08</v>
      </c>
      <c r="H53" s="22" t="s">
        <v>139</v>
      </c>
      <c r="I53" s="16">
        <v>22</v>
      </c>
      <c r="J53" s="18">
        <v>2000</v>
      </c>
      <c r="K53" s="17">
        <f t="shared" si="0"/>
        <v>90.909090909090907</v>
      </c>
      <c r="L53" s="16">
        <v>22</v>
      </c>
      <c r="M53" s="18">
        <f t="shared" si="28"/>
        <v>1713.103448275861</v>
      </c>
      <c r="N53" s="18">
        <f t="shared" si="2"/>
        <v>77.868338557993681</v>
      </c>
      <c r="O53" s="19">
        <f t="shared" si="3"/>
        <v>0</v>
      </c>
      <c r="P53" s="20">
        <f t="shared" si="4"/>
        <v>-13.040752351097225</v>
      </c>
      <c r="Q53" s="21">
        <f t="shared" si="5"/>
        <v>0.85655172413793057</v>
      </c>
      <c r="R53" s="172"/>
      <c r="S53" s="28">
        <v>0.26944444444444443</v>
      </c>
      <c r="T53" s="28">
        <v>0.30972222222222223</v>
      </c>
      <c r="U53" s="4">
        <f t="shared" si="30"/>
        <v>5.9999999999999787</v>
      </c>
      <c r="V53" s="22">
        <f t="shared" si="29"/>
        <v>58.000000000000036</v>
      </c>
      <c r="W53" s="23"/>
      <c r="X53" s="23"/>
      <c r="Y53" s="26"/>
      <c r="Z53" s="26"/>
      <c r="AA53" s="164"/>
      <c r="AB53" s="164"/>
      <c r="AC53" s="25"/>
      <c r="AD53" s="25"/>
      <c r="AE53" s="19">
        <f t="shared" si="7"/>
        <v>-286.89655172413904</v>
      </c>
      <c r="AF53" s="21">
        <f t="shared" si="8"/>
        <v>0.85655172413793046</v>
      </c>
      <c r="AG53" s="172"/>
    </row>
    <row r="54" spans="1:33" ht="15.75" customHeight="1">
      <c r="A54" s="182" t="s">
        <v>1141</v>
      </c>
      <c r="B54" s="37" t="s">
        <v>78</v>
      </c>
      <c r="C54" s="43" t="s">
        <v>121</v>
      </c>
      <c r="D54" s="44"/>
      <c r="E54" s="37">
        <v>51.75</v>
      </c>
      <c r="F54" s="42">
        <v>1459</v>
      </c>
      <c r="G54" s="4">
        <v>75503.25</v>
      </c>
      <c r="H54" s="22" t="s">
        <v>139</v>
      </c>
      <c r="I54" s="16">
        <v>25</v>
      </c>
      <c r="J54" s="18">
        <v>2000</v>
      </c>
      <c r="K54" s="17">
        <f t="shared" si="0"/>
        <v>80</v>
      </c>
      <c r="L54" s="16">
        <v>25</v>
      </c>
      <c r="M54" s="18">
        <f t="shared" si="28"/>
        <v>1716.4705882352948</v>
      </c>
      <c r="N54" s="18">
        <f t="shared" si="2"/>
        <v>68.658823529411791</v>
      </c>
      <c r="O54" s="19">
        <f t="shared" si="3"/>
        <v>0</v>
      </c>
      <c r="P54" s="20">
        <f t="shared" si="4"/>
        <v>-11.341176470588209</v>
      </c>
      <c r="Q54" s="21">
        <f t="shared" si="5"/>
        <v>0.85823529411764743</v>
      </c>
      <c r="R54" s="172"/>
      <c r="S54" s="28">
        <v>0.31319444444444444</v>
      </c>
      <c r="T54" s="28">
        <v>0.34861111111111109</v>
      </c>
      <c r="U54" s="4">
        <f t="shared" si="30"/>
        <v>4.9999999999999822</v>
      </c>
      <c r="V54" s="22">
        <f t="shared" si="29"/>
        <v>50.999999999999979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7"/>
        <v>-283.52941176470517</v>
      </c>
      <c r="AF54" s="21">
        <f t="shared" si="8"/>
        <v>0.85823529411764743</v>
      </c>
      <c r="AG54" s="172"/>
    </row>
    <row r="55" spans="1:33" ht="15.75" customHeight="1">
      <c r="A55" s="182" t="s">
        <v>1142</v>
      </c>
      <c r="B55" s="37" t="s">
        <v>78</v>
      </c>
      <c r="C55" s="43" t="s">
        <v>122</v>
      </c>
      <c r="D55" s="44"/>
      <c r="E55" s="37">
        <v>54.09</v>
      </c>
      <c r="F55" s="42">
        <v>1348</v>
      </c>
      <c r="G55" s="4">
        <v>72913.320000000007</v>
      </c>
      <c r="H55" s="22" t="s">
        <v>139</v>
      </c>
      <c r="I55" s="16">
        <v>19</v>
      </c>
      <c r="J55" s="18">
        <v>2000</v>
      </c>
      <c r="K55" s="17">
        <f t="shared" si="0"/>
        <v>105.26315789473684</v>
      </c>
      <c r="L55" s="16">
        <v>19</v>
      </c>
      <c r="M55" s="18">
        <f t="shared" si="28"/>
        <v>1880.9302325581393</v>
      </c>
      <c r="N55" s="18">
        <f t="shared" si="2"/>
        <v>98.996328029375761</v>
      </c>
      <c r="O55" s="19">
        <f t="shared" si="3"/>
        <v>0</v>
      </c>
      <c r="P55" s="20">
        <f t="shared" si="4"/>
        <v>-6.2668298653610748</v>
      </c>
      <c r="Q55" s="21">
        <f t="shared" si="5"/>
        <v>0.94046511627906981</v>
      </c>
      <c r="R55" s="172"/>
      <c r="S55" s="28">
        <v>0.35277777777777775</v>
      </c>
      <c r="T55" s="28">
        <v>0.38263888888888886</v>
      </c>
      <c r="U55" s="4">
        <f t="shared" si="30"/>
        <v>5.9999999999999787</v>
      </c>
      <c r="V55" s="22">
        <f t="shared" si="29"/>
        <v>43.000000000000007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7"/>
        <v>-119.06976744186068</v>
      </c>
      <c r="AF55" s="21">
        <f t="shared" si="8"/>
        <v>0.9404651162790697</v>
      </c>
      <c r="AG55" s="172"/>
    </row>
    <row r="56" spans="1:33" ht="15.75" customHeight="1">
      <c r="A56" s="182" t="s">
        <v>70</v>
      </c>
      <c r="B56" s="37" t="s">
        <v>78</v>
      </c>
      <c r="C56" s="173" t="s">
        <v>123</v>
      </c>
      <c r="D56" s="174"/>
      <c r="E56" s="37">
        <v>55.56</v>
      </c>
      <c r="F56" s="42">
        <v>1862</v>
      </c>
      <c r="G56" s="4">
        <v>103452.72</v>
      </c>
      <c r="H56" s="22" t="s">
        <v>139</v>
      </c>
      <c r="I56" s="16">
        <v>17</v>
      </c>
      <c r="J56" s="18">
        <v>2000</v>
      </c>
      <c r="K56" s="17">
        <f t="shared" si="0"/>
        <v>117.64705882352941</v>
      </c>
      <c r="L56" s="16">
        <v>17</v>
      </c>
      <c r="M56" s="18">
        <f t="shared" si="28"/>
        <v>1926.2068965517255</v>
      </c>
      <c r="N56" s="18">
        <f t="shared" si="2"/>
        <v>113.30628803245445</v>
      </c>
      <c r="O56" s="19">
        <f t="shared" si="3"/>
        <v>0</v>
      </c>
      <c r="P56" s="20">
        <f t="shared" si="4"/>
        <v>-4.3407707910749593</v>
      </c>
      <c r="Q56" s="21">
        <f t="shared" si="5"/>
        <v>0.96310344827586281</v>
      </c>
      <c r="R56" s="172"/>
      <c r="S56" s="28">
        <v>0.70833333333333337</v>
      </c>
      <c r="T56" s="28">
        <v>0.74861111111111112</v>
      </c>
      <c r="U56" s="4" t="str">
        <f t="shared" si="30"/>
        <v/>
      </c>
      <c r="V56" s="22">
        <f t="shared" si="29"/>
        <v>57.999999999999957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7"/>
        <v>-73.793103448274451</v>
      </c>
      <c r="AF56" s="21">
        <f t="shared" si="8"/>
        <v>0.96310344827586281</v>
      </c>
      <c r="AG56" s="172"/>
    </row>
    <row r="57" spans="1:33" ht="15.75" customHeight="1">
      <c r="A57" s="182" t="s">
        <v>70</v>
      </c>
      <c r="B57" s="37" t="s">
        <v>78</v>
      </c>
      <c r="C57" s="173" t="s">
        <v>124</v>
      </c>
      <c r="D57" s="174"/>
      <c r="E57" s="37">
        <v>55.32</v>
      </c>
      <c r="F57" s="42">
        <v>1200</v>
      </c>
      <c r="G57" s="4">
        <v>66384</v>
      </c>
      <c r="H57" s="22" t="s">
        <v>139</v>
      </c>
      <c r="I57" s="16">
        <v>15</v>
      </c>
      <c r="J57" s="18">
        <v>2000</v>
      </c>
      <c r="K57" s="17">
        <f t="shared" si="0"/>
        <v>133.33333333333334</v>
      </c>
      <c r="L57" s="16">
        <v>15</v>
      </c>
      <c r="M57" s="18">
        <f t="shared" si="28"/>
        <v>1945.9459459459445</v>
      </c>
      <c r="N57" s="18">
        <f t="shared" si="2"/>
        <v>129.72972972972963</v>
      </c>
      <c r="O57" s="19">
        <f t="shared" si="3"/>
        <v>0</v>
      </c>
      <c r="P57" s="20">
        <f t="shared" si="4"/>
        <v>-3.603603603603716</v>
      </c>
      <c r="Q57" s="21">
        <f t="shared" si="5"/>
        <v>0.97297297297297214</v>
      </c>
      <c r="R57" s="172"/>
      <c r="S57" s="28">
        <v>0.75208333333333333</v>
      </c>
      <c r="T57" s="28">
        <v>0.77777777777777779</v>
      </c>
      <c r="U57" s="4">
        <f t="shared" si="30"/>
        <v>4.9999999999999822</v>
      </c>
      <c r="V57" s="22">
        <f t="shared" si="29"/>
        <v>37.000000000000028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7"/>
        <v>-54.054054054055541</v>
      </c>
      <c r="AF57" s="21">
        <f t="shared" si="8"/>
        <v>0.97297297297297225</v>
      </c>
      <c r="AG57" s="172"/>
    </row>
    <row r="58" spans="1:33" ht="15.75" customHeight="1">
      <c r="A58" s="182" t="s">
        <v>70</v>
      </c>
      <c r="B58" s="37" t="s">
        <v>78</v>
      </c>
      <c r="C58" s="173" t="s">
        <v>125</v>
      </c>
      <c r="D58" s="174"/>
      <c r="E58" s="37">
        <v>54.29</v>
      </c>
      <c r="F58" s="42">
        <v>1662</v>
      </c>
      <c r="G58" s="4">
        <v>90229.98</v>
      </c>
      <c r="H58" s="22" t="s">
        <v>139</v>
      </c>
      <c r="I58" s="16">
        <v>20</v>
      </c>
      <c r="J58" s="18">
        <v>2000</v>
      </c>
      <c r="K58" s="17">
        <f t="shared" si="0"/>
        <v>100</v>
      </c>
      <c r="L58" s="16">
        <v>20</v>
      </c>
      <c r="M58" s="18">
        <f t="shared" si="28"/>
        <v>1917.6923076923088</v>
      </c>
      <c r="N58" s="18">
        <f t="shared" si="2"/>
        <v>95.884615384615444</v>
      </c>
      <c r="O58" s="19">
        <f t="shared" si="3"/>
        <v>0</v>
      </c>
      <c r="P58" s="20">
        <f t="shared" si="4"/>
        <v>-4.1153846153845564</v>
      </c>
      <c r="Q58" s="21">
        <f t="shared" si="5"/>
        <v>0.95884615384615446</v>
      </c>
      <c r="R58" s="172"/>
      <c r="S58" s="28">
        <v>0.78263888888888888</v>
      </c>
      <c r="T58" s="28">
        <v>0.81874999999999998</v>
      </c>
      <c r="U58" s="4">
        <f t="shared" si="30"/>
        <v>6.9999999999999751</v>
      </c>
      <c r="V58" s="22">
        <f t="shared" si="29"/>
        <v>51.999999999999972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7"/>
        <v>-82.307692307691241</v>
      </c>
      <c r="AF58" s="21">
        <f t="shared" si="8"/>
        <v>0.95884615384615435</v>
      </c>
      <c r="AG58" s="172"/>
    </row>
    <row r="59" spans="1:33">
      <c r="A59" s="182" t="s">
        <v>70</v>
      </c>
      <c r="B59" s="37" t="s">
        <v>78</v>
      </c>
      <c r="C59" s="173" t="s">
        <v>126</v>
      </c>
      <c r="D59" s="174"/>
      <c r="E59" s="37">
        <v>57.73</v>
      </c>
      <c r="F59" s="42">
        <v>887</v>
      </c>
      <c r="G59" s="4">
        <v>51206.509999999995</v>
      </c>
      <c r="H59" s="22" t="s">
        <v>139</v>
      </c>
      <c r="I59" s="16">
        <v>16</v>
      </c>
      <c r="J59" s="18">
        <v>1500</v>
      </c>
      <c r="K59" s="17">
        <f t="shared" si="0"/>
        <v>93.75</v>
      </c>
      <c r="L59" s="16">
        <v>16</v>
      </c>
      <c r="M59" s="18">
        <f t="shared" si="28"/>
        <v>1438.3783783783772</v>
      </c>
      <c r="N59" s="18">
        <f t="shared" si="2"/>
        <v>89.898648648648575</v>
      </c>
      <c r="O59" s="19">
        <f t="shared" si="3"/>
        <v>0</v>
      </c>
      <c r="P59" s="20">
        <f t="shared" si="4"/>
        <v>-3.8513513513514255</v>
      </c>
      <c r="Q59" s="21">
        <f t="shared" si="5"/>
        <v>0.95891891891891812</v>
      </c>
      <c r="R59" s="172"/>
      <c r="S59" s="28">
        <v>0.82361111111111107</v>
      </c>
      <c r="T59" s="28">
        <v>0.84930555555555554</v>
      </c>
      <c r="U59" s="4">
        <f t="shared" si="30"/>
        <v>6.9999999999999751</v>
      </c>
      <c r="V59" s="22">
        <f t="shared" si="29"/>
        <v>37.000000000000028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7"/>
        <v>-61.621621621622808</v>
      </c>
      <c r="AF59" s="21">
        <f t="shared" si="8"/>
        <v>0.95891891891891812</v>
      </c>
      <c r="AG59" s="172"/>
    </row>
    <row r="60" spans="1:33">
      <c r="A60" s="183" t="s">
        <v>70</v>
      </c>
      <c r="B60" s="37" t="s">
        <v>48</v>
      </c>
      <c r="C60" s="177"/>
      <c r="D60" s="177"/>
      <c r="E60" s="38"/>
      <c r="F60" s="17"/>
      <c r="G60" s="17"/>
      <c r="H60" s="4"/>
      <c r="I60" s="30">
        <v>18.666666666666668</v>
      </c>
      <c r="J60" s="18">
        <v>1944.4444444444443</v>
      </c>
      <c r="K60" s="17">
        <f t="shared" si="0"/>
        <v>104.16666666666666</v>
      </c>
      <c r="L60" s="30">
        <v>18.666666666666668</v>
      </c>
      <c r="M60" s="18">
        <f>AVERAGE(M51:M59)</f>
        <v>1819.636421959739</v>
      </c>
      <c r="N60" s="17">
        <f t="shared" si="2"/>
        <v>97.480522604986007</v>
      </c>
      <c r="O60" s="19">
        <f t="shared" si="3"/>
        <v>0</v>
      </c>
      <c r="P60" s="20">
        <f t="shared" si="4"/>
        <v>-6.6861440616806505</v>
      </c>
      <c r="Q60" s="21">
        <f t="shared" si="5"/>
        <v>0.93581301700786579</v>
      </c>
      <c r="R60" s="172"/>
      <c r="S60" s="28"/>
      <c r="T60" s="28"/>
      <c r="U60" s="4"/>
      <c r="V60" s="22"/>
      <c r="W60" s="17"/>
      <c r="X60" s="17"/>
      <c r="Y60" s="31">
        <f>SUM(Y51:Y59)</f>
        <v>0</v>
      </c>
      <c r="Z60" s="31">
        <f>SUM(Z51:Z59)</f>
        <v>0</v>
      </c>
      <c r="AA60" s="168"/>
      <c r="AB60" s="168"/>
      <c r="AC60" s="31">
        <v>9</v>
      </c>
      <c r="AD60" s="31">
        <f>SUM(AD51:AD59)</f>
        <v>0</v>
      </c>
      <c r="AE60" s="19">
        <f>M60-J60</f>
        <v>-124.80802248470536</v>
      </c>
      <c r="AF60" s="21">
        <f t="shared" si="8"/>
        <v>0.93581301700786579</v>
      </c>
      <c r="AG60" s="172"/>
    </row>
    <row r="61" spans="1:33" ht="15.75" customHeight="1">
      <c r="A61" s="178" t="s">
        <v>73</v>
      </c>
      <c r="B61" s="4" t="s">
        <v>84</v>
      </c>
      <c r="C61" s="165" t="s">
        <v>127</v>
      </c>
      <c r="D61" s="165"/>
      <c r="E61" s="37">
        <v>26.97</v>
      </c>
      <c r="F61" s="42">
        <v>1863</v>
      </c>
      <c r="G61" s="4">
        <v>50245.11</v>
      </c>
      <c r="H61" s="22" t="s">
        <v>139</v>
      </c>
      <c r="I61" s="16">
        <v>8</v>
      </c>
      <c r="J61" s="18">
        <v>1500</v>
      </c>
      <c r="K61" s="17">
        <f t="shared" si="0"/>
        <v>187.5</v>
      </c>
      <c r="L61" s="16">
        <v>8</v>
      </c>
      <c r="M61" s="18">
        <f t="shared" ref="M61:M65" si="31">F61/V61*60</f>
        <v>1433.0769230769231</v>
      </c>
      <c r="N61" s="17">
        <f t="shared" si="2"/>
        <v>179.13461538461539</v>
      </c>
      <c r="O61" s="19">
        <f t="shared" si="3"/>
        <v>0</v>
      </c>
      <c r="P61" s="20">
        <f t="shared" si="4"/>
        <v>-8.3653846153846132</v>
      </c>
      <c r="Q61" s="21">
        <f t="shared" si="5"/>
        <v>0.95538461538461539</v>
      </c>
      <c r="R61" s="172">
        <f>Q66</f>
        <v>0.96612078754578778</v>
      </c>
      <c r="S61" s="28">
        <v>0.20833333333333334</v>
      </c>
      <c r="T61" s="28">
        <v>0.26250000000000001</v>
      </c>
      <c r="U61" s="4"/>
      <c r="V61" s="22">
        <f t="shared" ref="V61:V65" si="32">(T61-S61)*24*60</f>
        <v>78</v>
      </c>
      <c r="W61" s="28"/>
      <c r="X61" s="28"/>
      <c r="Y61" s="28"/>
      <c r="Z61" s="28"/>
      <c r="AA61" s="164"/>
      <c r="AB61" s="164"/>
      <c r="AC61" s="25">
        <v>5</v>
      </c>
      <c r="AD61" s="25"/>
      <c r="AE61" s="19">
        <f t="shared" ref="AE61:AE72" si="33">M61-J61</f>
        <v>-66.923076923076906</v>
      </c>
      <c r="AF61" s="21">
        <f t="shared" si="8"/>
        <v>0.95538461538461539</v>
      </c>
      <c r="AG61" s="172">
        <f>AF66</f>
        <v>0.96612078754578778</v>
      </c>
    </row>
    <row r="62" spans="1:33" ht="15.75" customHeight="1">
      <c r="A62" s="178" t="s">
        <v>73</v>
      </c>
      <c r="B62" s="4" t="s">
        <v>84</v>
      </c>
      <c r="C62" s="165" t="s">
        <v>128</v>
      </c>
      <c r="D62" s="165"/>
      <c r="E62" s="37">
        <v>27.4</v>
      </c>
      <c r="F62" s="42">
        <v>1079</v>
      </c>
      <c r="G62" s="4">
        <v>29564.6</v>
      </c>
      <c r="H62" s="22" t="s">
        <v>139</v>
      </c>
      <c r="I62" s="16">
        <v>10</v>
      </c>
      <c r="J62" s="18">
        <v>1500</v>
      </c>
      <c r="K62" s="17">
        <f t="shared" si="0"/>
        <v>150</v>
      </c>
      <c r="L62" s="16">
        <v>10</v>
      </c>
      <c r="M62" s="18">
        <f t="shared" si="31"/>
        <v>1438.6666666666667</v>
      </c>
      <c r="N62" s="17">
        <f t="shared" si="2"/>
        <v>143.86666666666667</v>
      </c>
      <c r="O62" s="19">
        <f t="shared" si="3"/>
        <v>0</v>
      </c>
      <c r="P62" s="20">
        <f t="shared" si="4"/>
        <v>-6.1333333333333258</v>
      </c>
      <c r="Q62" s="21">
        <f t="shared" si="5"/>
        <v>0.95911111111111114</v>
      </c>
      <c r="R62" s="172"/>
      <c r="S62" s="28">
        <v>0.2673611111111111</v>
      </c>
      <c r="T62" s="28">
        <v>0.2986111111111111</v>
      </c>
      <c r="U62" s="4">
        <f t="shared" ref="U62:U65" si="34">(S62-T61)*24*60</f>
        <v>6.9999999999999751</v>
      </c>
      <c r="V62" s="22">
        <f t="shared" si="32"/>
        <v>45</v>
      </c>
      <c r="W62" s="4"/>
      <c r="X62" s="4"/>
      <c r="Y62" s="4"/>
      <c r="Z62" s="4"/>
      <c r="AA62" s="164"/>
      <c r="AB62" s="164"/>
      <c r="AC62" s="25"/>
      <c r="AD62" s="25"/>
      <c r="AE62" s="19">
        <f t="shared" si="33"/>
        <v>-61.333333333333258</v>
      </c>
      <c r="AF62" s="21">
        <f t="shared" si="8"/>
        <v>0.95911111111111114</v>
      </c>
      <c r="AG62" s="172"/>
    </row>
    <row r="63" spans="1:33" ht="15.75" customHeight="1">
      <c r="A63" s="178" t="s">
        <v>73</v>
      </c>
      <c r="B63" s="4" t="s">
        <v>111</v>
      </c>
      <c r="C63" s="165" t="s">
        <v>129</v>
      </c>
      <c r="D63" s="165"/>
      <c r="E63" s="37">
        <v>31</v>
      </c>
      <c r="F63" s="42">
        <v>695</v>
      </c>
      <c r="G63" s="4">
        <v>21545</v>
      </c>
      <c r="H63" s="22" t="s">
        <v>139</v>
      </c>
      <c r="I63" s="16">
        <v>13</v>
      </c>
      <c r="J63" s="18">
        <v>2000</v>
      </c>
      <c r="K63" s="17">
        <f t="shared" si="0"/>
        <v>153.84615384615384</v>
      </c>
      <c r="L63" s="16">
        <v>13</v>
      </c>
      <c r="M63" s="18">
        <f t="shared" si="31"/>
        <v>1985.7142857142849</v>
      </c>
      <c r="N63" s="17">
        <f t="shared" si="2"/>
        <v>152.74725274725267</v>
      </c>
      <c r="O63" s="19">
        <f t="shared" si="3"/>
        <v>0</v>
      </c>
      <c r="P63" s="20">
        <f t="shared" si="4"/>
        <v>-1.0989010989011661</v>
      </c>
      <c r="Q63" s="21">
        <f t="shared" si="5"/>
        <v>0.99285714285714244</v>
      </c>
      <c r="R63" s="172"/>
      <c r="S63" s="28">
        <v>0.30208333333333331</v>
      </c>
      <c r="T63" s="28">
        <v>0.31666666666666665</v>
      </c>
      <c r="U63" s="4">
        <f t="shared" si="34"/>
        <v>4.9999999999999822</v>
      </c>
      <c r="V63" s="22">
        <f t="shared" si="32"/>
        <v>21.000000000000007</v>
      </c>
      <c r="W63" s="4"/>
      <c r="X63" s="4"/>
      <c r="Y63" s="4"/>
      <c r="Z63" s="4"/>
      <c r="AA63" s="164"/>
      <c r="AB63" s="164"/>
      <c r="AC63" s="25"/>
      <c r="AD63" s="25"/>
      <c r="AE63" s="19">
        <f t="shared" si="33"/>
        <v>-14.28571428571513</v>
      </c>
      <c r="AF63" s="21">
        <f t="shared" si="8"/>
        <v>0.99285714285714244</v>
      </c>
      <c r="AG63" s="172"/>
    </row>
    <row r="64" spans="1:33" ht="15.75" customHeight="1">
      <c r="A64" s="178" t="s">
        <v>73</v>
      </c>
      <c r="B64" s="4" t="s">
        <v>111</v>
      </c>
      <c r="C64" s="165" t="s">
        <v>130</v>
      </c>
      <c r="D64" s="165"/>
      <c r="E64" s="37">
        <v>37.85</v>
      </c>
      <c r="F64" s="42">
        <v>2304</v>
      </c>
      <c r="G64" s="4">
        <v>87206.400000000009</v>
      </c>
      <c r="H64" s="22" t="s">
        <v>139</v>
      </c>
      <c r="I64" s="16">
        <v>12</v>
      </c>
      <c r="J64" s="18">
        <v>2000</v>
      </c>
      <c r="K64" s="17">
        <f t="shared" si="0"/>
        <v>166.66666666666666</v>
      </c>
      <c r="L64" s="16">
        <v>12</v>
      </c>
      <c r="M64" s="18">
        <f t="shared" si="31"/>
        <v>1920.0000000000005</v>
      </c>
      <c r="N64" s="17">
        <f t="shared" si="2"/>
        <v>160.00000000000003</v>
      </c>
      <c r="O64" s="19">
        <f t="shared" si="3"/>
        <v>0</v>
      </c>
      <c r="P64" s="20">
        <f t="shared" si="4"/>
        <v>-6.6666666666666288</v>
      </c>
      <c r="Q64" s="21">
        <f t="shared" si="5"/>
        <v>0.96000000000000019</v>
      </c>
      <c r="R64" s="172"/>
      <c r="S64" s="28">
        <v>0.3208333333333333</v>
      </c>
      <c r="T64" s="28">
        <v>0.37083333333333329</v>
      </c>
      <c r="U64" s="4">
        <f t="shared" si="34"/>
        <v>5.9999999999999787</v>
      </c>
      <c r="V64" s="22">
        <f t="shared" si="32"/>
        <v>71.999999999999986</v>
      </c>
      <c r="W64" s="4"/>
      <c r="X64" s="4"/>
      <c r="Y64" s="4"/>
      <c r="Z64" s="4"/>
      <c r="AA64" s="164"/>
      <c r="AB64" s="164"/>
      <c r="AC64" s="25"/>
      <c r="AD64" s="25"/>
      <c r="AE64" s="19">
        <f t="shared" si="33"/>
        <v>-79.999999999999545</v>
      </c>
      <c r="AF64" s="21">
        <f t="shared" si="8"/>
        <v>0.96000000000000019</v>
      </c>
      <c r="AG64" s="172"/>
    </row>
    <row r="65" spans="1:33">
      <c r="A65" s="179" t="s">
        <v>73</v>
      </c>
      <c r="B65" s="4" t="s">
        <v>111</v>
      </c>
      <c r="C65" s="165" t="s">
        <v>131</v>
      </c>
      <c r="D65" s="165"/>
      <c r="E65" s="37">
        <v>34.36</v>
      </c>
      <c r="F65" s="42">
        <v>1538</v>
      </c>
      <c r="G65" s="4">
        <v>52845.68</v>
      </c>
      <c r="H65" s="22" t="s">
        <v>139</v>
      </c>
      <c r="I65" s="16">
        <v>10</v>
      </c>
      <c r="J65" s="18">
        <v>3000</v>
      </c>
      <c r="K65" s="17">
        <f t="shared" si="0"/>
        <v>300</v>
      </c>
      <c r="L65" s="16">
        <v>10</v>
      </c>
      <c r="M65" s="18">
        <f t="shared" si="31"/>
        <v>2883.7500000000036</v>
      </c>
      <c r="N65" s="17">
        <f t="shared" si="2"/>
        <v>288.37500000000034</v>
      </c>
      <c r="O65" s="19">
        <f t="shared" si="3"/>
        <v>0</v>
      </c>
      <c r="P65" s="20">
        <f t="shared" si="4"/>
        <v>-11.624999999999659</v>
      </c>
      <c r="Q65" s="21">
        <f t="shared" si="5"/>
        <v>0.96125000000000116</v>
      </c>
      <c r="R65" s="172"/>
      <c r="S65" s="28">
        <v>0.37638888888888883</v>
      </c>
      <c r="T65" s="28">
        <v>0.39861111111111103</v>
      </c>
      <c r="U65" s="4">
        <f t="shared" si="34"/>
        <v>7.9999999999999716</v>
      </c>
      <c r="V65" s="22">
        <f t="shared" si="32"/>
        <v>31.999999999999964</v>
      </c>
      <c r="W65" s="23"/>
      <c r="X65" s="23"/>
      <c r="Y65" s="23"/>
      <c r="Z65" s="23"/>
      <c r="AA65" s="164"/>
      <c r="AB65" s="164"/>
      <c r="AC65" s="25"/>
      <c r="AD65" s="25"/>
      <c r="AE65" s="19">
        <f t="shared" si="33"/>
        <v>-116.24999999999636</v>
      </c>
      <c r="AF65" s="21">
        <f t="shared" si="8"/>
        <v>0.96125000000000116</v>
      </c>
      <c r="AG65" s="172"/>
    </row>
    <row r="66" spans="1:33">
      <c r="A66" s="179" t="s">
        <v>73</v>
      </c>
      <c r="B66" s="37" t="s">
        <v>1143</v>
      </c>
      <c r="C66" s="177"/>
      <c r="D66" s="177"/>
      <c r="E66" s="38"/>
      <c r="F66" s="17"/>
      <c r="G66" s="17"/>
      <c r="H66" s="4"/>
      <c r="I66" s="30">
        <v>10.6</v>
      </c>
      <c r="J66" s="18">
        <v>2000</v>
      </c>
      <c r="K66" s="17">
        <f t="shared" si="0"/>
        <v>188.67924528301887</v>
      </c>
      <c r="L66" s="30">
        <v>10.6</v>
      </c>
      <c r="M66" s="18">
        <f>AVERAGE(M61:M65)</f>
        <v>1932.2415750915757</v>
      </c>
      <c r="N66" s="17">
        <f t="shared" si="2"/>
        <v>182.28694104637506</v>
      </c>
      <c r="O66" s="19">
        <f t="shared" si="3"/>
        <v>0</v>
      </c>
      <c r="P66" s="20">
        <f t="shared" si="4"/>
        <v>-6.3923042366438096</v>
      </c>
      <c r="Q66" s="21">
        <f t="shared" si="5"/>
        <v>0.96612078754578778</v>
      </c>
      <c r="R66" s="172"/>
      <c r="S66" s="28"/>
      <c r="T66" s="28"/>
      <c r="U66" s="17"/>
      <c r="V66" s="22"/>
      <c r="W66" s="17"/>
      <c r="X66" s="17"/>
      <c r="Y66" s="31">
        <f>SUM(Y61:Y65)</f>
        <v>0</v>
      </c>
      <c r="Z66" s="31">
        <f>SUM(Z61:Z65)</f>
        <v>0</v>
      </c>
      <c r="AA66" s="168"/>
      <c r="AB66" s="168"/>
      <c r="AC66" s="31">
        <v>5</v>
      </c>
      <c r="AD66" s="31">
        <f>SUM(AD61:AD65)</f>
        <v>0</v>
      </c>
      <c r="AE66" s="19">
        <f t="shared" si="33"/>
        <v>-67.758424908424331</v>
      </c>
      <c r="AF66" s="21">
        <f t="shared" si="8"/>
        <v>0.96612078754578778</v>
      </c>
      <c r="AG66" s="172"/>
    </row>
    <row r="67" spans="1:33" ht="15.75" customHeight="1">
      <c r="A67" s="169" t="s">
        <v>75</v>
      </c>
      <c r="B67" s="4" t="s">
        <v>100</v>
      </c>
      <c r="C67" s="165" t="s">
        <v>133</v>
      </c>
      <c r="D67" s="165"/>
      <c r="E67" s="37">
        <v>20.2</v>
      </c>
      <c r="F67" s="4">
        <v>1704</v>
      </c>
      <c r="G67" s="4">
        <v>34420.799999999996</v>
      </c>
      <c r="H67" s="22" t="s">
        <v>139</v>
      </c>
      <c r="I67" s="16">
        <v>19</v>
      </c>
      <c r="J67" s="18">
        <v>2400</v>
      </c>
      <c r="K67" s="17">
        <f t="shared" si="0"/>
        <v>126.31578947368421</v>
      </c>
      <c r="L67" s="16">
        <v>19</v>
      </c>
      <c r="M67" s="18">
        <f t="shared" ref="M67:M71" si="35">F67/V67*60</f>
        <v>2323.6363636363635</v>
      </c>
      <c r="N67" s="17">
        <f t="shared" si="2"/>
        <v>122.29665071770334</v>
      </c>
      <c r="O67" s="19">
        <f t="shared" si="3"/>
        <v>0</v>
      </c>
      <c r="P67" s="20">
        <f t="shared" si="4"/>
        <v>-4.0191387559808618</v>
      </c>
      <c r="Q67" s="21">
        <f t="shared" si="5"/>
        <v>0.96818181818181814</v>
      </c>
      <c r="R67" s="172">
        <f>Q72</f>
        <v>0.95728031315160322</v>
      </c>
      <c r="S67" s="28">
        <v>0.125</v>
      </c>
      <c r="T67" s="28">
        <v>0.15555555555555556</v>
      </c>
      <c r="U67" s="28"/>
      <c r="V67" s="22">
        <f t="shared" ref="V67:V71" si="36">(T67-S67)*24*60</f>
        <v>44</v>
      </c>
      <c r="W67" s="23">
        <f>T67</f>
        <v>0.15555555555555556</v>
      </c>
      <c r="X67" s="23">
        <f>S68</f>
        <v>0.17569444444444446</v>
      </c>
      <c r="Y67" s="23"/>
      <c r="Z67" s="23"/>
      <c r="AA67" s="164"/>
      <c r="AB67" s="164"/>
      <c r="AC67" s="25">
        <v>5</v>
      </c>
      <c r="AD67" s="25"/>
      <c r="AE67" s="19">
        <f t="shared" si="33"/>
        <v>-76.363636363636488</v>
      </c>
      <c r="AF67" s="21">
        <f t="shared" si="8"/>
        <v>0.96818181818181814</v>
      </c>
      <c r="AG67" s="172">
        <f>AF72</f>
        <v>0.95728031315160311</v>
      </c>
    </row>
    <row r="68" spans="1:33" ht="15.75" customHeight="1">
      <c r="A68" s="170" t="s">
        <v>75</v>
      </c>
      <c r="B68" s="4" t="s">
        <v>100</v>
      </c>
      <c r="C68" s="165" t="s">
        <v>109</v>
      </c>
      <c r="D68" s="165"/>
      <c r="E68" s="37">
        <v>24.45</v>
      </c>
      <c r="F68" s="4">
        <v>2060</v>
      </c>
      <c r="G68" s="4">
        <v>50367</v>
      </c>
      <c r="H68" s="22" t="s">
        <v>139</v>
      </c>
      <c r="I68" s="16">
        <v>20</v>
      </c>
      <c r="J68" s="18">
        <v>2400</v>
      </c>
      <c r="K68" s="17">
        <f t="shared" si="0"/>
        <v>120</v>
      </c>
      <c r="L68" s="16">
        <v>20</v>
      </c>
      <c r="M68" s="18">
        <f t="shared" si="35"/>
        <v>2288.8888888888887</v>
      </c>
      <c r="N68" s="17">
        <f t="shared" si="2"/>
        <v>114.44444444444443</v>
      </c>
      <c r="O68" s="19">
        <f t="shared" si="3"/>
        <v>0</v>
      </c>
      <c r="P68" s="20">
        <f t="shared" si="4"/>
        <v>-5.5555555555555713</v>
      </c>
      <c r="Q68" s="21">
        <f t="shared" si="5"/>
        <v>0.95370370370370361</v>
      </c>
      <c r="R68" s="172"/>
      <c r="S68" s="28">
        <v>0.17569444444444446</v>
      </c>
      <c r="T68" s="28">
        <v>0.21319444444444446</v>
      </c>
      <c r="U68" s="4">
        <f t="shared" ref="U68:U71" si="37">(S68-T67)*24*60</f>
        <v>29.000000000000018</v>
      </c>
      <c r="V68" s="22">
        <f t="shared" si="36"/>
        <v>54.000000000000007</v>
      </c>
      <c r="W68" s="23"/>
      <c r="X68" s="23"/>
      <c r="Y68" s="23"/>
      <c r="Z68" s="23"/>
      <c r="AA68" s="164"/>
      <c r="AB68" s="164"/>
      <c r="AC68" s="25"/>
      <c r="AD68" s="25"/>
      <c r="AE68" s="19">
        <f t="shared" si="33"/>
        <v>-111.11111111111131</v>
      </c>
      <c r="AF68" s="21">
        <f t="shared" si="8"/>
        <v>0.95370370370370361</v>
      </c>
      <c r="AG68" s="172"/>
    </row>
    <row r="69" spans="1:33" ht="15.75" customHeight="1">
      <c r="A69" s="170" t="s">
        <v>1144</v>
      </c>
      <c r="B69" s="4" t="s">
        <v>100</v>
      </c>
      <c r="C69" s="165" t="s">
        <v>136</v>
      </c>
      <c r="D69" s="165"/>
      <c r="E69" s="37">
        <v>24.43</v>
      </c>
      <c r="F69" s="4">
        <v>4900</v>
      </c>
      <c r="G69" s="4">
        <v>119707</v>
      </c>
      <c r="H69" s="22" t="s">
        <v>139</v>
      </c>
      <c r="I69" s="16">
        <v>14</v>
      </c>
      <c r="J69" s="18">
        <v>2400</v>
      </c>
      <c r="K69" s="17">
        <f t="shared" ref="K69:K72" si="38">J69/I69</f>
        <v>171.42857142857142</v>
      </c>
      <c r="L69" s="16">
        <v>14</v>
      </c>
      <c r="M69" s="18">
        <f t="shared" si="35"/>
        <v>2296.8750000000005</v>
      </c>
      <c r="N69" s="17">
        <f t="shared" ref="N69:N72" si="39">M69/L69</f>
        <v>164.06250000000003</v>
      </c>
      <c r="O69" s="19">
        <f t="shared" ref="O69:O72" si="40">L69-I69</f>
        <v>0</v>
      </c>
      <c r="P69" s="20">
        <f t="shared" ref="P69:P72" si="41">N69-K69</f>
        <v>-7.366071428571388</v>
      </c>
      <c r="Q69" s="21">
        <f t="shared" ref="Q69:Q72" si="42">N69/K69</f>
        <v>0.95703125000000022</v>
      </c>
      <c r="R69" s="172"/>
      <c r="S69" s="28">
        <v>0.21736111111111114</v>
      </c>
      <c r="T69" s="28">
        <v>0.30625000000000002</v>
      </c>
      <c r="U69" s="4">
        <f t="shared" si="37"/>
        <v>6.0000000000000187</v>
      </c>
      <c r="V69" s="22">
        <f t="shared" si="36"/>
        <v>127.99999999999997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33"/>
        <v>-103.12499999999955</v>
      </c>
      <c r="AF69" s="21">
        <f t="shared" ref="AF69:AF72" si="43">M69/J69</f>
        <v>0.95703125000000022</v>
      </c>
      <c r="AG69" s="172"/>
    </row>
    <row r="70" spans="1:33" ht="15.75" customHeight="1">
      <c r="A70" s="170" t="s">
        <v>75</v>
      </c>
      <c r="B70" s="4" t="s">
        <v>100</v>
      </c>
      <c r="C70" s="165" t="s">
        <v>138</v>
      </c>
      <c r="D70" s="165"/>
      <c r="E70" s="37">
        <v>22.69</v>
      </c>
      <c r="F70" s="4">
        <v>876</v>
      </c>
      <c r="G70" s="4">
        <v>19876.440000000002</v>
      </c>
      <c r="H70" s="22" t="s">
        <v>139</v>
      </c>
      <c r="I70" s="16">
        <v>15</v>
      </c>
      <c r="J70" s="18">
        <v>2400</v>
      </c>
      <c r="K70" s="17">
        <f t="shared" si="38"/>
        <v>160</v>
      </c>
      <c r="L70" s="16">
        <v>15</v>
      </c>
      <c r="M70" s="18">
        <f t="shared" si="35"/>
        <v>2285.217391304348</v>
      </c>
      <c r="N70" s="17">
        <f t="shared" si="39"/>
        <v>152.34782608695653</v>
      </c>
      <c r="O70" s="19">
        <f t="shared" si="40"/>
        <v>0</v>
      </c>
      <c r="P70" s="20">
        <f t="shared" si="41"/>
        <v>-7.6521739130434696</v>
      </c>
      <c r="Q70" s="21">
        <f t="shared" si="42"/>
        <v>0.95217391304347831</v>
      </c>
      <c r="R70" s="172"/>
      <c r="S70" s="28">
        <v>0.31180555555555556</v>
      </c>
      <c r="T70" s="28">
        <v>0.32777777777777778</v>
      </c>
      <c r="U70" s="4">
        <f t="shared" si="37"/>
        <v>7.9999999999999716</v>
      </c>
      <c r="V70" s="22">
        <f t="shared" si="36"/>
        <v>23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33"/>
        <v>-114.78260869565202</v>
      </c>
      <c r="AF70" s="21">
        <f t="shared" si="43"/>
        <v>0.95217391304347831</v>
      </c>
      <c r="AG70" s="172"/>
    </row>
    <row r="71" spans="1:33" ht="15.75" customHeight="1">
      <c r="A71" s="170" t="s">
        <v>75</v>
      </c>
      <c r="B71" s="4" t="s">
        <v>100</v>
      </c>
      <c r="C71" s="165" t="s">
        <v>135</v>
      </c>
      <c r="D71" s="165"/>
      <c r="E71" s="37">
        <v>19.02</v>
      </c>
      <c r="F71" s="4">
        <v>7375</v>
      </c>
      <c r="G71" s="4">
        <v>140272.5</v>
      </c>
      <c r="H71" s="22" t="s">
        <v>139</v>
      </c>
      <c r="I71" s="16">
        <v>15</v>
      </c>
      <c r="J71" s="18">
        <v>2400</v>
      </c>
      <c r="K71" s="17">
        <f t="shared" si="38"/>
        <v>160</v>
      </c>
      <c r="L71" s="16">
        <v>15</v>
      </c>
      <c r="M71" s="18">
        <f t="shared" si="35"/>
        <v>2292.7461139896373</v>
      </c>
      <c r="N71" s="17">
        <f t="shared" si="39"/>
        <v>152.84974093264248</v>
      </c>
      <c r="O71" s="19">
        <f t="shared" si="40"/>
        <v>0</v>
      </c>
      <c r="P71" s="20">
        <f t="shared" si="41"/>
        <v>-7.1502590673575241</v>
      </c>
      <c r="Q71" s="21">
        <f t="shared" si="42"/>
        <v>0.9553108808290155</v>
      </c>
      <c r="R71" s="172"/>
      <c r="S71" s="28">
        <v>0.33124999999999999</v>
      </c>
      <c r="T71" s="28">
        <v>0.46527777777777779</v>
      </c>
      <c r="U71" s="4">
        <f t="shared" si="37"/>
        <v>4.9999999999999822</v>
      </c>
      <c r="V71" s="22">
        <f t="shared" si="36"/>
        <v>193.00000000000003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33"/>
        <v>-107.25388601036275</v>
      </c>
      <c r="AF71" s="21">
        <f t="shared" si="43"/>
        <v>0.9553108808290155</v>
      </c>
      <c r="AG71" s="172"/>
    </row>
    <row r="72" spans="1:33" ht="16.5" customHeight="1">
      <c r="A72" s="171" t="s">
        <v>1145</v>
      </c>
      <c r="B72" s="37" t="s">
        <v>48</v>
      </c>
      <c r="C72" s="166"/>
      <c r="D72" s="167"/>
      <c r="E72" s="38"/>
      <c r="F72" s="17"/>
      <c r="G72" s="17"/>
      <c r="H72" s="4"/>
      <c r="I72" s="30">
        <v>16.600000000000001</v>
      </c>
      <c r="J72" s="18">
        <v>2400</v>
      </c>
      <c r="K72" s="17">
        <f t="shared" si="38"/>
        <v>144.57831325301203</v>
      </c>
      <c r="L72" s="30">
        <v>16.600000000000001</v>
      </c>
      <c r="M72" s="18">
        <f>AVERAGE(M67:M71)</f>
        <v>2297.4727515638474</v>
      </c>
      <c r="N72" s="17">
        <f t="shared" si="39"/>
        <v>138.40197298577394</v>
      </c>
      <c r="O72" s="19">
        <f t="shared" si="40"/>
        <v>0</v>
      </c>
      <c r="P72" s="20">
        <f t="shared" si="41"/>
        <v>-6.1763402672380892</v>
      </c>
      <c r="Q72" s="21">
        <f t="shared" si="42"/>
        <v>0.95728031315160322</v>
      </c>
      <c r="R72" s="172"/>
      <c r="S72" s="28"/>
      <c r="T72" s="28"/>
      <c r="U72" s="17"/>
      <c r="V72" s="22"/>
      <c r="W72" s="17"/>
      <c r="X72" s="17"/>
      <c r="Y72" s="31">
        <f>SUM(Y67:Y71)</f>
        <v>0</v>
      </c>
      <c r="Z72" s="31">
        <f>SUM(Z67:Z71)</f>
        <v>0</v>
      </c>
      <c r="AA72" s="168"/>
      <c r="AB72" s="168"/>
      <c r="AC72" s="31">
        <v>5</v>
      </c>
      <c r="AD72" s="31">
        <f>SUM(AD67:AD71)</f>
        <v>0</v>
      </c>
      <c r="AE72" s="19">
        <f t="shared" si="33"/>
        <v>-102.5272484361526</v>
      </c>
      <c r="AF72" s="21">
        <f t="shared" si="43"/>
        <v>0.95728031315160311</v>
      </c>
      <c r="AG72" s="172"/>
    </row>
    <row r="73" spans="1:33">
      <c r="D73" s="33"/>
      <c r="E73" s="33"/>
    </row>
  </sheetData>
  <mergeCells count="197">
    <mergeCell ref="A67:A72"/>
    <mergeCell ref="C67:D67"/>
    <mergeCell ref="R67:R72"/>
    <mergeCell ref="AA67:AB67"/>
    <mergeCell ref="AG67:AG72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1:A66"/>
    <mergeCell ref="C61:D61"/>
    <mergeCell ref="R61:R66"/>
    <mergeCell ref="AA61:AB61"/>
    <mergeCell ref="AA66:AB66"/>
    <mergeCell ref="AG51:AG60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51:A60"/>
    <mergeCell ref="C51:D51"/>
    <mergeCell ref="R51:R60"/>
    <mergeCell ref="AA51:AB51"/>
    <mergeCell ref="AA57:AB57"/>
    <mergeCell ref="C58:D58"/>
    <mergeCell ref="AA58:AB58"/>
    <mergeCell ref="C59:D59"/>
    <mergeCell ref="AG61:AG66"/>
    <mergeCell ref="A40:A50"/>
    <mergeCell ref="C40:D40"/>
    <mergeCell ref="AA59:AB59"/>
    <mergeCell ref="C60:D60"/>
    <mergeCell ref="AA60:AB60"/>
    <mergeCell ref="AA44:AB44"/>
    <mergeCell ref="C45:D45"/>
    <mergeCell ref="AA45:AB45"/>
    <mergeCell ref="C46:D46"/>
    <mergeCell ref="AA46:AB46"/>
    <mergeCell ref="R40:R50"/>
    <mergeCell ref="AA40:AB40"/>
    <mergeCell ref="C50:D50"/>
    <mergeCell ref="AA50:AB50"/>
    <mergeCell ref="AG40:AG50"/>
    <mergeCell ref="C41:D41"/>
    <mergeCell ref="AA41:AB41"/>
    <mergeCell ref="C42:D42"/>
    <mergeCell ref="AA42:AB42"/>
    <mergeCell ref="C43:D43"/>
    <mergeCell ref="AG34:AG39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C47:D47"/>
    <mergeCell ref="AA47:AB47"/>
    <mergeCell ref="C48:D48"/>
    <mergeCell ref="AA48:AB48"/>
    <mergeCell ref="C49:D49"/>
    <mergeCell ref="AA49:AB49"/>
    <mergeCell ref="AA43:AB43"/>
    <mergeCell ref="C44:D44"/>
    <mergeCell ref="A34:A39"/>
    <mergeCell ref="C34:D34"/>
    <mergeCell ref="R34:R39"/>
    <mergeCell ref="AA34:AB34"/>
    <mergeCell ref="AA39:AB39"/>
    <mergeCell ref="A28:A33"/>
    <mergeCell ref="C28:D28"/>
    <mergeCell ref="R28:R33"/>
    <mergeCell ref="AA28:AB28"/>
    <mergeCell ref="AG28:AG33"/>
    <mergeCell ref="C29:D29"/>
    <mergeCell ref="AA29:AB29"/>
    <mergeCell ref="C30:D30"/>
    <mergeCell ref="AA30:AB30"/>
    <mergeCell ref="C31:D31"/>
    <mergeCell ref="AA24:AB24"/>
    <mergeCell ref="C25:D25"/>
    <mergeCell ref="AA25:AB25"/>
    <mergeCell ref="C26:D26"/>
    <mergeCell ref="AA26:AB26"/>
    <mergeCell ref="C27:D27"/>
    <mergeCell ref="AA27:AB27"/>
    <mergeCell ref="AA31:AB31"/>
    <mergeCell ref="C32:D32"/>
    <mergeCell ref="AA32:AB32"/>
    <mergeCell ref="C33:D33"/>
    <mergeCell ref="AA33:AB33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G11:AG13"/>
    <mergeCell ref="C12:D12"/>
    <mergeCell ref="AA12:AB12"/>
    <mergeCell ref="C13:D13"/>
    <mergeCell ref="AA13:AB13"/>
    <mergeCell ref="A14:A20"/>
    <mergeCell ref="C14:D14"/>
    <mergeCell ref="R14:R20"/>
    <mergeCell ref="AA14:AB14"/>
    <mergeCell ref="AG14:AG20"/>
    <mergeCell ref="C18:D18"/>
    <mergeCell ref="AA18:AB18"/>
    <mergeCell ref="C19:D19"/>
    <mergeCell ref="AA19:AB19"/>
    <mergeCell ref="C20:D20"/>
    <mergeCell ref="AA20:AB20"/>
    <mergeCell ref="C15:D15"/>
    <mergeCell ref="AA15:AB15"/>
    <mergeCell ref="C16:D16"/>
    <mergeCell ref="AA16:AB16"/>
    <mergeCell ref="C17:D17"/>
    <mergeCell ref="AA17:AB17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2">
    <cfRule type="cellIs" dxfId="118" priority="1" operator="greaterThan">
      <formula>0</formula>
    </cfRule>
  </conditionalFormatting>
  <conditionalFormatting sqref="P5:P72">
    <cfRule type="cellIs" dxfId="117" priority="4" operator="lessThan">
      <formula>0</formula>
    </cfRule>
  </conditionalFormatting>
  <conditionalFormatting sqref="Q5:Q72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R5:R11 AG5:AG11">
    <cfRule type="cellIs" dxfId="114" priority="81" operator="lessThan">
      <formula>0.8</formula>
    </cfRule>
  </conditionalFormatting>
  <conditionalFormatting sqref="AE5:AE72">
    <cfRule type="cellIs" dxfId="113" priority="17" operator="lessThan">
      <formula>0</formula>
    </cfRule>
  </conditionalFormatting>
  <conditionalFormatting sqref="AF5:AF72">
    <cfRule type="cellIs" dxfId="112" priority="15" operator="greaterThan">
      <formula>1</formula>
    </cfRule>
    <cfRule type="cellIs" dxfId="111" priority="16" operator="lessThan">
      <formula>0.8</formula>
    </cfRule>
  </conditionalFormatting>
  <conditionalFormatting sqref="AG14:AG64 R14:R72">
    <cfRule type="cellIs" dxfId="110" priority="5" operator="lessThan">
      <formula>0.8</formula>
    </cfRule>
  </conditionalFormatting>
  <dataValidations count="1">
    <dataValidation type="list" allowBlank="1" showInputMessage="1" showErrorMessage="1" sqref="AB10 AA5:AB9 AB65 AA10:AA65 AB12:AB61 AA66:AB72" xr:uid="{00000000-0002-0000-2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Q32"/>
  <sheetViews>
    <sheetView zoomScale="85" zoomScaleNormal="85" workbookViewId="0">
      <selection activeCell="E7" sqref="E7:F7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971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972</v>
      </c>
      <c r="C3" s="153" t="str">
        <f>TEXT('0211 4度C'!A2,"yyyy.mm.ddaaaa")</f>
        <v>2026.02.11星期三</v>
      </c>
      <c r="D3" s="154"/>
      <c r="E3" s="47" t="s">
        <v>973</v>
      </c>
      <c r="F3" s="155">
        <f>'0211 4度C'!D1</f>
        <v>140328</v>
      </c>
      <c r="G3" s="156"/>
      <c r="H3" s="47" t="s">
        <v>974</v>
      </c>
      <c r="I3" s="157">
        <f>'0211 4度C'!F1</f>
        <v>4832081.2799999984</v>
      </c>
      <c r="J3" s="158"/>
      <c r="K3" s="48"/>
      <c r="L3" s="49"/>
      <c r="M3" s="49"/>
      <c r="N3" s="49"/>
    </row>
    <row r="4" spans="2:17" ht="28.5" customHeight="1">
      <c r="B4" s="159" t="s">
        <v>975</v>
      </c>
      <c r="C4" s="145" t="s">
        <v>976</v>
      </c>
      <c r="D4" s="146"/>
      <c r="E4" s="162" t="s">
        <v>977</v>
      </c>
      <c r="F4" s="163"/>
      <c r="G4" s="162" t="s">
        <v>978</v>
      </c>
      <c r="H4" s="163"/>
      <c r="I4" s="162" t="s">
        <v>979</v>
      </c>
      <c r="J4" s="163"/>
      <c r="K4" s="143" t="s">
        <v>980</v>
      </c>
      <c r="L4" s="144"/>
      <c r="M4" s="144" t="s">
        <v>981</v>
      </c>
      <c r="N4" s="144"/>
    </row>
    <row r="5" spans="2:17" ht="28.5" customHeight="1">
      <c r="B5" s="160"/>
      <c r="C5" s="145" t="s">
        <v>982</v>
      </c>
      <c r="D5" s="146"/>
      <c r="E5" s="145" t="s">
        <v>419</v>
      </c>
      <c r="F5" s="146"/>
      <c r="G5" s="147" t="s">
        <v>983</v>
      </c>
      <c r="H5" s="148"/>
      <c r="I5" s="149" t="s">
        <v>984</v>
      </c>
      <c r="J5" s="150"/>
      <c r="K5" s="50" t="s">
        <v>985</v>
      </c>
      <c r="L5" s="51" t="s">
        <v>986</v>
      </c>
      <c r="M5" s="50" t="s">
        <v>985</v>
      </c>
      <c r="N5" s="51" t="s">
        <v>987</v>
      </c>
    </row>
    <row r="6" spans="2:17" ht="28.5" customHeight="1">
      <c r="B6" s="160"/>
      <c r="C6" s="145" t="s">
        <v>158</v>
      </c>
      <c r="D6" s="146"/>
      <c r="E6" s="137">
        <f>AVERAGE(D13:M13)</f>
        <v>143.6668085346794</v>
      </c>
      <c r="F6" s="138">
        <f>AVERAGE(D31:O31,D13:J13)</f>
        <v>146.66376385961848</v>
      </c>
      <c r="G6" s="139">
        <f>AVERAGE(D13:J13)</f>
        <v>146.66376385961848</v>
      </c>
      <c r="H6" s="140"/>
      <c r="I6" s="139">
        <f>AVERAGE(K13:M13)</f>
        <v>136.67391277648821</v>
      </c>
      <c r="J6" s="140"/>
      <c r="K6" s="141">
        <f>'0211 4度C'!Y2</f>
        <v>0</v>
      </c>
      <c r="L6" s="126">
        <f>'0211 4度C'!Z2</f>
        <v>0</v>
      </c>
      <c r="M6" s="142">
        <f>'0211 4度C'!AC2</f>
        <v>61</v>
      </c>
      <c r="N6" s="126">
        <f>'0211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137.69591042610236</v>
      </c>
      <c r="F7" s="130">
        <f>AVERAGE(D32:O32,D14:J14)</f>
        <v>140.60381447119019</v>
      </c>
      <c r="G7" s="131">
        <f>AVERAGE(D14:J14)</f>
        <v>140.60381447119019</v>
      </c>
      <c r="H7" s="132"/>
      <c r="I7" s="131">
        <f>AVERAGE(K14:M14)</f>
        <v>130.91080098756413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0.95762836812515384</v>
      </c>
      <c r="F8" s="134">
        <f>AVERAGE(D15:J15,D33:O33)</f>
        <v>0.95760278008514688</v>
      </c>
      <c r="G8" s="135">
        <f>AVERAGE(D15:J15)</f>
        <v>0.95760278008514688</v>
      </c>
      <c r="H8" s="136"/>
      <c r="I8" s="135">
        <f>AVERAGE(K15:M15)</f>
        <v>0.95768807355183705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988</v>
      </c>
      <c r="N9" s="49"/>
      <c r="O9" s="49"/>
      <c r="P9" s="49"/>
      <c r="Q9" s="49"/>
    </row>
    <row r="10" spans="2:17" ht="30" customHeight="1">
      <c r="B10" s="109" t="s">
        <v>989</v>
      </c>
      <c r="C10" s="110"/>
      <c r="D10" s="111" t="s">
        <v>990</v>
      </c>
      <c r="E10" s="112"/>
      <c r="F10" s="112"/>
      <c r="G10" s="112"/>
      <c r="H10" s="112"/>
      <c r="I10" s="112"/>
      <c r="J10" s="113"/>
      <c r="K10" s="114" t="s">
        <v>991</v>
      </c>
      <c r="L10" s="115"/>
      <c r="M10" s="116"/>
      <c r="P10" s="55"/>
      <c r="Q10" s="55"/>
    </row>
    <row r="11" spans="2:17" ht="17.25" customHeight="1">
      <c r="B11" s="117" t="s">
        <v>992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993</v>
      </c>
      <c r="C13" s="62" t="s">
        <v>994</v>
      </c>
      <c r="D13" s="63">
        <f>SUMIFS('0211 4度C'!$K:$K,'0211 4度C'!$A:$A,"新豐6線",'0211 4度C'!$B:$B,"平均")</f>
        <v>113.63636363636363</v>
      </c>
      <c r="E13" s="64">
        <f>SUMIFS('0211 4度C'!$K:$K,'0211 4度C'!$A:$A,"新豐2線",'0211 4度C'!$B:$B,"平均")</f>
        <v>83.333333333333329</v>
      </c>
      <c r="F13" s="65">
        <f>SUMIFS('0211 4度C'!$K:$K,'0211 4度C'!$A:$A,"新豐5線",'0211 4度C'!$B:$B,"平均")</f>
        <v>109.24369747899159</v>
      </c>
      <c r="G13" s="65">
        <f>SUMIFS('0211 4度C'!$K:$K,'0211 4度C'!$A:$A,"新豐7線",'0211 4度C'!$B:$B,"平均")</f>
        <v>125</v>
      </c>
      <c r="H13" s="65">
        <f>SUMIFS('0211 4度C'!$K:$K,'0211 4度C'!$A:$A,"新豐3線",'0211 4度C'!$B:$B,"平均")</f>
        <v>303.030303030303</v>
      </c>
      <c r="I13" s="65">
        <f>SUMIFS('0211 4度C'!$K:$K,'0211 4度C'!$A:$A,"新豐1線",'0211 4度C'!$B:$B,"平均")</f>
        <v>103.72340425531914</v>
      </c>
      <c r="J13" s="66">
        <f>SUMIFS('0211 4度C'!$K:$K,'0211 4度C'!$A:$A,"新豐10線",'0211 4度C'!$B:$B,"平均")</f>
        <v>188.67924528301887</v>
      </c>
      <c r="K13" s="67">
        <f>SUMIFS('0211 4度C'!$K:$K,'0211 4度C'!$A:$A,"新豐8線",'0211 4度C'!$B:$B,"平均")</f>
        <v>132.11009174311926</v>
      </c>
      <c r="L13" s="68">
        <f>SUMIFS('0211 4度C'!$K:$K,'0211 4度C'!$A:$A,"新豐9線",'0211 4度C'!$B:$B,"平均")</f>
        <v>133.33333333333334</v>
      </c>
      <c r="M13" s="66">
        <f>SUMIFS('0211 4度C'!$K:$K,'0211 4度C'!$A:$A,"新豐4線",'0211 4度C'!$B:$B,"平均")</f>
        <v>144.57831325301203</v>
      </c>
    </row>
    <row r="14" spans="2:17" ht="39.6" customHeight="1">
      <c r="B14" s="122"/>
      <c r="C14" s="69" t="s">
        <v>995</v>
      </c>
      <c r="D14" s="70">
        <f>SUMIFS('0211 4度C'!$N:$N,'0211 4度C'!$A:$A,"新豐6線",'0211 4度C'!$B:$B,"平均")</f>
        <v>109.49011216056671</v>
      </c>
      <c r="E14" s="71">
        <f>SUMIFS('0211 4度C'!$N:$N,'0211 4度C'!$A:$A,"新豐2線",'0211 4度C'!$B:$B,"平均")</f>
        <v>79.455053856251482</v>
      </c>
      <c r="F14" s="71">
        <f>SUMIFS('0211 4度C'!$N:$N,'0211 4度C'!$A:$A,"新豐5線",'0211 4度C'!$B:$B,"平均")</f>
        <v>105.40381122641416</v>
      </c>
      <c r="G14" s="71">
        <f>SUMIFS('0211 4度C'!$N:$N,'0211 4度C'!$A:$A,"新豐7線",'0211 4度C'!$B:$B,"平均")</f>
        <v>120.52661686404306</v>
      </c>
      <c r="H14" s="71">
        <f>SUMIFS('0211 4度C'!$N:$N,'0211 4度C'!$A:$A,"新豐3線",'0211 4度C'!$B:$B,"平均")</f>
        <v>290.75947119576551</v>
      </c>
      <c r="I14" s="71">
        <f>SUMIFS('0211 4度C'!$N:$N,'0211 4度C'!$A:$A,"新豐1線",'0211 4度C'!$B:$B,"平均")</f>
        <v>97.01409977838162</v>
      </c>
      <c r="J14" s="72">
        <f>SUMIFS('0211 4度C'!$N:$N,'0211 4度C'!$A:$A,"新豐10線",'0211 4度C'!$B:$B,"平均")</f>
        <v>181.57753621690887</v>
      </c>
      <c r="K14" s="73">
        <f>SUMIFS('0211 4度C'!$N:$N,'0211 4度C'!$A:$A,"新豐8線",'0211 4度C'!$B:$B,"平均")</f>
        <v>126.105935198513</v>
      </c>
      <c r="L14" s="74">
        <f>SUMIFS('0211 4度C'!$N:$N,'0211 4度C'!$A:$A,"新豐9線",'0211 4度C'!$B:$B,"平均")</f>
        <v>127.45019660585351</v>
      </c>
      <c r="M14" s="72">
        <f>SUMIFS('0211 4度C'!$N:$N,'0211 4度C'!$A:$A,"新豐4線",'0211 4度C'!$B:$B,"平均")</f>
        <v>139.17627115832587</v>
      </c>
    </row>
    <row r="15" spans="2:17" ht="40.15" customHeight="1">
      <c r="B15" s="123"/>
      <c r="C15" s="75" t="s">
        <v>996</v>
      </c>
      <c r="D15" s="76">
        <f t="shared" ref="D15:M15" si="0">D14/D13</f>
        <v>0.96351298701298715</v>
      </c>
      <c r="E15" s="77">
        <f t="shared" si="0"/>
        <v>0.95346064627501781</v>
      </c>
      <c r="F15" s="77">
        <f t="shared" si="0"/>
        <v>0.96485027199563733</v>
      </c>
      <c r="G15" s="77">
        <f t="shared" si="0"/>
        <v>0.9642129349123445</v>
      </c>
      <c r="H15" s="77">
        <f t="shared" si="0"/>
        <v>0.95950625494602626</v>
      </c>
      <c r="I15" s="77">
        <f t="shared" si="0"/>
        <v>0.93531542350439723</v>
      </c>
      <c r="J15" s="78">
        <f t="shared" si="0"/>
        <v>0.96236094194961697</v>
      </c>
      <c r="K15" s="76">
        <f t="shared" si="0"/>
        <v>0.95455187059985536</v>
      </c>
      <c r="L15" s="77">
        <f t="shared" si="0"/>
        <v>0.95587647454390123</v>
      </c>
      <c r="M15" s="78">
        <f t="shared" si="0"/>
        <v>0.96263587551175411</v>
      </c>
    </row>
    <row r="16" spans="2:17" ht="17.25" customHeight="1">
      <c r="B16" s="124" t="s">
        <v>997</v>
      </c>
      <c r="C16" s="79" t="s">
        <v>998</v>
      </c>
      <c r="D16" s="80">
        <f>VLOOKUP("新豐6線",'0211 4度C'!$A:$T,19,0)</f>
        <v>0.70833333333333337</v>
      </c>
      <c r="E16" s="81">
        <f>VLOOKUP("新豐2線",'0211 4度C'!$A:$T,19,0)</f>
        <v>0.20833333333333334</v>
      </c>
      <c r="F16" s="81">
        <f>VLOOKUP("新豐5線",'0211 4度C'!$A:$T,19,0)</f>
        <v>0.20833333333333334</v>
      </c>
      <c r="G16" s="81">
        <f>VLOOKUP("新豐7線",'0211 4度C'!$A:$T,19,0)</f>
        <v>0.20833333333333334</v>
      </c>
      <c r="H16" s="81">
        <f>VLOOKUP("新豐3線",'0211 4度C'!$A:$T,19,0)</f>
        <v>0.20833333333333334</v>
      </c>
      <c r="I16" s="81">
        <f>VLOOKUP("新豐1線",'0211 4度C'!$A:$T,19,0)</f>
        <v>0.20833333333333334</v>
      </c>
      <c r="J16" s="82">
        <f>VLOOKUP("新豐10線",'0211 4度C'!$A:$T,19,0)</f>
        <v>0.20833333333333334</v>
      </c>
      <c r="K16" s="83">
        <f>VLOOKUP("新豐8線",'0211 4度C'!$A:$T,19,0)</f>
        <v>0.125</v>
      </c>
      <c r="L16" s="84">
        <f>VLOOKUP("新豐9線",'0211 4度C'!$A:$T,19,0)</f>
        <v>0.125</v>
      </c>
      <c r="M16" s="85">
        <f>VLOOKUP("新豐4線",'0211 4度C'!$A:$T,19,0)</f>
        <v>0.125</v>
      </c>
    </row>
    <row r="17" spans="2:13" ht="17.25" customHeight="1">
      <c r="B17" s="125"/>
      <c r="C17" s="79" t="s">
        <v>999</v>
      </c>
      <c r="D17" s="83">
        <f>LOOKUP(2,1/(('0211 4度C'!$A:$A="新豐6線")*('0211 4度C'!$T:$T&lt;&gt;"")),'0211 4度C'!$T:$T)</f>
        <v>0.84791666666666665</v>
      </c>
      <c r="E17" s="81">
        <f>LOOKUP(2,1/(('0211 4度C'!$A:$A="新豐2線")*('0211 4度C'!$T:$T&lt;&gt;"")),'0211 4度C'!$T:$T)</f>
        <v>0.40694444444444439</v>
      </c>
      <c r="F17" s="81">
        <f>LOOKUP(2,1/(('0211 4度C'!$A:$A="新豐5線")*('0211 4度C'!$T:$T&lt;&gt;"")),'0211 4度C'!$T:$T)</f>
        <v>0.90208333333333335</v>
      </c>
      <c r="G17" s="81">
        <f>LOOKUP(2,1/(('0211 4度C'!$A:$A="新豐7線")*('0211 4度C'!$T:$T&lt;&gt;"")),'0211 4度C'!$T:$T)</f>
        <v>0.90694444444444444</v>
      </c>
      <c r="H17" s="81">
        <f>LOOKUP(2,1/(('0211 4度C'!$A:$A="新豐3線")*('0211 4度C'!$T:$T&lt;&gt;"")),'0211 4度C'!$T:$T)</f>
        <v>0.66736111111111096</v>
      </c>
      <c r="I17" s="81">
        <f>LOOKUP(2,1/(('0211 4度C'!$A:$A="新豐1線")*('0211 4度C'!$T:$T&lt;&gt;"")),'0211 4度C'!$T:$T)</f>
        <v>0.89930555555555547</v>
      </c>
      <c r="J17" s="82">
        <f>LOOKUP(2,1/(('0211 4度C'!$A:$A="新豐10線")*('0211 4度C'!$T:$T&lt;&gt;"")),'0211 4度C'!$T:$T)</f>
        <v>0.40555555555555545</v>
      </c>
      <c r="K17" s="80">
        <f>LOOKUP(2,1/(('0211 4度C'!$A:$A="新豐8線")*('0211 4度C'!$T:$T&lt;&gt;"")),'0211 4度C'!$T:$T)</f>
        <v>0.61041666666666661</v>
      </c>
      <c r="L17" s="81">
        <f>LOOKUP(2,1/(('0211 4度C'!$A:$A="新豐9線")*('0211 4度C'!$T:$T&lt;&gt;"")),'0211 4度C'!$T:$T)</f>
        <v>0.50208333333333333</v>
      </c>
      <c r="M17" s="82">
        <f>LOOKUP(2,1/(('0211 4度C'!$A:$A="新豐4線")*('0211 4度C'!$T:$T&lt;&gt;"")),'0211 4度C'!$T:$T)</f>
        <v>0.50972222222222219</v>
      </c>
    </row>
    <row r="18" spans="2:13" ht="17.25" customHeight="1">
      <c r="B18" s="103" t="s">
        <v>1000</v>
      </c>
      <c r="C18" s="86" t="s">
        <v>1001</v>
      </c>
      <c r="D18" s="87">
        <f>SUMIFS('0211 4度C'!$Y:$Y,'0211 4度C'!$A:$A,"新豐6線",'0211 4度C'!$B:$B,"平均")</f>
        <v>0</v>
      </c>
      <c r="E18" s="88">
        <f>SUMIFS('0211 4度C'!$Y:$Y,'0211 4度C'!$A:$A,"新豐2線",'0211 4度C'!$B:$B,"平均")</f>
        <v>0</v>
      </c>
      <c r="F18" s="88">
        <f>SUMIFS('0211 4度C'!$Y:$Y,'0211 4度C'!$A:$A,"新豐5線",'0211 4度C'!$B:$B,"平均")</f>
        <v>0</v>
      </c>
      <c r="G18" s="88">
        <f>SUMIFS('0211 4度C'!$Y:$Y,'0211 4度C'!$A:$A,"新豐7線",'0211 4度C'!$B:$B,"平均")</f>
        <v>0</v>
      </c>
      <c r="H18" s="88">
        <f>SUMIFS('0211 4度C'!$Y:$Y,'0211 4度C'!$A:$A,"新豐3線",'0211 4度C'!$B:$B,"平均")</f>
        <v>0</v>
      </c>
      <c r="I18" s="88">
        <f>SUMIFS('0211 4度C'!$Y:$Y,'0211 4度C'!$A:$A,"新豐1線",'0211 4度C'!$B:$B,"平均")</f>
        <v>0</v>
      </c>
      <c r="J18" s="89">
        <f>SUMIFS('0211 4度C'!$Y:$Y,'0211 4度C'!$A:$A,"新豐10線",'0211 4度C'!$B:$B,"平均")</f>
        <v>0</v>
      </c>
      <c r="K18" s="90">
        <f>SUMIFS('0211 4度C'!$Y:$Y,'0211 4度C'!$A:$A,"新豐8線",'0211 4度C'!$B:$B,"平均")</f>
        <v>0</v>
      </c>
      <c r="L18" s="88">
        <f>SUMIFS('0211 4度C'!$Y:$Y,'0211 4度C'!$A:$A,"新豐9線",'0211 4度C'!$B:$B,"平均")</f>
        <v>0</v>
      </c>
      <c r="M18" s="89">
        <f>SUMIFS('0211 4度C'!$Y:$Y,'0211 4度C'!$A:$A,"新豐4線",'0211 4度C'!$B:$B,"平均")</f>
        <v>0</v>
      </c>
    </row>
    <row r="19" spans="2:13" ht="17.25" customHeight="1">
      <c r="B19" s="104"/>
      <c r="C19" s="86" t="s">
        <v>1002</v>
      </c>
      <c r="D19" s="87">
        <f>SUMIFS('0211 4度C'!$Z:$Z,'0211 4度C'!$A:$A,"新豐6線",'0211 4度C'!$B:$B,"平均")</f>
        <v>0</v>
      </c>
      <c r="E19" s="88">
        <f>SUMIFS('0211 4度C'!$Z:$Z,'0211 4度C'!$A:$A,"新豐2線",'0211 4度C'!$B:$B,"平均")</f>
        <v>0</v>
      </c>
      <c r="F19" s="88">
        <f>SUMIFS('0211 4度C'!$Z:$Z,'0211 4度C'!$A:$A,"新豐5線",'0211 4度C'!$B:$B,"平均")</f>
        <v>0</v>
      </c>
      <c r="G19" s="88">
        <f>SUMIFS('0211 4度C'!$Z:$Z,'0211 4度C'!$A:$A,"新豐7線",'0211 4度C'!$B:$B,"平均")</f>
        <v>0</v>
      </c>
      <c r="H19" s="88">
        <f>SUMIFS('0211 4度C'!$Z:$Z,'0211 4度C'!$A:$A,"新豐3線",'0211 4度C'!$B:$B,"平均")</f>
        <v>0</v>
      </c>
      <c r="I19" s="88">
        <f>SUMIFS('0211 4度C'!$Z:$Z,'0211 4度C'!$A:$A,"新豐1線",'0211 4度C'!$B:$B,"平均")</f>
        <v>0</v>
      </c>
      <c r="J19" s="89">
        <f>SUMIFS('0211 4度C'!$Z:$Z,'0211 4度C'!$A:$A,"新豐10線",'0211 4度C'!$B:$B,"平均")</f>
        <v>0</v>
      </c>
      <c r="K19" s="90">
        <f>SUMIFS('0211 4度C'!$Z:$Z,'0211 4度C'!$A:$A,"新豐8線",'0211 4度C'!$B:$B,"平均")</f>
        <v>0</v>
      </c>
      <c r="L19" s="88">
        <f>SUMIFS('0211 4度C'!$Z:$Z,'0211 4度C'!$A:$A,"新豐9線",'0211 4度C'!$B:$B,"平均")</f>
        <v>0</v>
      </c>
      <c r="M19" s="89">
        <f>SUMIFS('0211 4度C'!$Z:$Z,'0211 4度C'!$A:$A,"新豐4線",'0211 4度C'!$B:$B,"平均")</f>
        <v>0</v>
      </c>
    </row>
    <row r="20" spans="2:13" ht="17.25" customHeight="1">
      <c r="B20" s="103" t="s">
        <v>235</v>
      </c>
      <c r="C20" s="86" t="s">
        <v>42</v>
      </c>
      <c r="D20" s="87">
        <f>SUMIFS('0211 4度C'!$AC:$AC,'0211 4度C'!$A:$A,"新豐6線",'0211 4度C'!$B:$B,"平均")</f>
        <v>5</v>
      </c>
      <c r="E20" s="88">
        <f>SUMIFS('0211 4度C'!$AC:$AC,'0211 4度C'!$A:$A,"新豐2線",'0211 4度C'!$B:$B,"平均")</f>
        <v>2</v>
      </c>
      <c r="F20" s="88">
        <f>SUMIFS('0211 4度C'!$AC:$AC,'0211 4度C'!$A:$A,"新豐5線",'0211 4度C'!$B:$B,"平均")</f>
        <v>7</v>
      </c>
      <c r="G20" s="88">
        <f>SUMIFS('0211 4度C'!$AC:$AC,'0211 4度C'!$A:$A,"新豐7線",'0211 4度C'!$B:$B,"平均")</f>
        <v>6</v>
      </c>
      <c r="H20" s="88">
        <f>SUMIFS('0211 4度C'!$AC:$AC,'0211 4度C'!$A:$A,"新豐3線",'0211 4度C'!$B:$B,"平均")</f>
        <v>10</v>
      </c>
      <c r="I20" s="88">
        <f>SUMIFS('0211 4度C'!$AC:$AC,'0211 4度C'!$A:$A,"新豐1線",'0211 4度C'!$B:$B,"平均")</f>
        <v>10</v>
      </c>
      <c r="J20" s="89">
        <f>SUMIFS('0211 4度C'!$AC:$AC,'0211 4度C'!$A:$A,"新豐10線",'0211 4度C'!$B:$B,"平均")</f>
        <v>5</v>
      </c>
      <c r="K20" s="90">
        <f>SUMIFS('0211 4度C'!$AC:$AC,'0211 4度C'!$A:$A,"新豐8線",'0211 4度C'!$B:$B,"平均")</f>
        <v>6</v>
      </c>
      <c r="L20" s="88">
        <f>SUMIFS('0211 4度C'!$AC:$AC,'0211 4度C'!$A:$A,"新豐9線",'0211 4度C'!$B:$B,"平均")</f>
        <v>5</v>
      </c>
      <c r="M20" s="89">
        <f>SUMIFS('0211 4度C'!$AC:$AC,'0211 4度C'!$A:$A,"新豐4線",'0211 4度C'!$B:$B,"平均")</f>
        <v>5</v>
      </c>
    </row>
    <row r="21" spans="2:13" ht="17.25" customHeight="1">
      <c r="B21" s="104"/>
      <c r="C21" s="86" t="s">
        <v>1003</v>
      </c>
      <c r="D21" s="87">
        <f>SUMIFS('0211 4度C'!$AD:$AD,'0211 4度C'!$A:$A,"新豐6線",'0211 4度C'!$B:$B,"平均")</f>
        <v>0</v>
      </c>
      <c r="E21" s="88">
        <f>SUMIFS('0211 4度C'!$AD:$AD,'0211 4度C'!$A:$A,"新豐2線",'0211 4度C'!$B:$B,"平均")</f>
        <v>0</v>
      </c>
      <c r="F21" s="88">
        <f>SUMIFS('0211 4度C'!$AD:$AD,'0211 4度C'!$A:$A,"新豐5線",'0211 4度C'!$B:$B,"平均")</f>
        <v>0</v>
      </c>
      <c r="G21" s="88">
        <f>SUMIFS('0211 4度C'!$AD:$AD,'0211 4度C'!$A:$A,"新豐7線",'0211 4度C'!$B:$B,"平均")</f>
        <v>0</v>
      </c>
      <c r="H21" s="88">
        <f>SUMIFS('0211 4度C'!$AD:$AD,'0211 4度C'!$A:$A,"新豐3線",'0211 4度C'!$B:$B,"平均")</f>
        <v>0</v>
      </c>
      <c r="I21" s="88">
        <f>SUMIFS('0211 4度C'!$AD:$AD,'0211 4度C'!$A:$A,"新豐1線",'0211 4度C'!$B:$B,"平均")</f>
        <v>0</v>
      </c>
      <c r="J21" s="89">
        <f>SUMIFS('0211 4度C'!$AD:$AD,'0211 4度C'!$A:$A,"新豐10線",'0211 4度C'!$B:$B,"平均")</f>
        <v>0</v>
      </c>
      <c r="K21" s="90">
        <f>SUMIFS('0211 4度C'!$AD:$AD,'0211 4度C'!$A:$A,"新豐8線",'0211 4度C'!$B:$B,"平均")</f>
        <v>0</v>
      </c>
      <c r="L21" s="88">
        <f>SUMIFS('0211 4度C'!$AD:$AD,'0211 4度C'!$A:$A,"新豐9線",'0211 4度C'!$B:$B,"平均")</f>
        <v>0</v>
      </c>
      <c r="M21" s="89">
        <f>SUMIFS('0211 4度C'!$AD:$AD,'0211 4度C'!$A:$A,"新豐4線",'0211 4度C'!$B:$B,"平均")</f>
        <v>0</v>
      </c>
    </row>
    <row r="22" spans="2:13" ht="17.25" customHeight="1">
      <c r="B22" s="105" t="s">
        <v>1004</v>
      </c>
      <c r="C22" s="106"/>
      <c r="D22" s="91">
        <f>SUMIFS('0211 4度C'!$I:$I,'0211 4度C'!$A:$A,"新豐6線",'0211 4度C'!$B:$B,"平均")</f>
        <v>17.600000000000001</v>
      </c>
      <c r="E22" s="92">
        <f>SUMIFS('0211 4度C'!$I:$I,'0211 4度C'!$A:$A,"新豐2線",'0211 4度C'!$B:$B,"平均")</f>
        <v>18</v>
      </c>
      <c r="F22" s="92">
        <f>SUMIFS('0211 4度C'!$I:$I,'0211 4度C'!$A:$A,"新豐5線",'0211 4度C'!$B:$B,"平均")</f>
        <v>17</v>
      </c>
      <c r="G22" s="92">
        <f>SUMIFS('0211 4度C'!$I:$I,'0211 4度C'!$A:$A,"新豐7線",'0211 4度C'!$B:$B,"平均")</f>
        <v>15.333333333333334</v>
      </c>
      <c r="H22" s="92">
        <f>SUMIFS('0211 4度C'!$I:$I,'0211 4度C'!$A:$A,"新豐3線",'0211 4度C'!$B:$B,"平均")</f>
        <v>9.9</v>
      </c>
      <c r="I22" s="92">
        <f>SUMIFS('0211 4度C'!$I:$I,'0211 4度C'!$A:$A,"新豐1線",'0211 4度C'!$B:$B,"平均")</f>
        <v>18.8</v>
      </c>
      <c r="J22" s="93">
        <f>SUMIFS('0211 4度C'!$I:$I,'0211 4度C'!$A:$A,"新豐10線",'0211 4度C'!$B:$B,"平均")</f>
        <v>10.6</v>
      </c>
      <c r="K22" s="91">
        <f>SUMIFS('0211 4度C'!$I:$I,'0211 4度C'!$A:$A,"新豐8線",'0211 4度C'!$B:$B,"平均")</f>
        <v>18.166666666666668</v>
      </c>
      <c r="L22" s="92">
        <f>SUMIFS('0211 4度C'!$I:$I,'0211 4度C'!$A:$A,"新豐9線",'0211 4度C'!$B:$B,"平均")</f>
        <v>18</v>
      </c>
      <c r="M22" s="93">
        <f>SUMIFS('0211 4度C'!$I:$I,'0211 4度C'!$A:$A,"新豐4線",'0211 4度C'!$B:$B,"平均")</f>
        <v>16.600000000000001</v>
      </c>
    </row>
    <row r="23" spans="2:13" ht="17.25" customHeight="1">
      <c r="B23" s="105" t="s">
        <v>1005</v>
      </c>
      <c r="C23" s="106"/>
      <c r="D23" s="94" t="s">
        <v>191</v>
      </c>
      <c r="E23" s="95" t="s">
        <v>192</v>
      </c>
      <c r="F23" s="95" t="s">
        <v>1006</v>
      </c>
      <c r="G23" s="95" t="s">
        <v>1007</v>
      </c>
      <c r="H23" s="95" t="s">
        <v>194</v>
      </c>
      <c r="I23" s="95" t="s">
        <v>191</v>
      </c>
      <c r="J23" s="96" t="s">
        <v>194</v>
      </c>
      <c r="K23" s="94" t="s">
        <v>1008</v>
      </c>
      <c r="L23" s="95" t="s">
        <v>1008</v>
      </c>
      <c r="M23" s="96" t="s">
        <v>1008</v>
      </c>
    </row>
    <row r="24" spans="2:13" ht="17.25" customHeight="1">
      <c r="B24" s="105" t="s">
        <v>1009</v>
      </c>
      <c r="C24" s="106"/>
      <c r="D24" s="94"/>
      <c r="E24" s="95"/>
      <c r="F24" s="95" t="s">
        <v>1010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1011</v>
      </c>
      <c r="C25" s="108"/>
      <c r="D25" s="97"/>
      <c r="E25" s="98" t="s">
        <v>1012</v>
      </c>
      <c r="F25" s="101" t="s">
        <v>1013</v>
      </c>
      <c r="G25" s="102"/>
      <c r="H25" s="98" t="s">
        <v>1014</v>
      </c>
      <c r="I25" s="98" t="s">
        <v>1015</v>
      </c>
      <c r="J25" s="99" t="s">
        <v>1014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0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6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1016</v>
      </c>
      <c r="B1" s="1"/>
      <c r="C1" s="2" t="s">
        <v>1017</v>
      </c>
      <c r="D1" s="3">
        <f>SUM(F5:F75)</f>
        <v>140328</v>
      </c>
      <c r="E1" s="4" t="s">
        <v>1018</v>
      </c>
      <c r="F1" s="1">
        <f>SUM(G5:G75)</f>
        <v>4832081.2799999984</v>
      </c>
      <c r="G1" s="1" t="s">
        <v>1019</v>
      </c>
      <c r="H1" s="5">
        <f>L10+L13+L52+L63+L21+L69+L35+L41+L28+L75</f>
        <v>160</v>
      </c>
      <c r="I1" s="214" t="s">
        <v>1020</v>
      </c>
      <c r="J1" s="214"/>
      <c r="K1" s="214"/>
      <c r="L1" s="214" t="s">
        <v>1021</v>
      </c>
      <c r="M1" s="214"/>
      <c r="N1" s="214"/>
      <c r="O1" s="214" t="s">
        <v>1022</v>
      </c>
      <c r="P1" s="214"/>
      <c r="Q1" s="214"/>
      <c r="R1" s="214"/>
      <c r="S1" s="214" t="s">
        <v>1023</v>
      </c>
      <c r="T1" s="214"/>
      <c r="U1" s="214"/>
      <c r="V1" s="214"/>
      <c r="W1" s="214"/>
      <c r="X1" s="214"/>
      <c r="Y1" s="6" t="s">
        <v>1024</v>
      </c>
      <c r="Z1" s="7" t="s">
        <v>1025</v>
      </c>
      <c r="AA1" s="215" t="s">
        <v>1026</v>
      </c>
      <c r="AB1" s="215"/>
      <c r="AC1" s="8" t="s">
        <v>1024</v>
      </c>
      <c r="AD1" s="7" t="s">
        <v>1027</v>
      </c>
      <c r="AE1" s="214" t="s">
        <v>1028</v>
      </c>
      <c r="AF1" s="216"/>
      <c r="AG1" s="216"/>
    </row>
    <row r="2" spans="1:33" ht="26.25" customHeight="1">
      <c r="A2" s="35">
        <v>46064</v>
      </c>
      <c r="B2" s="36" t="s">
        <v>457</v>
      </c>
      <c r="C2" s="2" t="s">
        <v>993</v>
      </c>
      <c r="D2" s="10">
        <f>AVERAGE(N10,N13,N52,N63,N21,N69,N28,N35,N41,N75)</f>
        <v>137.69591042610236</v>
      </c>
      <c r="E2" s="11" t="s">
        <v>14</v>
      </c>
      <c r="F2" s="12">
        <f>F1/D1</f>
        <v>34.434191893278594</v>
      </c>
      <c r="G2" s="1" t="s">
        <v>1029</v>
      </c>
      <c r="H2" s="13">
        <f>COUNT(H5:H75)</f>
        <v>7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SUM(Y10+Y13+Y21+Y28+Y35+Y41+Y52+Y63+Y69+Y75)</f>
        <v>0</v>
      </c>
      <c r="Z2" s="14">
        <f>SUM(Z10+Z13+Z21+Z28+Z35+Z41+Z52+Z63+Z69+Z75)</f>
        <v>0</v>
      </c>
      <c r="AA2" s="215"/>
      <c r="AB2" s="215"/>
      <c r="AC2" s="14">
        <v>61</v>
      </c>
      <c r="AD2" s="14">
        <f>SUM(AD10+AD13+AD21+AD28+AD35+AD41+AD52+AD63+AD69+AD75)</f>
        <v>0</v>
      </c>
      <c r="AE2" s="216"/>
      <c r="AF2" s="216"/>
      <c r="AG2" s="216"/>
    </row>
    <row r="3" spans="1:33" ht="40.5" customHeight="1">
      <c r="A3" s="164" t="s">
        <v>1030</v>
      </c>
      <c r="B3" s="164" t="s">
        <v>1031</v>
      </c>
      <c r="C3" s="164" t="s">
        <v>1032</v>
      </c>
      <c r="D3" s="164"/>
      <c r="E3" s="212" t="s">
        <v>1033</v>
      </c>
      <c r="F3" s="164" t="s">
        <v>1034</v>
      </c>
      <c r="G3" s="212" t="s">
        <v>1035</v>
      </c>
      <c r="H3" s="206" t="s">
        <v>1036</v>
      </c>
      <c r="I3" s="204" t="s">
        <v>1037</v>
      </c>
      <c r="J3" s="201" t="s">
        <v>1038</v>
      </c>
      <c r="K3" s="211" t="s">
        <v>993</v>
      </c>
      <c r="L3" s="204" t="s">
        <v>1037</v>
      </c>
      <c r="M3" s="201" t="s">
        <v>1038</v>
      </c>
      <c r="N3" s="211" t="s">
        <v>993</v>
      </c>
      <c r="O3" s="204" t="s">
        <v>1037</v>
      </c>
      <c r="P3" s="211" t="s">
        <v>993</v>
      </c>
      <c r="Q3" s="202" t="s">
        <v>1039</v>
      </c>
      <c r="R3" s="182" t="s">
        <v>1040</v>
      </c>
      <c r="S3" s="164" t="s">
        <v>30</v>
      </c>
      <c r="T3" s="164"/>
      <c r="U3" s="206" t="s">
        <v>31</v>
      </c>
      <c r="V3" s="206" t="s">
        <v>1041</v>
      </c>
      <c r="W3" s="164" t="s">
        <v>1042</v>
      </c>
      <c r="X3" s="164"/>
      <c r="Y3" s="207" t="s">
        <v>1043</v>
      </c>
      <c r="Z3" s="168"/>
      <c r="AA3" s="208" t="s">
        <v>1044</v>
      </c>
      <c r="AB3" s="209"/>
      <c r="AC3" s="207" t="s">
        <v>1045</v>
      </c>
      <c r="AD3" s="168"/>
      <c r="AE3" s="201" t="s">
        <v>1038</v>
      </c>
      <c r="AF3" s="202" t="s">
        <v>1039</v>
      </c>
      <c r="AG3" s="182" t="s">
        <v>1040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1046</v>
      </c>
      <c r="X4" s="4" t="s">
        <v>1047</v>
      </c>
      <c r="Y4" s="15" t="s">
        <v>1048</v>
      </c>
      <c r="Z4" s="15" t="s">
        <v>1049</v>
      </c>
      <c r="AA4" s="210"/>
      <c r="AB4" s="209"/>
      <c r="AC4" s="15" t="s">
        <v>1050</v>
      </c>
      <c r="AD4" s="15" t="s">
        <v>1051</v>
      </c>
      <c r="AE4" s="201"/>
      <c r="AF4" s="202"/>
      <c r="AG4" s="182"/>
    </row>
    <row r="5" spans="1:33">
      <c r="A5" s="203" t="s">
        <v>1052</v>
      </c>
      <c r="B5" s="37" t="s">
        <v>78</v>
      </c>
      <c r="C5" s="205" t="s">
        <v>79</v>
      </c>
      <c r="D5" s="205"/>
      <c r="E5" s="37">
        <v>50.67</v>
      </c>
      <c r="F5" s="4">
        <v>1400</v>
      </c>
      <c r="G5" s="4">
        <v>70938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9" si="1">F5/V5*60</f>
        <v>1909.090909090909</v>
      </c>
      <c r="N5" s="17">
        <f t="shared" ref="N5:N68" si="2">M5/L5</f>
        <v>112.29946524064171</v>
      </c>
      <c r="O5" s="19">
        <f t="shared" ref="O5:O68" si="3">L5-I5</f>
        <v>0</v>
      </c>
      <c r="P5" s="20">
        <f t="shared" ref="P5:P68" si="4">N5-K5</f>
        <v>-5.347593582887697</v>
      </c>
      <c r="Q5" s="21">
        <f t="shared" ref="Q5:Q68" si="5">N5/K5</f>
        <v>0.95454545454545459</v>
      </c>
      <c r="R5" s="172">
        <f>Q10</f>
        <v>0.96351298701298715</v>
      </c>
      <c r="S5" s="28">
        <v>0.70833333333333337</v>
      </c>
      <c r="T5" s="28">
        <v>0.73888888888888893</v>
      </c>
      <c r="U5" s="4"/>
      <c r="V5" s="22">
        <f t="shared" ref="V5:V9" si="6">(T5-S5)*24*60</f>
        <v>44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62" si="7">M5-J5</f>
        <v>-90.909090909090992</v>
      </c>
      <c r="AF5" s="21">
        <f t="shared" ref="AF5:AF68" si="8">M5/J5</f>
        <v>0.95454545454545447</v>
      </c>
      <c r="AG5" s="172">
        <f>AF10</f>
        <v>0.96351298701298704</v>
      </c>
    </row>
    <row r="6" spans="1:33">
      <c r="A6" s="204" t="s">
        <v>1053</v>
      </c>
      <c r="B6" s="37" t="s">
        <v>78</v>
      </c>
      <c r="C6" s="205" t="s">
        <v>80</v>
      </c>
      <c r="D6" s="205"/>
      <c r="E6" s="37">
        <v>54.09</v>
      </c>
      <c r="F6" s="4">
        <v>1312</v>
      </c>
      <c r="G6" s="4">
        <v>70966.080000000002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1919.9999999999993</v>
      </c>
      <c r="N6" s="17">
        <f t="shared" si="2"/>
        <v>101.05263157894733</v>
      </c>
      <c r="O6" s="19">
        <f t="shared" si="3"/>
        <v>0</v>
      </c>
      <c r="P6" s="20">
        <f t="shared" si="4"/>
        <v>-4.2105263157895081</v>
      </c>
      <c r="Q6" s="21">
        <f t="shared" si="5"/>
        <v>0.95999999999999963</v>
      </c>
      <c r="R6" s="172"/>
      <c r="S6" s="28">
        <v>0.74236111111111114</v>
      </c>
      <c r="T6" s="28">
        <v>0.77083333333333337</v>
      </c>
      <c r="U6" s="4">
        <f t="shared" ref="U6:U9" si="9">IF(S6=TIME(17,0,0),"",(S6-T5)*24*60)</f>
        <v>4.9999999999999822</v>
      </c>
      <c r="V6" s="22">
        <f t="shared" si="6"/>
        <v>41.000000000000014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-80.000000000000682</v>
      </c>
      <c r="AF6" s="21">
        <f t="shared" si="8"/>
        <v>0.95999999999999963</v>
      </c>
      <c r="AG6" s="172"/>
    </row>
    <row r="7" spans="1:33">
      <c r="A7" s="204" t="s">
        <v>46</v>
      </c>
      <c r="B7" s="37" t="s">
        <v>78</v>
      </c>
      <c r="C7" s="196" t="s">
        <v>81</v>
      </c>
      <c r="D7" s="197"/>
      <c r="E7" s="37">
        <v>50.29</v>
      </c>
      <c r="F7" s="4">
        <v>766</v>
      </c>
      <c r="G7" s="4">
        <v>38522.14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1914.9999999999941</v>
      </c>
      <c r="N7" s="17">
        <f t="shared" si="2"/>
        <v>119.68749999999963</v>
      </c>
      <c r="O7" s="19">
        <f t="shared" si="3"/>
        <v>0</v>
      </c>
      <c r="P7" s="20">
        <f t="shared" si="4"/>
        <v>-5.3125000000003695</v>
      </c>
      <c r="Q7" s="21">
        <f t="shared" si="5"/>
        <v>0.95749999999999702</v>
      </c>
      <c r="R7" s="172"/>
      <c r="S7" s="28">
        <v>0.77638888888888891</v>
      </c>
      <c r="T7" s="28">
        <v>0.79305555555555562</v>
      </c>
      <c r="U7" s="4">
        <f t="shared" si="9"/>
        <v>7.9999999999999716</v>
      </c>
      <c r="V7" s="22">
        <f t="shared" si="6"/>
        <v>24.000000000000075</v>
      </c>
      <c r="W7" s="23"/>
      <c r="X7" s="23"/>
      <c r="Y7" s="26"/>
      <c r="Z7" s="26"/>
      <c r="AA7" s="175"/>
      <c r="AB7" s="176"/>
      <c r="AC7" s="25"/>
      <c r="AD7" s="27"/>
      <c r="AE7" s="19">
        <f t="shared" si="7"/>
        <v>-85.000000000005912</v>
      </c>
      <c r="AF7" s="21">
        <f t="shared" si="8"/>
        <v>0.95749999999999702</v>
      </c>
      <c r="AG7" s="172"/>
    </row>
    <row r="8" spans="1:33">
      <c r="A8" s="204" t="s">
        <v>46</v>
      </c>
      <c r="B8" s="37" t="s">
        <v>78</v>
      </c>
      <c r="C8" s="196" t="s">
        <v>82</v>
      </c>
      <c r="D8" s="197"/>
      <c r="E8" s="37">
        <v>57.3</v>
      </c>
      <c r="F8" s="4">
        <v>1414</v>
      </c>
      <c r="G8" s="4">
        <v>81022.2</v>
      </c>
      <c r="H8" s="22" t="s">
        <v>139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1928.181818181818</v>
      </c>
      <c r="N8" s="17">
        <f t="shared" si="2"/>
        <v>128.54545454545453</v>
      </c>
      <c r="O8" s="19">
        <f t="shared" si="3"/>
        <v>0</v>
      </c>
      <c r="P8" s="20">
        <f t="shared" si="4"/>
        <v>-4.7878787878788103</v>
      </c>
      <c r="Q8" s="21">
        <f t="shared" si="5"/>
        <v>0.96409090909090889</v>
      </c>
      <c r="R8" s="172"/>
      <c r="S8" s="28">
        <v>0.79722222222222228</v>
      </c>
      <c r="T8" s="28">
        <v>0.82777777777777783</v>
      </c>
      <c r="U8" s="4">
        <f t="shared" si="9"/>
        <v>5.9999999999999787</v>
      </c>
      <c r="V8" s="22">
        <f t="shared" si="6"/>
        <v>44</v>
      </c>
      <c r="W8" s="28"/>
      <c r="X8" s="28"/>
      <c r="Y8" s="29"/>
      <c r="Z8" s="29"/>
      <c r="AA8" s="175"/>
      <c r="AB8" s="176"/>
      <c r="AC8" s="25"/>
      <c r="AD8" s="27"/>
      <c r="AE8" s="19">
        <f t="shared" si="7"/>
        <v>-71.818181818181984</v>
      </c>
      <c r="AF8" s="21">
        <f t="shared" si="8"/>
        <v>0.964090909090909</v>
      </c>
      <c r="AG8" s="172"/>
    </row>
    <row r="9" spans="1:33">
      <c r="A9" s="204" t="s">
        <v>1053</v>
      </c>
      <c r="B9" s="37" t="s">
        <v>78</v>
      </c>
      <c r="C9" s="196" t="s">
        <v>83</v>
      </c>
      <c r="D9" s="197"/>
      <c r="E9" s="37">
        <v>50.67</v>
      </c>
      <c r="F9" s="4">
        <v>687</v>
      </c>
      <c r="G9" s="4">
        <v>34810.29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1962.8571428571497</v>
      </c>
      <c r="N9" s="17">
        <f t="shared" si="2"/>
        <v>93.46938775510236</v>
      </c>
      <c r="O9" s="19">
        <f t="shared" si="3"/>
        <v>0</v>
      </c>
      <c r="P9" s="20">
        <f t="shared" si="4"/>
        <v>-1.7687074829928804</v>
      </c>
      <c r="Q9" s="21">
        <f t="shared" si="5"/>
        <v>0.98142857142857476</v>
      </c>
      <c r="R9" s="172"/>
      <c r="S9" s="28">
        <v>0.83333333333333337</v>
      </c>
      <c r="T9" s="28">
        <v>0.84791666666666665</v>
      </c>
      <c r="U9" s="4">
        <f t="shared" si="9"/>
        <v>7.9999999999999716</v>
      </c>
      <c r="V9" s="22">
        <f t="shared" si="6"/>
        <v>20.999999999999925</v>
      </c>
      <c r="W9" s="23"/>
      <c r="X9" s="23"/>
      <c r="Y9" s="26"/>
      <c r="Z9" s="26"/>
      <c r="AA9" s="175"/>
      <c r="AB9" s="176"/>
      <c r="AC9" s="25"/>
      <c r="AD9" s="27"/>
      <c r="AE9" s="19">
        <f t="shared" si="7"/>
        <v>-37.142857142850289</v>
      </c>
      <c r="AF9" s="21">
        <f t="shared" si="8"/>
        <v>0.98142857142857487</v>
      </c>
      <c r="AG9" s="172"/>
    </row>
    <row r="10" spans="1:33">
      <c r="A10" s="204" t="s">
        <v>46</v>
      </c>
      <c r="B10" s="37" t="s">
        <v>51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0"/>
        <v>113.63636363636363</v>
      </c>
      <c r="L10" s="30">
        <v>17.600000000000001</v>
      </c>
      <c r="M10" s="18">
        <f>AVERAGE(M5:M9)</f>
        <v>1927.0259740259742</v>
      </c>
      <c r="N10" s="17">
        <f t="shared" si="2"/>
        <v>109.49011216056671</v>
      </c>
      <c r="O10" s="19">
        <f t="shared" si="3"/>
        <v>0</v>
      </c>
      <c r="P10" s="20">
        <f t="shared" si="4"/>
        <v>-4.146251475796916</v>
      </c>
      <c r="Q10" s="21">
        <f t="shared" si="5"/>
        <v>0.96351298701298715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7"/>
        <v>-72.974025974025835</v>
      </c>
      <c r="AF10" s="21">
        <f t="shared" si="8"/>
        <v>0.96351298701298704</v>
      </c>
      <c r="AG10" s="172"/>
    </row>
    <row r="11" spans="1:33" ht="15.75" customHeight="1">
      <c r="A11" s="200" t="s">
        <v>1054</v>
      </c>
      <c r="B11" s="37" t="s">
        <v>84</v>
      </c>
      <c r="C11" s="196" t="s">
        <v>85</v>
      </c>
      <c r="D11" s="197"/>
      <c r="E11" s="37">
        <v>39.619999999999997</v>
      </c>
      <c r="F11" s="4">
        <v>2641</v>
      </c>
      <c r="G11" s="4">
        <v>104636.42</v>
      </c>
      <c r="H11" s="22" t="s">
        <v>139</v>
      </c>
      <c r="I11" s="16">
        <v>19</v>
      </c>
      <c r="J11" s="18">
        <v>1500</v>
      </c>
      <c r="K11" s="17">
        <f t="shared" si="0"/>
        <v>78.94736842105263</v>
      </c>
      <c r="L11" s="16">
        <v>19</v>
      </c>
      <c r="M11" s="18">
        <f t="shared" ref="M11:M12" si="10">F11/V11*60</f>
        <v>1427.5675675675679</v>
      </c>
      <c r="N11" s="17">
        <f t="shared" si="2"/>
        <v>75.135135135135158</v>
      </c>
      <c r="O11" s="19">
        <f t="shared" si="3"/>
        <v>0</v>
      </c>
      <c r="P11" s="20">
        <f t="shared" si="4"/>
        <v>-3.8122332859174719</v>
      </c>
      <c r="Q11" s="21">
        <f t="shared" si="5"/>
        <v>0.95171171171171198</v>
      </c>
      <c r="R11" s="172">
        <f>Q13</f>
        <v>0.95346064627501781</v>
      </c>
      <c r="S11" s="28">
        <v>0.20833333333333334</v>
      </c>
      <c r="T11" s="28">
        <v>0.28541666666666665</v>
      </c>
      <c r="U11" s="4"/>
      <c r="V11" s="22">
        <f t="shared" ref="V11:V12" si="11">(T11-S11)*24*60</f>
        <v>110.99999999999997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7"/>
        <v>-72.432432432432051</v>
      </c>
      <c r="AF11" s="21">
        <f t="shared" si="8"/>
        <v>0.95171171171171198</v>
      </c>
      <c r="AG11" s="172">
        <f>AF13</f>
        <v>0.9534606462750177</v>
      </c>
    </row>
    <row r="12" spans="1:33" ht="15.75" customHeight="1">
      <c r="A12" s="200" t="s">
        <v>1054</v>
      </c>
      <c r="B12" s="37" t="s">
        <v>84</v>
      </c>
      <c r="C12" s="196" t="s">
        <v>86</v>
      </c>
      <c r="D12" s="197"/>
      <c r="E12" s="37">
        <v>39.799999999999997</v>
      </c>
      <c r="F12" s="4">
        <v>3988</v>
      </c>
      <c r="G12" s="4">
        <v>158722.4</v>
      </c>
      <c r="H12" s="22" t="s">
        <v>139</v>
      </c>
      <c r="I12" s="16">
        <v>17</v>
      </c>
      <c r="J12" s="18">
        <v>1500</v>
      </c>
      <c r="K12" s="17">
        <f t="shared" si="0"/>
        <v>88.235294117647058</v>
      </c>
      <c r="L12" s="16">
        <v>17</v>
      </c>
      <c r="M12" s="18">
        <f t="shared" si="10"/>
        <v>1432.8143712574854</v>
      </c>
      <c r="N12" s="17">
        <f t="shared" si="2"/>
        <v>84.283198309263852</v>
      </c>
      <c r="O12" s="19">
        <f t="shared" si="3"/>
        <v>0</v>
      </c>
      <c r="P12" s="20">
        <f t="shared" si="4"/>
        <v>-3.9520958083832056</v>
      </c>
      <c r="Q12" s="21">
        <f t="shared" si="5"/>
        <v>0.95520958083832364</v>
      </c>
      <c r="R12" s="172"/>
      <c r="S12" s="28">
        <v>0.29097222222222219</v>
      </c>
      <c r="T12" s="28">
        <v>0.40694444444444439</v>
      </c>
      <c r="U12" s="4">
        <f t="shared" ref="U12" si="12">IF(S12=TIME(17,0,0),"",(S12-T11)*24*60)</f>
        <v>7.9999999999999716</v>
      </c>
      <c r="V12" s="22">
        <f t="shared" si="11"/>
        <v>166.99999999999997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7"/>
        <v>-67.185628742514609</v>
      </c>
      <c r="AF12" s="21">
        <f t="shared" si="8"/>
        <v>0.95520958083832364</v>
      </c>
      <c r="AG12" s="172"/>
    </row>
    <row r="13" spans="1:33" ht="16.5" customHeight="1">
      <c r="A13" s="200" t="s">
        <v>50</v>
      </c>
      <c r="B13" s="37" t="s">
        <v>51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0"/>
        <v>83.333333333333329</v>
      </c>
      <c r="L13" s="30">
        <v>18</v>
      </c>
      <c r="M13" s="18">
        <f>AVERAGE(M11:M12)</f>
        <v>1430.1909694125266</v>
      </c>
      <c r="N13" s="17">
        <f t="shared" si="2"/>
        <v>79.455053856251482</v>
      </c>
      <c r="O13" s="19">
        <f t="shared" si="3"/>
        <v>0</v>
      </c>
      <c r="P13" s="20">
        <f t="shared" si="4"/>
        <v>-3.8782794770818469</v>
      </c>
      <c r="Q13" s="21">
        <f t="shared" si="5"/>
        <v>0.95346064627501781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7"/>
        <v>-69.809030587473444</v>
      </c>
      <c r="AF13" s="21">
        <f t="shared" si="8"/>
        <v>0.9534606462750177</v>
      </c>
      <c r="AG13" s="172"/>
    </row>
    <row r="14" spans="1:33" ht="16.5" customHeight="1">
      <c r="A14" s="198" t="s">
        <v>53</v>
      </c>
      <c r="B14" s="4" t="s">
        <v>87</v>
      </c>
      <c r="C14" s="190" t="s">
        <v>88</v>
      </c>
      <c r="D14" s="190"/>
      <c r="E14" s="37">
        <v>41</v>
      </c>
      <c r="F14" s="4">
        <v>2487</v>
      </c>
      <c r="G14" s="4">
        <v>101967</v>
      </c>
      <c r="H14" s="22" t="s">
        <v>139</v>
      </c>
      <c r="I14" s="16">
        <v>26</v>
      </c>
      <c r="J14" s="18">
        <v>1500</v>
      </c>
      <c r="K14" s="17">
        <f t="shared" si="0"/>
        <v>57.692307692307693</v>
      </c>
      <c r="L14" s="16">
        <v>26</v>
      </c>
      <c r="M14" s="18">
        <f t="shared" ref="M14:M20" si="13">F14/V14*60</f>
        <v>1434.8076923076924</v>
      </c>
      <c r="N14" s="17">
        <f t="shared" si="2"/>
        <v>55.184911242603555</v>
      </c>
      <c r="O14" s="19">
        <f t="shared" si="3"/>
        <v>0</v>
      </c>
      <c r="P14" s="20">
        <f t="shared" si="4"/>
        <v>-2.5073964497041388</v>
      </c>
      <c r="Q14" s="21">
        <f t="shared" si="5"/>
        <v>0.95653846153846156</v>
      </c>
      <c r="R14" s="172">
        <f>Q21</f>
        <v>0.96485027199563733</v>
      </c>
      <c r="S14" s="28">
        <v>0.20833333333333334</v>
      </c>
      <c r="T14" s="28">
        <v>0.28055555555555556</v>
      </c>
      <c r="U14" s="4"/>
      <c r="V14" s="22">
        <f t="shared" ref="V14:V20" si="14">(T14-S14)*24*60</f>
        <v>103.99999999999999</v>
      </c>
      <c r="W14" s="28"/>
      <c r="X14" s="28"/>
      <c r="Y14" s="28"/>
      <c r="Z14" s="28"/>
      <c r="AA14" s="164"/>
      <c r="AB14" s="164"/>
      <c r="AC14" s="25">
        <v>7</v>
      </c>
      <c r="AD14" s="25"/>
      <c r="AE14" s="19">
        <f t="shared" si="7"/>
        <v>-65.192307692307622</v>
      </c>
      <c r="AF14" s="21">
        <f t="shared" si="8"/>
        <v>0.95653846153846156</v>
      </c>
      <c r="AG14" s="172">
        <f>AF21</f>
        <v>0.96485027199563733</v>
      </c>
    </row>
    <row r="15" spans="1:33" ht="16.5" customHeight="1">
      <c r="A15" s="199" t="s">
        <v>53</v>
      </c>
      <c r="B15" s="4" t="s">
        <v>89</v>
      </c>
      <c r="C15" s="190" t="s">
        <v>90</v>
      </c>
      <c r="D15" s="190"/>
      <c r="E15" s="37">
        <v>72.400000000000006</v>
      </c>
      <c r="F15" s="4">
        <v>655</v>
      </c>
      <c r="G15" s="4">
        <v>47422.000000000007</v>
      </c>
      <c r="H15" s="22" t="s">
        <v>139</v>
      </c>
      <c r="I15" s="16">
        <v>18</v>
      </c>
      <c r="J15" s="18">
        <v>1500</v>
      </c>
      <c r="K15" s="17">
        <f t="shared" si="0"/>
        <v>83.333333333333329</v>
      </c>
      <c r="L15" s="16">
        <v>18</v>
      </c>
      <c r="M15" s="18">
        <f t="shared" si="13"/>
        <v>1455.5555555555563</v>
      </c>
      <c r="N15" s="17">
        <f t="shared" si="2"/>
        <v>80.864197530864246</v>
      </c>
      <c r="O15" s="19">
        <f t="shared" si="3"/>
        <v>0</v>
      </c>
      <c r="P15" s="20">
        <f t="shared" si="4"/>
        <v>-2.4691358024690828</v>
      </c>
      <c r="Q15" s="21">
        <f t="shared" si="5"/>
        <v>0.97037037037037099</v>
      </c>
      <c r="R15" s="172"/>
      <c r="S15" s="28">
        <v>0.28402777777777777</v>
      </c>
      <c r="T15" s="28">
        <v>0.30277777777777776</v>
      </c>
      <c r="U15" s="4">
        <f t="shared" ref="U15:U20" si="15">IF(S15=TIME(17,0,0),"",(S15-T14)*24*60)</f>
        <v>4.9999999999999822</v>
      </c>
      <c r="V15" s="22">
        <f t="shared" si="14"/>
        <v>26.999999999999986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7"/>
        <v>-44.444444444443661</v>
      </c>
      <c r="AF15" s="21">
        <f t="shared" si="8"/>
        <v>0.97037037037037088</v>
      </c>
      <c r="AG15" s="172"/>
    </row>
    <row r="16" spans="1:33" ht="16.5" customHeight="1">
      <c r="A16" s="199" t="s">
        <v>1055</v>
      </c>
      <c r="B16" s="4" t="s">
        <v>78</v>
      </c>
      <c r="C16" s="190" t="s">
        <v>91</v>
      </c>
      <c r="D16" s="190"/>
      <c r="E16" s="37">
        <v>50.98</v>
      </c>
      <c r="F16" s="4">
        <v>1000</v>
      </c>
      <c r="G16" s="4">
        <v>50980</v>
      </c>
      <c r="H16" s="22">
        <v>2</v>
      </c>
      <c r="I16" s="16">
        <v>16</v>
      </c>
      <c r="J16" s="18">
        <v>2000</v>
      </c>
      <c r="K16" s="17">
        <f t="shared" si="0"/>
        <v>125</v>
      </c>
      <c r="L16" s="16">
        <v>16</v>
      </c>
      <c r="M16" s="18">
        <f t="shared" si="13"/>
        <v>1935.483870967739</v>
      </c>
      <c r="N16" s="17">
        <f t="shared" si="2"/>
        <v>120.96774193548369</v>
      </c>
      <c r="O16" s="19">
        <f t="shared" si="3"/>
        <v>0</v>
      </c>
      <c r="P16" s="20">
        <f t="shared" si="4"/>
        <v>-4.0322580645163129</v>
      </c>
      <c r="Q16" s="21">
        <f t="shared" si="5"/>
        <v>0.96774193548386944</v>
      </c>
      <c r="R16" s="172"/>
      <c r="S16" s="28">
        <v>0.70833333333333337</v>
      </c>
      <c r="T16" s="28">
        <v>0.72986111111111118</v>
      </c>
      <c r="U16" s="4" t="str">
        <f t="shared" si="15"/>
        <v/>
      </c>
      <c r="V16" s="22">
        <f t="shared" si="14"/>
        <v>31.00000000000005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-64.516129032261006</v>
      </c>
      <c r="AF16" s="21">
        <f t="shared" si="8"/>
        <v>0.96774193548386944</v>
      </c>
      <c r="AG16" s="172"/>
    </row>
    <row r="17" spans="1:33" ht="16.5" customHeight="1">
      <c r="A17" s="199" t="s">
        <v>53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v>40736</v>
      </c>
      <c r="H17" s="22">
        <v>2</v>
      </c>
      <c r="I17" s="16">
        <v>15</v>
      </c>
      <c r="J17" s="18">
        <v>2000</v>
      </c>
      <c r="K17" s="17">
        <f t="shared" si="0"/>
        <v>133.33333333333334</v>
      </c>
      <c r="L17" s="16">
        <v>15</v>
      </c>
      <c r="M17" s="18">
        <f t="shared" si="13"/>
        <v>1919.9999999999945</v>
      </c>
      <c r="N17" s="17">
        <f t="shared" si="2"/>
        <v>127.99999999999963</v>
      </c>
      <c r="O17" s="19">
        <f t="shared" si="3"/>
        <v>0</v>
      </c>
      <c r="P17" s="20">
        <f t="shared" si="4"/>
        <v>-5.3333333333337123</v>
      </c>
      <c r="Q17" s="21">
        <f t="shared" si="5"/>
        <v>0.95999999999999719</v>
      </c>
      <c r="R17" s="172"/>
      <c r="S17" s="28">
        <v>0.73472222222222228</v>
      </c>
      <c r="T17" s="28">
        <v>0.75208333333333344</v>
      </c>
      <c r="U17" s="4">
        <f t="shared" si="15"/>
        <v>6.9999999999999751</v>
      </c>
      <c r="V17" s="22">
        <f t="shared" si="14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-80.000000000005457</v>
      </c>
      <c r="AF17" s="21">
        <f t="shared" si="8"/>
        <v>0.9599999999999973</v>
      </c>
      <c r="AG17" s="172"/>
    </row>
    <row r="18" spans="1:33" ht="16.5" customHeight="1">
      <c r="A18" s="199" t="s">
        <v>53</v>
      </c>
      <c r="B18" s="4" t="s">
        <v>78</v>
      </c>
      <c r="C18" s="190" t="s">
        <v>93</v>
      </c>
      <c r="D18" s="190"/>
      <c r="E18" s="37">
        <v>50.67</v>
      </c>
      <c r="F18" s="4">
        <v>1424</v>
      </c>
      <c r="G18" s="4">
        <v>72154.080000000002</v>
      </c>
      <c r="H18" s="22" t="s">
        <v>139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1941.818181818182</v>
      </c>
      <c r="N18" s="17">
        <f t="shared" si="2"/>
        <v>129.45454545454547</v>
      </c>
      <c r="O18" s="19">
        <f t="shared" si="3"/>
        <v>0</v>
      </c>
      <c r="P18" s="20">
        <f t="shared" si="4"/>
        <v>-3.8787878787878753</v>
      </c>
      <c r="Q18" s="21">
        <f t="shared" si="5"/>
        <v>0.97090909090909094</v>
      </c>
      <c r="R18" s="172"/>
      <c r="S18" s="28">
        <v>0.75694444444444453</v>
      </c>
      <c r="T18" s="28">
        <v>0.78750000000000009</v>
      </c>
      <c r="U18" s="4">
        <f t="shared" si="15"/>
        <v>6.9999999999999751</v>
      </c>
      <c r="V18" s="22">
        <f t="shared" si="14"/>
        <v>44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-58.181818181818016</v>
      </c>
      <c r="AF18" s="21">
        <f t="shared" si="8"/>
        <v>0.97090909090909094</v>
      </c>
      <c r="AG18" s="172"/>
    </row>
    <row r="19" spans="1:33" ht="16.5" customHeight="1">
      <c r="A19" s="199" t="s">
        <v>53</v>
      </c>
      <c r="B19" s="4" t="s">
        <v>78</v>
      </c>
      <c r="C19" s="217" t="s">
        <v>94</v>
      </c>
      <c r="D19" s="218"/>
      <c r="E19" s="37">
        <v>57.3</v>
      </c>
      <c r="F19" s="4">
        <v>1641</v>
      </c>
      <c r="G19" s="4">
        <v>94029.299999999988</v>
      </c>
      <c r="H19" s="22" t="s">
        <v>139</v>
      </c>
      <c r="I19" s="16">
        <v>13</v>
      </c>
      <c r="J19" s="18">
        <v>2000</v>
      </c>
      <c r="K19" s="17">
        <f t="shared" si="0"/>
        <v>153.84615384615384</v>
      </c>
      <c r="L19" s="16">
        <v>13</v>
      </c>
      <c r="M19" s="18">
        <f t="shared" si="13"/>
        <v>1930.5882352941182</v>
      </c>
      <c r="N19" s="17">
        <f t="shared" si="2"/>
        <v>148.5067873303168</v>
      </c>
      <c r="O19" s="19">
        <f t="shared" si="3"/>
        <v>0</v>
      </c>
      <c r="P19" s="20">
        <f t="shared" si="4"/>
        <v>-5.3393665158370425</v>
      </c>
      <c r="Q19" s="21">
        <f t="shared" si="5"/>
        <v>0.96529411764705919</v>
      </c>
      <c r="R19" s="172"/>
      <c r="S19" s="28">
        <v>0.79305555555555562</v>
      </c>
      <c r="T19" s="28">
        <v>0.82847222222222228</v>
      </c>
      <c r="U19" s="4">
        <f t="shared" si="15"/>
        <v>7.9999999999999716</v>
      </c>
      <c r="V19" s="22">
        <f t="shared" si="14"/>
        <v>50.999999999999979</v>
      </c>
      <c r="W19" s="23">
        <f>T19</f>
        <v>0.82847222222222228</v>
      </c>
      <c r="X19" s="23">
        <f>S20</f>
        <v>0.86736111111111114</v>
      </c>
      <c r="Y19" s="26"/>
      <c r="Z19" s="26"/>
      <c r="AA19" s="175"/>
      <c r="AB19" s="176"/>
      <c r="AC19" s="25"/>
      <c r="AD19" s="25"/>
      <c r="AE19" s="19">
        <f t="shared" si="7"/>
        <v>-69.411764705881751</v>
      </c>
      <c r="AF19" s="21">
        <f t="shared" si="8"/>
        <v>0.96529411764705908</v>
      </c>
      <c r="AG19" s="172"/>
    </row>
    <row r="20" spans="1:33" ht="16.5" customHeight="1">
      <c r="A20" s="199" t="s">
        <v>53</v>
      </c>
      <c r="B20" s="4" t="s">
        <v>78</v>
      </c>
      <c r="C20" s="39" t="s">
        <v>91</v>
      </c>
      <c r="D20" s="40"/>
      <c r="E20" s="37">
        <v>50.98</v>
      </c>
      <c r="F20" s="4">
        <v>1604</v>
      </c>
      <c r="G20" s="4">
        <v>81771.92</v>
      </c>
      <c r="H20" s="22" t="s">
        <v>139</v>
      </c>
      <c r="I20" s="16">
        <v>16</v>
      </c>
      <c r="J20" s="18">
        <v>2000</v>
      </c>
      <c r="K20" s="17">
        <f t="shared" si="0"/>
        <v>125</v>
      </c>
      <c r="L20" s="16">
        <v>16</v>
      </c>
      <c r="M20" s="18">
        <f t="shared" si="13"/>
        <v>1924.8000000000006</v>
      </c>
      <c r="N20" s="17">
        <f t="shared" si="2"/>
        <v>120.30000000000004</v>
      </c>
      <c r="O20" s="19">
        <f t="shared" si="3"/>
        <v>0</v>
      </c>
      <c r="P20" s="20">
        <f t="shared" si="4"/>
        <v>-4.6999999999999602</v>
      </c>
      <c r="Q20" s="21">
        <f t="shared" si="5"/>
        <v>0.96240000000000037</v>
      </c>
      <c r="R20" s="172"/>
      <c r="S20" s="28">
        <v>0.86736111111111114</v>
      </c>
      <c r="T20" s="28">
        <v>0.90208333333333335</v>
      </c>
      <c r="U20" s="4">
        <f t="shared" si="15"/>
        <v>55.999999999999957</v>
      </c>
      <c r="V20" s="22">
        <f t="shared" si="14"/>
        <v>49.999999999999986</v>
      </c>
      <c r="W20" s="23"/>
      <c r="X20" s="23"/>
      <c r="Y20" s="26"/>
      <c r="Z20" s="26"/>
      <c r="AA20" s="175"/>
      <c r="AB20" s="176"/>
      <c r="AC20" s="25"/>
      <c r="AD20" s="25"/>
      <c r="AE20" s="19">
        <f t="shared" si="7"/>
        <v>-75.199999999999363</v>
      </c>
      <c r="AF20" s="21">
        <f t="shared" si="8"/>
        <v>0.96240000000000037</v>
      </c>
      <c r="AG20" s="172"/>
    </row>
    <row r="21" spans="1:33" ht="16.5" customHeight="1">
      <c r="A21" s="199" t="s">
        <v>53</v>
      </c>
      <c r="B21" s="37" t="s">
        <v>51</v>
      </c>
      <c r="C21" s="177"/>
      <c r="D21" s="177"/>
      <c r="E21" s="38"/>
      <c r="F21" s="17"/>
      <c r="G21" s="17"/>
      <c r="H21" s="4"/>
      <c r="I21" s="30">
        <v>17</v>
      </c>
      <c r="J21" s="18">
        <v>1857.1428571428571</v>
      </c>
      <c r="K21" s="17">
        <f t="shared" si="0"/>
        <v>109.24369747899159</v>
      </c>
      <c r="L21" s="30">
        <v>17</v>
      </c>
      <c r="M21" s="18">
        <f>AVERAGE(M14:M20)</f>
        <v>1791.8647908490407</v>
      </c>
      <c r="N21" s="17">
        <f t="shared" si="2"/>
        <v>105.40381122641416</v>
      </c>
      <c r="O21" s="19">
        <f t="shared" si="3"/>
        <v>0</v>
      </c>
      <c r="P21" s="20">
        <f t="shared" si="4"/>
        <v>-3.8398862525774291</v>
      </c>
      <c r="Q21" s="21">
        <f t="shared" si="5"/>
        <v>0.96485027199563733</v>
      </c>
      <c r="R21" s="172"/>
      <c r="S21" s="28"/>
      <c r="T21" s="28"/>
      <c r="U21" s="4"/>
      <c r="V21" s="22"/>
      <c r="W21" s="17"/>
      <c r="X21" s="17"/>
      <c r="Y21" s="31">
        <f>SUM(Y14:Y20)</f>
        <v>0</v>
      </c>
      <c r="Z21" s="31">
        <f>SUM(Z14:Z20)</f>
        <v>0</v>
      </c>
      <c r="AA21" s="168"/>
      <c r="AB21" s="168"/>
      <c r="AC21" s="31">
        <v>7</v>
      </c>
      <c r="AD21" s="31">
        <f>SUM(AD14:AD20)</f>
        <v>0</v>
      </c>
      <c r="AE21" s="19">
        <f t="shared" si="7"/>
        <v>-65.278066293816437</v>
      </c>
      <c r="AF21" s="21">
        <f t="shared" si="8"/>
        <v>0.96485027199563733</v>
      </c>
      <c r="AG21" s="172"/>
    </row>
    <row r="22" spans="1:33" ht="15.75" customHeight="1">
      <c r="A22" s="194" t="s">
        <v>60</v>
      </c>
      <c r="B22" s="37" t="s">
        <v>78</v>
      </c>
      <c r="C22" s="190" t="s">
        <v>95</v>
      </c>
      <c r="D22" s="190"/>
      <c r="E22" s="37">
        <v>57.73</v>
      </c>
      <c r="F22" s="4">
        <v>2227</v>
      </c>
      <c r="G22" s="4">
        <v>128564.70999999999</v>
      </c>
      <c r="H22" s="22" t="s">
        <v>139</v>
      </c>
      <c r="I22" s="16">
        <v>14</v>
      </c>
      <c r="J22" s="18">
        <v>2000</v>
      </c>
      <c r="K22" s="17">
        <f t="shared" si="0"/>
        <v>142.85714285714286</v>
      </c>
      <c r="L22" s="16">
        <v>14</v>
      </c>
      <c r="M22" s="18">
        <f t="shared" ref="M22:M27" si="16">F22/V22*60</f>
        <v>1908.8571428571422</v>
      </c>
      <c r="N22" s="17">
        <f t="shared" si="2"/>
        <v>136.34693877551015</v>
      </c>
      <c r="O22" s="19">
        <f t="shared" si="3"/>
        <v>0</v>
      </c>
      <c r="P22" s="20">
        <f t="shared" si="4"/>
        <v>-6.5102040816327076</v>
      </c>
      <c r="Q22" s="21">
        <f t="shared" si="5"/>
        <v>0.95442857142857107</v>
      </c>
      <c r="R22" s="172">
        <f>Q28</f>
        <v>0.9642129349123445</v>
      </c>
      <c r="S22" s="28">
        <v>0.20833333333333334</v>
      </c>
      <c r="T22" s="28">
        <v>0.25694444444444448</v>
      </c>
      <c r="U22" s="4"/>
      <c r="V22" s="22">
        <f t="shared" ref="V22:V27" si="17">(T22-S22)*24*60</f>
        <v>70.000000000000028</v>
      </c>
      <c r="W22" s="28"/>
      <c r="X22" s="28"/>
      <c r="Y22" s="28"/>
      <c r="Z22" s="28"/>
      <c r="AA22" s="164"/>
      <c r="AB22" s="164"/>
      <c r="AC22" s="25">
        <v>6</v>
      </c>
      <c r="AD22" s="25"/>
      <c r="AE22" s="19">
        <f t="shared" si="7"/>
        <v>-91.142857142857792</v>
      </c>
      <c r="AF22" s="21">
        <f t="shared" si="8"/>
        <v>0.95442857142857107</v>
      </c>
      <c r="AG22" s="172">
        <f>AF28</f>
        <v>0.9642129349123445</v>
      </c>
    </row>
    <row r="23" spans="1:33" ht="15.75" customHeight="1">
      <c r="A23" s="195" t="s">
        <v>60</v>
      </c>
      <c r="B23" s="37" t="s">
        <v>78</v>
      </c>
      <c r="C23" s="190" t="s">
        <v>96</v>
      </c>
      <c r="D23" s="190"/>
      <c r="E23" s="37">
        <v>53.68</v>
      </c>
      <c r="F23" s="4">
        <v>1359</v>
      </c>
      <c r="G23" s="4">
        <v>72951.12</v>
      </c>
      <c r="H23" s="22" t="s">
        <v>139</v>
      </c>
      <c r="I23" s="16">
        <v>16</v>
      </c>
      <c r="J23" s="18">
        <v>2000</v>
      </c>
      <c r="K23" s="17">
        <f t="shared" si="0"/>
        <v>125</v>
      </c>
      <c r="L23" s="16">
        <v>16</v>
      </c>
      <c r="M23" s="18">
        <f t="shared" si="16"/>
        <v>1941.4285714285709</v>
      </c>
      <c r="N23" s="17">
        <f t="shared" si="2"/>
        <v>121.33928571428568</v>
      </c>
      <c r="O23" s="19">
        <f t="shared" si="3"/>
        <v>0</v>
      </c>
      <c r="P23" s="20">
        <f t="shared" si="4"/>
        <v>-3.6607142857143202</v>
      </c>
      <c r="Q23" s="21">
        <f t="shared" si="5"/>
        <v>0.97071428571428542</v>
      </c>
      <c r="R23" s="172"/>
      <c r="S23" s="28">
        <v>0.26180555555555557</v>
      </c>
      <c r="T23" s="28">
        <v>0.29097222222222224</v>
      </c>
      <c r="U23" s="4">
        <f t="shared" ref="U23:U27" si="18">IF(S23=TIME(17,0,0),"",(S23-T22)*24*60)</f>
        <v>6.9999999999999751</v>
      </c>
      <c r="V23" s="22">
        <f t="shared" si="17"/>
        <v>42.000000000000014</v>
      </c>
      <c r="W23" s="23"/>
      <c r="X23" s="4"/>
      <c r="Y23" s="4"/>
      <c r="Z23" s="4"/>
      <c r="AA23" s="164"/>
      <c r="AB23" s="164"/>
      <c r="AC23" s="25"/>
      <c r="AD23" s="25"/>
      <c r="AE23" s="19">
        <f t="shared" si="7"/>
        <v>-58.571428571429124</v>
      </c>
      <c r="AF23" s="21">
        <f t="shared" si="8"/>
        <v>0.97071428571428542</v>
      </c>
      <c r="AG23" s="172"/>
    </row>
    <row r="24" spans="1:33" ht="15.75" customHeight="1">
      <c r="A24" s="195" t="s">
        <v>60</v>
      </c>
      <c r="B24" s="37" t="s">
        <v>78</v>
      </c>
      <c r="C24" s="190" t="s">
        <v>97</v>
      </c>
      <c r="D24" s="190"/>
      <c r="E24" s="37">
        <v>50.49</v>
      </c>
      <c r="F24" s="4">
        <v>1708</v>
      </c>
      <c r="G24" s="4">
        <v>86236.92</v>
      </c>
      <c r="H24" s="22" t="s">
        <v>139</v>
      </c>
      <c r="I24" s="16">
        <v>15</v>
      </c>
      <c r="J24" s="18">
        <v>2000</v>
      </c>
      <c r="K24" s="17">
        <f t="shared" si="0"/>
        <v>133.33333333333334</v>
      </c>
      <c r="L24" s="16">
        <v>15</v>
      </c>
      <c r="M24" s="18">
        <f t="shared" si="16"/>
        <v>1933.5849056603786</v>
      </c>
      <c r="N24" s="17">
        <f t="shared" si="2"/>
        <v>128.90566037735857</v>
      </c>
      <c r="O24" s="19">
        <f t="shared" si="3"/>
        <v>0</v>
      </c>
      <c r="P24" s="20">
        <f t="shared" si="4"/>
        <v>-4.4276729559747707</v>
      </c>
      <c r="Q24" s="21">
        <f t="shared" si="5"/>
        <v>0.96679245283018922</v>
      </c>
      <c r="R24" s="172"/>
      <c r="S24" s="28">
        <v>0.70833333333333337</v>
      </c>
      <c r="T24" s="28">
        <v>0.74513888888888891</v>
      </c>
      <c r="U24" s="4" t="str">
        <f t="shared" si="18"/>
        <v/>
      </c>
      <c r="V24" s="22">
        <f t="shared" si="17"/>
        <v>52.999999999999972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-66.415094339621419</v>
      </c>
      <c r="AF24" s="21">
        <f t="shared" si="8"/>
        <v>0.96679245283018933</v>
      </c>
      <c r="AG24" s="172"/>
    </row>
    <row r="25" spans="1:33" ht="15.75" customHeight="1">
      <c r="A25" s="195" t="s">
        <v>1056</v>
      </c>
      <c r="B25" s="37" t="s">
        <v>78</v>
      </c>
      <c r="C25" s="190" t="s">
        <v>98</v>
      </c>
      <c r="D25" s="190"/>
      <c r="E25" s="37">
        <v>50.67</v>
      </c>
      <c r="F25" s="4">
        <v>1008</v>
      </c>
      <c r="G25" s="4">
        <v>51075.360000000001</v>
      </c>
      <c r="H25" s="22" t="s">
        <v>139</v>
      </c>
      <c r="I25" s="16">
        <v>16</v>
      </c>
      <c r="J25" s="18">
        <v>2000</v>
      </c>
      <c r="K25" s="17">
        <f t="shared" si="0"/>
        <v>125</v>
      </c>
      <c r="L25" s="16">
        <v>16</v>
      </c>
      <c r="M25" s="18">
        <f t="shared" si="16"/>
        <v>1950.9677419354809</v>
      </c>
      <c r="N25" s="17">
        <f t="shared" si="2"/>
        <v>121.93548387096756</v>
      </c>
      <c r="O25" s="19">
        <f t="shared" si="3"/>
        <v>0</v>
      </c>
      <c r="P25" s="20">
        <f t="shared" si="4"/>
        <v>-3.064516129032441</v>
      </c>
      <c r="Q25" s="21">
        <f t="shared" si="5"/>
        <v>0.97548387096774047</v>
      </c>
      <c r="R25" s="172"/>
      <c r="S25" s="28">
        <v>0.74861111111111112</v>
      </c>
      <c r="T25" s="28">
        <v>0.77013888888888893</v>
      </c>
      <c r="U25" s="4">
        <f t="shared" si="18"/>
        <v>4.9999999999999822</v>
      </c>
      <c r="V25" s="22">
        <f t="shared" si="17"/>
        <v>31.00000000000005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-49.032258064519056</v>
      </c>
      <c r="AF25" s="21">
        <f t="shared" si="8"/>
        <v>0.97548387096774047</v>
      </c>
      <c r="AG25" s="172"/>
    </row>
    <row r="26" spans="1:33" ht="15.75" customHeight="1">
      <c r="A26" s="195" t="s">
        <v>60</v>
      </c>
      <c r="B26" s="37" t="s">
        <v>78</v>
      </c>
      <c r="C26" s="190" t="s">
        <v>99</v>
      </c>
      <c r="D26" s="190"/>
      <c r="E26" s="37">
        <v>53.68</v>
      </c>
      <c r="F26" s="4">
        <v>1844</v>
      </c>
      <c r="G26" s="4">
        <v>98985.919999999998</v>
      </c>
      <c r="H26" s="22" t="s">
        <v>139</v>
      </c>
      <c r="I26" s="16">
        <v>16</v>
      </c>
      <c r="J26" s="18">
        <v>1500</v>
      </c>
      <c r="K26" s="17">
        <f t="shared" si="0"/>
        <v>93.75</v>
      </c>
      <c r="L26" s="16">
        <v>16</v>
      </c>
      <c r="M26" s="18">
        <f t="shared" si="16"/>
        <v>1436.8831168831159</v>
      </c>
      <c r="N26" s="17">
        <f t="shared" si="2"/>
        <v>89.805194805194745</v>
      </c>
      <c r="O26" s="19">
        <f t="shared" si="3"/>
        <v>0</v>
      </c>
      <c r="P26" s="20">
        <f t="shared" si="4"/>
        <v>-3.9448051948052552</v>
      </c>
      <c r="Q26" s="21">
        <f t="shared" si="5"/>
        <v>0.95792207792207729</v>
      </c>
      <c r="R26" s="172"/>
      <c r="S26" s="28">
        <v>0.77500000000000002</v>
      </c>
      <c r="T26" s="28">
        <v>0.82847222222222228</v>
      </c>
      <c r="U26" s="4">
        <f t="shared" si="18"/>
        <v>6.9999999999999751</v>
      </c>
      <c r="V26" s="22">
        <f t="shared" si="17"/>
        <v>77.000000000000043</v>
      </c>
      <c r="W26" s="23">
        <f>T26</f>
        <v>0.82847222222222228</v>
      </c>
      <c r="X26" s="23">
        <f>S27</f>
        <v>0.86875000000000002</v>
      </c>
      <c r="Y26" s="4"/>
      <c r="Z26" s="4"/>
      <c r="AA26" s="164"/>
      <c r="AB26" s="164"/>
      <c r="AC26" s="25"/>
      <c r="AD26" s="25"/>
      <c r="AE26" s="19">
        <f t="shared" si="7"/>
        <v>-63.116883116884082</v>
      </c>
      <c r="AF26" s="21">
        <f t="shared" si="8"/>
        <v>0.95792207792207729</v>
      </c>
      <c r="AG26" s="172"/>
    </row>
    <row r="27" spans="1:33" ht="15.75" customHeight="1">
      <c r="A27" s="195" t="s">
        <v>60</v>
      </c>
      <c r="B27" s="37" t="s">
        <v>78</v>
      </c>
      <c r="C27" s="190" t="s">
        <v>92</v>
      </c>
      <c r="D27" s="190"/>
      <c r="E27" s="37">
        <v>50.92</v>
      </c>
      <c r="F27" s="4">
        <v>1757</v>
      </c>
      <c r="G27" s="4">
        <v>89466.44</v>
      </c>
      <c r="H27" s="22" t="s">
        <v>139</v>
      </c>
      <c r="I27" s="16">
        <v>15</v>
      </c>
      <c r="J27" s="18">
        <v>2000</v>
      </c>
      <c r="K27" s="17">
        <f t="shared" si="0"/>
        <v>133.33333333333334</v>
      </c>
      <c r="L27" s="16">
        <v>15</v>
      </c>
      <c r="M27" s="18">
        <f t="shared" si="16"/>
        <v>1916.7272727272739</v>
      </c>
      <c r="N27" s="17">
        <f t="shared" si="2"/>
        <v>127.78181818181825</v>
      </c>
      <c r="O27" s="19">
        <f t="shared" si="3"/>
        <v>0</v>
      </c>
      <c r="P27" s="20">
        <f t="shared" si="4"/>
        <v>-5.5515151515150905</v>
      </c>
      <c r="Q27" s="21">
        <f t="shared" si="5"/>
        <v>0.95836363636363686</v>
      </c>
      <c r="R27" s="172"/>
      <c r="S27" s="28">
        <v>0.86875000000000002</v>
      </c>
      <c r="T27" s="28">
        <v>0.90694444444444444</v>
      </c>
      <c r="U27" s="4">
        <f t="shared" si="18"/>
        <v>57.999999999999957</v>
      </c>
      <c r="V27" s="22">
        <f t="shared" si="17"/>
        <v>54.999999999999964</v>
      </c>
      <c r="W27" s="23"/>
      <c r="X27" s="28"/>
      <c r="Y27" s="28"/>
      <c r="Z27" s="28"/>
      <c r="AA27" s="164"/>
      <c r="AB27" s="164"/>
      <c r="AC27" s="25"/>
      <c r="AD27" s="25"/>
      <c r="AE27" s="19">
        <f t="shared" si="7"/>
        <v>-83.272727272726115</v>
      </c>
      <c r="AF27" s="21">
        <f t="shared" si="8"/>
        <v>0.95836363636363697</v>
      </c>
      <c r="AG27" s="172"/>
    </row>
    <row r="28" spans="1:33" ht="15.75" customHeight="1">
      <c r="A28" s="195" t="s">
        <v>60</v>
      </c>
      <c r="B28" s="37" t="s">
        <v>51</v>
      </c>
      <c r="C28" s="177"/>
      <c r="D28" s="177"/>
      <c r="E28" s="38"/>
      <c r="F28" s="4"/>
      <c r="G28" s="4"/>
      <c r="H28" s="4"/>
      <c r="I28" s="30">
        <v>15.333333333333334</v>
      </c>
      <c r="J28" s="18">
        <v>1916.6666666666667</v>
      </c>
      <c r="K28" s="17">
        <f t="shared" si="0"/>
        <v>125</v>
      </c>
      <c r="L28" s="30">
        <v>15.333333333333334</v>
      </c>
      <c r="M28" s="18">
        <f>AVERAGE(M22:M27)</f>
        <v>1848.0747919153271</v>
      </c>
      <c r="N28" s="17">
        <f t="shared" si="2"/>
        <v>120.52661686404306</v>
      </c>
      <c r="O28" s="19">
        <f t="shared" si="3"/>
        <v>0</v>
      </c>
      <c r="P28" s="20">
        <f t="shared" si="4"/>
        <v>-4.4733831359569365</v>
      </c>
      <c r="Q28" s="21">
        <f t="shared" si="5"/>
        <v>0.9642129349123445</v>
      </c>
      <c r="R28" s="172"/>
      <c r="S28" s="28"/>
      <c r="T28" s="28"/>
      <c r="U28" s="17"/>
      <c r="V28" s="22"/>
      <c r="W28" s="17"/>
      <c r="X28" s="17"/>
      <c r="Y28" s="31">
        <f>SUM(Y22:Y27)</f>
        <v>0</v>
      </c>
      <c r="Z28" s="31">
        <f>SUM(Z22:Z27)</f>
        <v>0</v>
      </c>
      <c r="AA28" s="168"/>
      <c r="AB28" s="168"/>
      <c r="AC28" s="31">
        <v>6</v>
      </c>
      <c r="AD28" s="31">
        <f>SUM(AD22:AD27)</f>
        <v>0</v>
      </c>
      <c r="AE28" s="19">
        <f t="shared" si="7"/>
        <v>-68.591874751339674</v>
      </c>
      <c r="AF28" s="21">
        <f t="shared" si="8"/>
        <v>0.9642129349123445</v>
      </c>
      <c r="AG28" s="172"/>
    </row>
    <row r="29" spans="1:33" ht="15.75" customHeight="1">
      <c r="A29" s="193" t="s">
        <v>61</v>
      </c>
      <c r="B29" s="37" t="s">
        <v>100</v>
      </c>
      <c r="C29" s="190" t="s">
        <v>101</v>
      </c>
      <c r="D29" s="190"/>
      <c r="E29" s="37">
        <v>31.29</v>
      </c>
      <c r="F29" s="4">
        <v>4800</v>
      </c>
      <c r="G29" s="4">
        <v>150192</v>
      </c>
      <c r="H29" s="22">
        <v>2</v>
      </c>
      <c r="I29" s="16">
        <v>18</v>
      </c>
      <c r="J29" s="18">
        <v>2400</v>
      </c>
      <c r="K29" s="17">
        <f t="shared" si="0"/>
        <v>133.33333333333334</v>
      </c>
      <c r="L29" s="16">
        <v>18</v>
      </c>
      <c r="M29" s="18">
        <f t="shared" ref="M29:M34" si="19">F29/V29*60</f>
        <v>2285.7142857142853</v>
      </c>
      <c r="N29" s="17">
        <f t="shared" si="2"/>
        <v>126.98412698412696</v>
      </c>
      <c r="O29" s="19">
        <f t="shared" si="3"/>
        <v>0</v>
      </c>
      <c r="P29" s="20">
        <f t="shared" si="4"/>
        <v>-6.3492063492063835</v>
      </c>
      <c r="Q29" s="21">
        <f t="shared" si="5"/>
        <v>0.95238095238095211</v>
      </c>
      <c r="R29" s="172">
        <f>Q35</f>
        <v>0.95455187059985536</v>
      </c>
      <c r="S29" s="28">
        <v>0.125</v>
      </c>
      <c r="T29" s="28">
        <v>0.21250000000000002</v>
      </c>
      <c r="U29" s="4"/>
      <c r="V29" s="22">
        <f t="shared" ref="V29:V34" si="20">(T29-S29)*24*60</f>
        <v>126.00000000000003</v>
      </c>
      <c r="W29" s="23">
        <f>T29</f>
        <v>0.21250000000000002</v>
      </c>
      <c r="X29" s="23">
        <f>S30</f>
        <v>0.23333333333333336</v>
      </c>
      <c r="Y29" s="23"/>
      <c r="Z29" s="23"/>
      <c r="AA29" s="164"/>
      <c r="AB29" s="164"/>
      <c r="AC29" s="25">
        <v>6</v>
      </c>
      <c r="AD29" s="25"/>
      <c r="AE29" s="19">
        <f t="shared" si="7"/>
        <v>-114.28571428571468</v>
      </c>
      <c r="AF29" s="21">
        <f t="shared" si="8"/>
        <v>0.95238095238095222</v>
      </c>
      <c r="AG29" s="172">
        <f>AF35</f>
        <v>0.95455187059985536</v>
      </c>
    </row>
    <row r="30" spans="1:33" ht="15.75" customHeight="1">
      <c r="A30" s="193" t="s">
        <v>61</v>
      </c>
      <c r="B30" s="37" t="s">
        <v>100</v>
      </c>
      <c r="C30" s="190" t="s">
        <v>102</v>
      </c>
      <c r="D30" s="190"/>
      <c r="E30" s="37">
        <v>26.2</v>
      </c>
      <c r="F30" s="4">
        <v>4509</v>
      </c>
      <c r="G30" s="4">
        <v>118135.8</v>
      </c>
      <c r="H30" s="22" t="s">
        <v>139</v>
      </c>
      <c r="I30" s="16">
        <v>20</v>
      </c>
      <c r="J30" s="18">
        <v>2400</v>
      </c>
      <c r="K30" s="17">
        <f t="shared" si="0"/>
        <v>120</v>
      </c>
      <c r="L30" s="16">
        <v>20</v>
      </c>
      <c r="M30" s="18">
        <f t="shared" si="19"/>
        <v>2292.7118644067791</v>
      </c>
      <c r="N30" s="17">
        <f t="shared" si="2"/>
        <v>114.63559322033896</v>
      </c>
      <c r="O30" s="19">
        <f t="shared" si="3"/>
        <v>0</v>
      </c>
      <c r="P30" s="20">
        <f t="shared" si="4"/>
        <v>-5.3644067796610386</v>
      </c>
      <c r="Q30" s="21">
        <f t="shared" si="5"/>
        <v>0.9552966101694913</v>
      </c>
      <c r="R30" s="172"/>
      <c r="S30" s="28">
        <v>0.23333333333333336</v>
      </c>
      <c r="T30" s="28">
        <v>0.31527777777777782</v>
      </c>
      <c r="U30" s="4">
        <f t="shared" ref="U30:U34" si="21">(S30-T29)*24*60</f>
        <v>30.000000000000014</v>
      </c>
      <c r="V30" s="22">
        <f t="shared" si="20"/>
        <v>118.00000000000001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7"/>
        <v>-107.28813559322089</v>
      </c>
      <c r="AF30" s="21">
        <f t="shared" si="8"/>
        <v>0.9552966101694913</v>
      </c>
      <c r="AG30" s="172"/>
    </row>
    <row r="31" spans="1:33" ht="15.75" customHeight="1">
      <c r="A31" s="193" t="s">
        <v>61</v>
      </c>
      <c r="B31" s="37" t="s">
        <v>100</v>
      </c>
      <c r="C31" s="190" t="s">
        <v>103</v>
      </c>
      <c r="D31" s="190"/>
      <c r="E31" s="37">
        <v>25.99</v>
      </c>
      <c r="F31" s="4">
        <v>3683</v>
      </c>
      <c r="G31" s="4">
        <v>95721.17</v>
      </c>
      <c r="H31" s="22" t="s">
        <v>139</v>
      </c>
      <c r="I31" s="16">
        <v>14</v>
      </c>
      <c r="J31" s="18">
        <v>2400</v>
      </c>
      <c r="K31" s="17">
        <f t="shared" si="0"/>
        <v>171.42857142857142</v>
      </c>
      <c r="L31" s="16">
        <v>14</v>
      </c>
      <c r="M31" s="18">
        <f t="shared" si="19"/>
        <v>2301.8750000000005</v>
      </c>
      <c r="N31" s="17">
        <f t="shared" si="2"/>
        <v>164.41964285714289</v>
      </c>
      <c r="O31" s="19">
        <f t="shared" si="3"/>
        <v>0</v>
      </c>
      <c r="P31" s="20">
        <f t="shared" si="4"/>
        <v>-7.0089285714285268</v>
      </c>
      <c r="Q31" s="21">
        <f t="shared" si="5"/>
        <v>0.95911458333333355</v>
      </c>
      <c r="R31" s="172"/>
      <c r="S31" s="28">
        <v>0.31875000000000003</v>
      </c>
      <c r="T31" s="28">
        <v>0.38541666666666669</v>
      </c>
      <c r="U31" s="4">
        <f t="shared" si="21"/>
        <v>4.9999999999999822</v>
      </c>
      <c r="V31" s="22">
        <f t="shared" si="20"/>
        <v>95.999999999999972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-98.124999999999545</v>
      </c>
      <c r="AF31" s="21">
        <f t="shared" si="8"/>
        <v>0.95911458333333355</v>
      </c>
      <c r="AG31" s="172"/>
    </row>
    <row r="32" spans="1:33" ht="15.75" customHeight="1">
      <c r="A32" s="193" t="s">
        <v>61</v>
      </c>
      <c r="B32" s="37" t="s">
        <v>100</v>
      </c>
      <c r="C32" s="190" t="s">
        <v>104</v>
      </c>
      <c r="D32" s="190"/>
      <c r="E32" s="37">
        <v>20.52</v>
      </c>
      <c r="F32" s="4">
        <v>3675</v>
      </c>
      <c r="G32" s="4">
        <v>75411</v>
      </c>
      <c r="H32" s="22" t="s">
        <v>139</v>
      </c>
      <c r="I32" s="16">
        <v>18</v>
      </c>
      <c r="J32" s="18">
        <v>2400</v>
      </c>
      <c r="K32" s="17">
        <f t="shared" si="0"/>
        <v>133.33333333333334</v>
      </c>
      <c r="L32" s="16">
        <v>18</v>
      </c>
      <c r="M32" s="18">
        <f t="shared" si="19"/>
        <v>2296.8750000000009</v>
      </c>
      <c r="N32" s="17">
        <f t="shared" si="2"/>
        <v>127.60416666666671</v>
      </c>
      <c r="O32" s="19">
        <f t="shared" si="3"/>
        <v>0</v>
      </c>
      <c r="P32" s="20">
        <f t="shared" si="4"/>
        <v>-5.7291666666666288</v>
      </c>
      <c r="Q32" s="21">
        <f t="shared" si="5"/>
        <v>0.95703125000000033</v>
      </c>
      <c r="R32" s="172"/>
      <c r="S32" s="28">
        <v>0.3888888888888889</v>
      </c>
      <c r="T32" s="28">
        <v>0.45555555555555555</v>
      </c>
      <c r="U32" s="4">
        <f t="shared" si="21"/>
        <v>4.9999999999999822</v>
      </c>
      <c r="V32" s="22">
        <f t="shared" si="20"/>
        <v>95.999999999999972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-103.12499999999909</v>
      </c>
      <c r="AF32" s="21">
        <f t="shared" si="8"/>
        <v>0.95703125000000033</v>
      </c>
      <c r="AG32" s="172"/>
    </row>
    <row r="33" spans="1:33" ht="15.75" customHeight="1">
      <c r="A33" s="193" t="s">
        <v>61</v>
      </c>
      <c r="B33" s="37" t="s">
        <v>100</v>
      </c>
      <c r="C33" s="190" t="s">
        <v>105</v>
      </c>
      <c r="D33" s="190"/>
      <c r="E33" s="37">
        <v>25.98</v>
      </c>
      <c r="F33" s="4">
        <v>2742</v>
      </c>
      <c r="G33" s="4">
        <v>71237.16</v>
      </c>
      <c r="H33" s="22" t="s">
        <v>139</v>
      </c>
      <c r="I33" s="16">
        <v>21</v>
      </c>
      <c r="J33" s="18">
        <v>2400</v>
      </c>
      <c r="K33" s="17">
        <f t="shared" si="0"/>
        <v>114.28571428571429</v>
      </c>
      <c r="L33" s="16">
        <v>21</v>
      </c>
      <c r="M33" s="18">
        <f t="shared" si="19"/>
        <v>2285.0000000000005</v>
      </c>
      <c r="N33" s="17">
        <f t="shared" si="2"/>
        <v>108.80952380952382</v>
      </c>
      <c r="O33" s="19">
        <f t="shared" si="3"/>
        <v>0</v>
      </c>
      <c r="P33" s="20">
        <f t="shared" si="4"/>
        <v>-5.4761904761904674</v>
      </c>
      <c r="Q33" s="21">
        <f t="shared" si="5"/>
        <v>0.95208333333333339</v>
      </c>
      <c r="R33" s="172"/>
      <c r="S33" s="28">
        <v>0.4597222222222222</v>
      </c>
      <c r="T33" s="28">
        <v>0.50972222222222219</v>
      </c>
      <c r="U33" s="4">
        <f t="shared" si="21"/>
        <v>5.9999999999999787</v>
      </c>
      <c r="V33" s="22">
        <f t="shared" si="20"/>
        <v>71.999999999999986</v>
      </c>
      <c r="W33" s="23">
        <f>T33</f>
        <v>0.50972222222222219</v>
      </c>
      <c r="X33" s="23">
        <f>S34</f>
        <v>0.54861111111111105</v>
      </c>
      <c r="Y33" s="23"/>
      <c r="Z33" s="23"/>
      <c r="AA33" s="164"/>
      <c r="AB33" s="164"/>
      <c r="AC33" s="25"/>
      <c r="AD33" s="25"/>
      <c r="AE33" s="19">
        <f t="shared" si="7"/>
        <v>-114.99999999999955</v>
      </c>
      <c r="AF33" s="21">
        <f t="shared" si="8"/>
        <v>0.9520833333333335</v>
      </c>
      <c r="AG33" s="172"/>
    </row>
    <row r="34" spans="1:33" ht="15.75" customHeight="1">
      <c r="A34" s="193" t="s">
        <v>61</v>
      </c>
      <c r="B34" s="37" t="s">
        <v>100</v>
      </c>
      <c r="C34" s="190" t="s">
        <v>101</v>
      </c>
      <c r="D34" s="190"/>
      <c r="E34" s="37">
        <v>31.29</v>
      </c>
      <c r="F34" s="4">
        <v>3387</v>
      </c>
      <c r="G34" s="4">
        <v>105979.23</v>
      </c>
      <c r="H34" s="22" t="s">
        <v>139</v>
      </c>
      <c r="I34" s="16">
        <v>18</v>
      </c>
      <c r="J34" s="18">
        <v>2400</v>
      </c>
      <c r="K34" s="17">
        <f t="shared" si="0"/>
        <v>133.33333333333334</v>
      </c>
      <c r="L34" s="16">
        <v>18</v>
      </c>
      <c r="M34" s="18">
        <f t="shared" si="19"/>
        <v>2283.3707865168535</v>
      </c>
      <c r="N34" s="17">
        <f t="shared" si="2"/>
        <v>126.85393258426964</v>
      </c>
      <c r="O34" s="19">
        <f t="shared" si="3"/>
        <v>0</v>
      </c>
      <c r="P34" s="20">
        <f t="shared" si="4"/>
        <v>-6.4794007490637</v>
      </c>
      <c r="Q34" s="21">
        <f t="shared" si="5"/>
        <v>0.95140449438202224</v>
      </c>
      <c r="R34" s="172"/>
      <c r="S34" s="28">
        <v>0.54861111111111105</v>
      </c>
      <c r="T34" s="28">
        <v>0.61041666666666661</v>
      </c>
      <c r="U34" s="4">
        <f t="shared" si="21"/>
        <v>55.999999999999957</v>
      </c>
      <c r="V34" s="22">
        <f t="shared" si="20"/>
        <v>89</v>
      </c>
      <c r="W34" s="23"/>
      <c r="X34" s="23"/>
      <c r="Y34" s="23"/>
      <c r="Z34" s="23"/>
      <c r="AA34" s="164"/>
      <c r="AB34" s="164"/>
      <c r="AC34" s="25"/>
      <c r="AD34" s="25"/>
      <c r="AE34" s="19">
        <f t="shared" si="7"/>
        <v>-116.62921348314649</v>
      </c>
      <c r="AF34" s="21">
        <f t="shared" si="8"/>
        <v>0.95140449438202235</v>
      </c>
      <c r="AG34" s="172"/>
    </row>
    <row r="35" spans="1:33" ht="15.75" customHeight="1">
      <c r="A35" s="193" t="s">
        <v>61</v>
      </c>
      <c r="B35" s="37" t="s">
        <v>51</v>
      </c>
      <c r="C35" s="177"/>
      <c r="D35" s="177"/>
      <c r="E35" s="38"/>
      <c r="F35" s="4"/>
      <c r="G35" s="4"/>
      <c r="H35" s="4"/>
      <c r="I35" s="30">
        <v>18.166666666666668</v>
      </c>
      <c r="J35" s="18">
        <v>2400</v>
      </c>
      <c r="K35" s="17">
        <f t="shared" si="0"/>
        <v>132.11009174311926</v>
      </c>
      <c r="L35" s="30">
        <v>18.166666666666668</v>
      </c>
      <c r="M35" s="18">
        <f>AVERAGE(M29:M34)</f>
        <v>2290.9244894396529</v>
      </c>
      <c r="N35" s="17">
        <f t="shared" si="2"/>
        <v>126.105935198513</v>
      </c>
      <c r="O35" s="19">
        <f t="shared" si="3"/>
        <v>0</v>
      </c>
      <c r="P35" s="20">
        <f t="shared" si="4"/>
        <v>-6.0041565446062606</v>
      </c>
      <c r="Q35" s="21">
        <f t="shared" si="5"/>
        <v>0.95455187059985536</v>
      </c>
      <c r="R35" s="172"/>
      <c r="S35" s="28"/>
      <c r="T35" s="28"/>
      <c r="U35" s="4"/>
      <c r="V35" s="22"/>
      <c r="W35" s="4"/>
      <c r="X35" s="4"/>
      <c r="Y35" s="31">
        <f>SUM(Y29:Y34)</f>
        <v>0</v>
      </c>
      <c r="Z35" s="31">
        <f>SUM(Z29:Z34)</f>
        <v>0</v>
      </c>
      <c r="AA35" s="168"/>
      <c r="AB35" s="168"/>
      <c r="AC35" s="31">
        <v>6</v>
      </c>
      <c r="AD35" s="31">
        <f>SUM(AD29:AD34)</f>
        <v>0</v>
      </c>
      <c r="AE35" s="19">
        <f t="shared" si="7"/>
        <v>-109.07551056034708</v>
      </c>
      <c r="AF35" s="21">
        <f t="shared" si="8"/>
        <v>0.95455187059985536</v>
      </c>
      <c r="AG35" s="172"/>
    </row>
    <row r="36" spans="1:33" ht="15.75" customHeight="1">
      <c r="A36" s="191" t="s">
        <v>64</v>
      </c>
      <c r="B36" s="37" t="s">
        <v>100</v>
      </c>
      <c r="C36" s="165" t="s">
        <v>106</v>
      </c>
      <c r="D36" s="165"/>
      <c r="E36" s="37">
        <v>26.2</v>
      </c>
      <c r="F36" s="4">
        <v>5889</v>
      </c>
      <c r="G36" s="4">
        <v>154291.79999999999</v>
      </c>
      <c r="H36" s="22" t="s">
        <v>139</v>
      </c>
      <c r="I36" s="16">
        <v>18</v>
      </c>
      <c r="J36" s="18">
        <v>2400</v>
      </c>
      <c r="K36" s="17">
        <f t="shared" si="0"/>
        <v>133.33333333333334</v>
      </c>
      <c r="L36" s="16">
        <v>18</v>
      </c>
      <c r="M36" s="18">
        <f t="shared" ref="M36:M40" si="22">F36/V36*60</f>
        <v>2294.4155844155844</v>
      </c>
      <c r="N36" s="17">
        <f t="shared" si="2"/>
        <v>127.46753246753246</v>
      </c>
      <c r="O36" s="19">
        <f t="shared" si="3"/>
        <v>0</v>
      </c>
      <c r="P36" s="20">
        <f t="shared" si="4"/>
        <v>-5.8658008658008782</v>
      </c>
      <c r="Q36" s="21">
        <f t="shared" si="5"/>
        <v>0.95600649350649347</v>
      </c>
      <c r="R36" s="172">
        <f>Q41</f>
        <v>0.95587647454390123</v>
      </c>
      <c r="S36" s="28">
        <v>0.125</v>
      </c>
      <c r="T36" s="28">
        <v>0.23194444444444445</v>
      </c>
      <c r="U36" s="4"/>
      <c r="V36" s="22">
        <f t="shared" ref="V36:V40" si="23">(T36-S36)*24*60</f>
        <v>154</v>
      </c>
      <c r="W36" s="28">
        <f>T36</f>
        <v>0.23194444444444445</v>
      </c>
      <c r="X36" s="28">
        <f>S37</f>
        <v>0.24930555555555553</v>
      </c>
      <c r="Y36" s="28"/>
      <c r="Z36" s="28"/>
      <c r="AA36" s="164"/>
      <c r="AB36" s="164"/>
      <c r="AC36" s="25">
        <v>5</v>
      </c>
      <c r="AD36" s="25"/>
      <c r="AE36" s="19">
        <f t="shared" si="7"/>
        <v>-105.58441558441564</v>
      </c>
      <c r="AF36" s="21">
        <f t="shared" si="8"/>
        <v>0.95600649350649347</v>
      </c>
      <c r="AG36" s="172">
        <f>AF41</f>
        <v>0.95587647454390134</v>
      </c>
    </row>
    <row r="37" spans="1:33" ht="15.75" customHeight="1">
      <c r="A37" s="191" t="s">
        <v>64</v>
      </c>
      <c r="B37" s="37" t="s">
        <v>100</v>
      </c>
      <c r="C37" s="165" t="s">
        <v>107</v>
      </c>
      <c r="D37" s="165"/>
      <c r="E37" s="37">
        <v>26.18</v>
      </c>
      <c r="F37" s="4">
        <v>2003</v>
      </c>
      <c r="G37" s="4">
        <v>52438.54</v>
      </c>
      <c r="H37" s="22" t="s">
        <v>139</v>
      </c>
      <c r="I37" s="16">
        <v>19</v>
      </c>
      <c r="J37" s="18">
        <v>2400</v>
      </c>
      <c r="K37" s="17">
        <f t="shared" si="0"/>
        <v>126.31578947368421</v>
      </c>
      <c r="L37" s="16">
        <v>19</v>
      </c>
      <c r="M37" s="18">
        <f t="shared" si="22"/>
        <v>2311.1538461538457</v>
      </c>
      <c r="N37" s="17">
        <f t="shared" si="2"/>
        <v>121.6396761133603</v>
      </c>
      <c r="O37" s="19">
        <f t="shared" si="3"/>
        <v>0</v>
      </c>
      <c r="P37" s="20">
        <f t="shared" si="4"/>
        <v>-4.6761133603239102</v>
      </c>
      <c r="Q37" s="21">
        <f t="shared" si="5"/>
        <v>0.96298076923076903</v>
      </c>
      <c r="R37" s="172"/>
      <c r="S37" s="28">
        <v>0.24930555555555553</v>
      </c>
      <c r="T37" s="28">
        <v>0.28541666666666665</v>
      </c>
      <c r="U37" s="4">
        <f t="shared" ref="U37:U40" si="24">(S37-T36)*24*60</f>
        <v>24.99999999999995</v>
      </c>
      <c r="V37" s="22">
        <f t="shared" si="23"/>
        <v>52.000000000000014</v>
      </c>
      <c r="W37" s="4"/>
      <c r="X37" s="4"/>
      <c r="Y37" s="4"/>
      <c r="Z37" s="4"/>
      <c r="AA37" s="164"/>
      <c r="AB37" s="164"/>
      <c r="AC37" s="25"/>
      <c r="AD37" s="25"/>
      <c r="AE37" s="19">
        <f t="shared" si="7"/>
        <v>-88.846153846154266</v>
      </c>
      <c r="AF37" s="21">
        <f t="shared" si="8"/>
        <v>0.96298076923076903</v>
      </c>
      <c r="AG37" s="172"/>
    </row>
    <row r="38" spans="1:33">
      <c r="A38" s="192" t="s">
        <v>64</v>
      </c>
      <c r="B38" s="37" t="s">
        <v>100</v>
      </c>
      <c r="C38" s="165" t="s">
        <v>108</v>
      </c>
      <c r="D38" s="165"/>
      <c r="E38" s="37">
        <v>26.39</v>
      </c>
      <c r="F38" s="4">
        <v>5237</v>
      </c>
      <c r="G38" s="4">
        <v>138204.43</v>
      </c>
      <c r="H38" s="22" t="s">
        <v>139</v>
      </c>
      <c r="I38" s="16">
        <v>19</v>
      </c>
      <c r="J38" s="18">
        <v>2400</v>
      </c>
      <c r="K38" s="17">
        <f t="shared" si="0"/>
        <v>126.31578947368421</v>
      </c>
      <c r="L38" s="16">
        <v>19</v>
      </c>
      <c r="M38" s="18">
        <f t="shared" si="22"/>
        <v>2293.5766423357663</v>
      </c>
      <c r="N38" s="17">
        <f t="shared" si="2"/>
        <v>120.71456012293507</v>
      </c>
      <c r="O38" s="19">
        <f t="shared" si="3"/>
        <v>0</v>
      </c>
      <c r="P38" s="20">
        <f t="shared" si="4"/>
        <v>-5.6012293507491364</v>
      </c>
      <c r="Q38" s="21">
        <f t="shared" si="5"/>
        <v>0.95565693430656928</v>
      </c>
      <c r="R38" s="172"/>
      <c r="S38" s="28">
        <v>0.29027777777777775</v>
      </c>
      <c r="T38" s="28">
        <v>0.38541666666666663</v>
      </c>
      <c r="U38" s="4">
        <f t="shared" si="24"/>
        <v>6.9999999999999751</v>
      </c>
      <c r="V38" s="22">
        <f t="shared" si="23"/>
        <v>137</v>
      </c>
      <c r="W38" s="4"/>
      <c r="X38" s="4"/>
      <c r="Y38" s="4"/>
      <c r="Z38" s="4"/>
      <c r="AA38" s="164"/>
      <c r="AB38" s="164"/>
      <c r="AC38" s="25"/>
      <c r="AD38" s="25"/>
      <c r="AE38" s="19">
        <f t="shared" si="7"/>
        <v>-106.42335766423366</v>
      </c>
      <c r="AF38" s="21">
        <f t="shared" si="8"/>
        <v>0.95565693430656928</v>
      </c>
      <c r="AG38" s="172"/>
    </row>
    <row r="39" spans="1:33">
      <c r="A39" s="192" t="s">
        <v>64</v>
      </c>
      <c r="B39" s="37" t="s">
        <v>100</v>
      </c>
      <c r="C39" s="165" t="s">
        <v>137</v>
      </c>
      <c r="D39" s="165"/>
      <c r="E39" s="37">
        <v>20.21</v>
      </c>
      <c r="F39" s="4">
        <v>3053</v>
      </c>
      <c r="G39" s="4">
        <v>61701.130000000005</v>
      </c>
      <c r="H39" s="22" t="s">
        <v>139</v>
      </c>
      <c r="I39" s="16">
        <v>16</v>
      </c>
      <c r="J39" s="18">
        <v>2400</v>
      </c>
      <c r="K39" s="17">
        <f t="shared" si="0"/>
        <v>150</v>
      </c>
      <c r="L39" s="16">
        <v>16</v>
      </c>
      <c r="M39" s="18">
        <f t="shared" si="22"/>
        <v>2289.7499999999991</v>
      </c>
      <c r="N39" s="17">
        <f t="shared" si="2"/>
        <v>143.10937499999994</v>
      </c>
      <c r="O39" s="19">
        <f t="shared" si="3"/>
        <v>0</v>
      </c>
      <c r="P39" s="20">
        <f t="shared" si="4"/>
        <v>-6.8906250000000568</v>
      </c>
      <c r="Q39" s="21">
        <f t="shared" si="5"/>
        <v>0.95406249999999959</v>
      </c>
      <c r="R39" s="172"/>
      <c r="S39" s="28">
        <v>0.39027777777777772</v>
      </c>
      <c r="T39" s="28">
        <v>0.4458333333333333</v>
      </c>
      <c r="U39" s="4">
        <f t="shared" si="24"/>
        <v>6.9999999999999751</v>
      </c>
      <c r="V39" s="22">
        <f t="shared" si="23"/>
        <v>80.000000000000028</v>
      </c>
      <c r="W39" s="23"/>
      <c r="X39" s="23"/>
      <c r="Y39" s="23"/>
      <c r="Z39" s="23"/>
      <c r="AA39" s="164"/>
      <c r="AB39" s="164"/>
      <c r="AC39" s="25"/>
      <c r="AD39" s="25"/>
      <c r="AE39" s="19">
        <f t="shared" si="7"/>
        <v>-110.25000000000091</v>
      </c>
      <c r="AF39" s="21">
        <f t="shared" si="8"/>
        <v>0.95406249999999959</v>
      </c>
      <c r="AG39" s="172"/>
    </row>
    <row r="40" spans="1:33">
      <c r="A40" s="192" t="s">
        <v>64</v>
      </c>
      <c r="B40" s="37" t="s">
        <v>100</v>
      </c>
      <c r="C40" s="165" t="s">
        <v>134</v>
      </c>
      <c r="D40" s="165"/>
      <c r="E40" s="37">
        <v>20.52</v>
      </c>
      <c r="F40" s="4">
        <v>2814</v>
      </c>
      <c r="G40" s="4">
        <v>57743.28</v>
      </c>
      <c r="H40" s="22" t="s">
        <v>139</v>
      </c>
      <c r="I40" s="16">
        <v>18</v>
      </c>
      <c r="J40" s="18">
        <v>2400</v>
      </c>
      <c r="K40" s="17">
        <f t="shared" si="0"/>
        <v>133.33333333333334</v>
      </c>
      <c r="L40" s="16">
        <v>18</v>
      </c>
      <c r="M40" s="18">
        <f t="shared" si="22"/>
        <v>2281.6216216216199</v>
      </c>
      <c r="N40" s="17">
        <f t="shared" si="2"/>
        <v>126.75675675675666</v>
      </c>
      <c r="O40" s="19">
        <f t="shared" si="3"/>
        <v>0</v>
      </c>
      <c r="P40" s="20">
        <f t="shared" si="4"/>
        <v>-6.5765765765766844</v>
      </c>
      <c r="Q40" s="21">
        <f t="shared" si="5"/>
        <v>0.9506756756756749</v>
      </c>
      <c r="R40" s="172"/>
      <c r="S40" s="28">
        <v>0.4506944444444444</v>
      </c>
      <c r="T40" s="28">
        <v>0.50208333333333333</v>
      </c>
      <c r="U40" s="4">
        <f t="shared" si="24"/>
        <v>6.9999999999999751</v>
      </c>
      <c r="V40" s="22">
        <f t="shared" si="23"/>
        <v>74.000000000000057</v>
      </c>
      <c r="W40" s="23"/>
      <c r="X40" s="23"/>
      <c r="Y40" s="23"/>
      <c r="Z40" s="23"/>
      <c r="AA40" s="164"/>
      <c r="AB40" s="164"/>
      <c r="AC40" s="25"/>
      <c r="AD40" s="25"/>
      <c r="AE40" s="19">
        <f t="shared" si="7"/>
        <v>-118.37837837838015</v>
      </c>
      <c r="AF40" s="21">
        <f t="shared" si="8"/>
        <v>0.9506756756756749</v>
      </c>
      <c r="AG40" s="172"/>
    </row>
    <row r="41" spans="1:33">
      <c r="A41" s="192" t="s">
        <v>64</v>
      </c>
      <c r="B41" s="17" t="s">
        <v>51</v>
      </c>
      <c r="C41" s="177"/>
      <c r="D41" s="177"/>
      <c r="E41" s="38"/>
      <c r="F41" s="17"/>
      <c r="G41" s="17"/>
      <c r="H41" s="4"/>
      <c r="I41" s="30">
        <v>18</v>
      </c>
      <c r="J41" s="18">
        <v>2400</v>
      </c>
      <c r="K41" s="17">
        <f t="shared" si="0"/>
        <v>133.33333333333334</v>
      </c>
      <c r="L41" s="30">
        <v>18</v>
      </c>
      <c r="M41" s="18">
        <f>AVERAGE(M36:M40)</f>
        <v>2294.1035389053632</v>
      </c>
      <c r="N41" s="17">
        <f t="shared" si="2"/>
        <v>127.45019660585351</v>
      </c>
      <c r="O41" s="19">
        <f t="shared" si="3"/>
        <v>0</v>
      </c>
      <c r="P41" s="20">
        <f t="shared" si="4"/>
        <v>-5.8831367274798367</v>
      </c>
      <c r="Q41" s="21">
        <f t="shared" si="5"/>
        <v>0.95587647454390123</v>
      </c>
      <c r="R41" s="172"/>
      <c r="S41" s="28"/>
      <c r="T41" s="28"/>
      <c r="U41" s="17"/>
      <c r="V41" s="22"/>
      <c r="W41" s="17"/>
      <c r="X41" s="17"/>
      <c r="Y41" s="31">
        <f>SUM(Y36:Y40)</f>
        <v>0</v>
      </c>
      <c r="Z41" s="31">
        <f>SUM(Z36:Z40)</f>
        <v>0</v>
      </c>
      <c r="AA41" s="168"/>
      <c r="AB41" s="168"/>
      <c r="AC41" s="31">
        <v>5</v>
      </c>
      <c r="AD41" s="31">
        <f>SUM(AD36:AD40)</f>
        <v>0</v>
      </c>
      <c r="AE41" s="19">
        <f t="shared" si="7"/>
        <v>-105.89646109463683</v>
      </c>
      <c r="AF41" s="21">
        <f t="shared" si="8"/>
        <v>0.95587647454390134</v>
      </c>
      <c r="AG41" s="172"/>
    </row>
    <row r="42" spans="1:33" ht="15.75" customHeight="1">
      <c r="A42" s="184" t="s">
        <v>1057</v>
      </c>
      <c r="B42" s="37" t="s">
        <v>111</v>
      </c>
      <c r="C42" s="173" t="s">
        <v>403</v>
      </c>
      <c r="D42" s="174"/>
      <c r="E42" s="37">
        <v>34.36</v>
      </c>
      <c r="F42" s="4">
        <v>2729</v>
      </c>
      <c r="G42" s="4">
        <v>93768.44</v>
      </c>
      <c r="H42" s="22" t="s">
        <v>139</v>
      </c>
      <c r="I42" s="16">
        <v>10</v>
      </c>
      <c r="J42" s="18">
        <v>3000</v>
      </c>
      <c r="K42" s="17">
        <f t="shared" si="0"/>
        <v>300</v>
      </c>
      <c r="L42" s="16">
        <v>10</v>
      </c>
      <c r="M42" s="18">
        <f t="shared" ref="M42:M51" si="25">F42/V42*60</f>
        <v>2872.6315789473683</v>
      </c>
      <c r="N42" s="18">
        <f t="shared" si="2"/>
        <v>287.26315789473682</v>
      </c>
      <c r="O42" s="19">
        <f t="shared" si="3"/>
        <v>0</v>
      </c>
      <c r="P42" s="20">
        <f t="shared" si="4"/>
        <v>-12.736842105263179</v>
      </c>
      <c r="Q42" s="21">
        <f t="shared" si="5"/>
        <v>0.9575438596491227</v>
      </c>
      <c r="R42" s="187">
        <f>Q52</f>
        <v>0.95950625494602626</v>
      </c>
      <c r="S42" s="28">
        <v>0.20833333333333334</v>
      </c>
      <c r="T42" s="28">
        <v>0.24791666666666667</v>
      </c>
      <c r="U42" s="28"/>
      <c r="V42" s="22">
        <f t="shared" ref="V42:V51" si="26">(T42-S42)*24*60</f>
        <v>57</v>
      </c>
      <c r="W42" s="23"/>
      <c r="X42" s="23"/>
      <c r="Y42" s="26"/>
      <c r="Z42" s="26"/>
      <c r="AA42" s="175"/>
      <c r="AB42" s="176"/>
      <c r="AC42" s="25">
        <v>10</v>
      </c>
      <c r="AD42" s="25"/>
      <c r="AE42" s="19">
        <f t="shared" si="7"/>
        <v>-127.36842105263167</v>
      </c>
      <c r="AF42" s="21">
        <f t="shared" si="8"/>
        <v>0.95754385964912281</v>
      </c>
      <c r="AG42" s="187">
        <f>AF52</f>
        <v>0.95950625494602626</v>
      </c>
    </row>
    <row r="43" spans="1:33" ht="15.75" customHeight="1">
      <c r="A43" s="185" t="s">
        <v>67</v>
      </c>
      <c r="B43" s="37" t="s">
        <v>111</v>
      </c>
      <c r="C43" s="173" t="s">
        <v>114</v>
      </c>
      <c r="D43" s="174"/>
      <c r="E43" s="37">
        <v>35.119999999999997</v>
      </c>
      <c r="F43" s="4">
        <v>3000</v>
      </c>
      <c r="G43" s="4">
        <v>105359.99999999999</v>
      </c>
      <c r="H43" s="22">
        <v>2</v>
      </c>
      <c r="I43" s="16">
        <v>10</v>
      </c>
      <c r="J43" s="18">
        <v>3000</v>
      </c>
      <c r="K43" s="17">
        <f t="shared" si="0"/>
        <v>300</v>
      </c>
      <c r="L43" s="16">
        <v>10</v>
      </c>
      <c r="M43" s="18">
        <f t="shared" si="25"/>
        <v>2857.1428571428564</v>
      </c>
      <c r="N43" s="18">
        <f t="shared" si="2"/>
        <v>285.71428571428567</v>
      </c>
      <c r="O43" s="19">
        <f t="shared" si="3"/>
        <v>0</v>
      </c>
      <c r="P43" s="20">
        <f t="shared" si="4"/>
        <v>-14.285714285714334</v>
      </c>
      <c r="Q43" s="21">
        <f t="shared" si="5"/>
        <v>0.95238095238095222</v>
      </c>
      <c r="R43" s="188"/>
      <c r="S43" s="28">
        <v>0.25208333333333333</v>
      </c>
      <c r="T43" s="28">
        <v>0.29583333333333334</v>
      </c>
      <c r="U43" s="4">
        <f t="shared" ref="U43:U51" si="27">(S43-T42)*24*60</f>
        <v>5.9999999999999787</v>
      </c>
      <c r="V43" s="22">
        <f t="shared" si="26"/>
        <v>63.000000000000014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7"/>
        <v>-142.85714285714357</v>
      </c>
      <c r="AF43" s="21">
        <f t="shared" si="8"/>
        <v>0.95238095238095211</v>
      </c>
      <c r="AG43" s="188"/>
    </row>
    <row r="44" spans="1:33" ht="15.75" customHeight="1">
      <c r="A44" s="185" t="s">
        <v>67</v>
      </c>
      <c r="B44" s="37" t="s">
        <v>111</v>
      </c>
      <c r="C44" s="173" t="s">
        <v>115</v>
      </c>
      <c r="D44" s="174"/>
      <c r="E44" s="37">
        <v>26.78</v>
      </c>
      <c r="F44" s="4">
        <v>2599</v>
      </c>
      <c r="G44" s="4">
        <v>69601.22</v>
      </c>
      <c r="H44" s="22" t="s">
        <v>139</v>
      </c>
      <c r="I44" s="16">
        <v>10</v>
      </c>
      <c r="J44" s="18">
        <v>3000</v>
      </c>
      <c r="K44" s="17">
        <f t="shared" si="0"/>
        <v>300</v>
      </c>
      <c r="L44" s="16">
        <v>10</v>
      </c>
      <c r="M44" s="18">
        <f t="shared" si="25"/>
        <v>2887.7777777777792</v>
      </c>
      <c r="N44" s="18">
        <f t="shared" si="2"/>
        <v>288.77777777777794</v>
      </c>
      <c r="O44" s="19">
        <f t="shared" si="3"/>
        <v>0</v>
      </c>
      <c r="P44" s="20">
        <f t="shared" si="4"/>
        <v>-11.222222222222058</v>
      </c>
      <c r="Q44" s="21">
        <f t="shared" si="5"/>
        <v>0.96259259259259311</v>
      </c>
      <c r="R44" s="188"/>
      <c r="S44" s="28">
        <v>0.30069444444444443</v>
      </c>
      <c r="T44" s="28">
        <v>0.33819444444444441</v>
      </c>
      <c r="U44" s="4">
        <f t="shared" si="27"/>
        <v>6.9999999999999751</v>
      </c>
      <c r="V44" s="22">
        <f t="shared" si="26"/>
        <v>53.999999999999972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7"/>
        <v>-112.22222222222081</v>
      </c>
      <c r="AF44" s="21">
        <f t="shared" si="8"/>
        <v>0.96259259259259311</v>
      </c>
      <c r="AG44" s="188"/>
    </row>
    <row r="45" spans="1:33" ht="15.75" customHeight="1">
      <c r="A45" s="185" t="s">
        <v>67</v>
      </c>
      <c r="B45" s="37" t="s">
        <v>111</v>
      </c>
      <c r="C45" s="173" t="s">
        <v>117</v>
      </c>
      <c r="D45" s="174"/>
      <c r="E45" s="37">
        <v>44.03</v>
      </c>
      <c r="F45" s="4">
        <v>1210</v>
      </c>
      <c r="G45" s="4">
        <v>53276.3</v>
      </c>
      <c r="H45" s="22" t="s">
        <v>139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2904.0000000000009</v>
      </c>
      <c r="N45" s="18">
        <f t="shared" si="2"/>
        <v>290.40000000000009</v>
      </c>
      <c r="O45" s="19">
        <f t="shared" si="3"/>
        <v>0</v>
      </c>
      <c r="P45" s="20">
        <f t="shared" si="4"/>
        <v>-9.5999999999999091</v>
      </c>
      <c r="Q45" s="21">
        <f t="shared" si="5"/>
        <v>0.9680000000000003</v>
      </c>
      <c r="R45" s="188"/>
      <c r="S45" s="28">
        <v>0.34166666666666662</v>
      </c>
      <c r="T45" s="28">
        <v>0.35902777777777772</v>
      </c>
      <c r="U45" s="4">
        <f t="shared" si="27"/>
        <v>4.9999999999999822</v>
      </c>
      <c r="V45" s="22">
        <f t="shared" si="26"/>
        <v>24.999999999999993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7"/>
        <v>-95.999999999999091</v>
      </c>
      <c r="AF45" s="21">
        <f t="shared" si="8"/>
        <v>0.9680000000000003</v>
      </c>
      <c r="AG45" s="188"/>
    </row>
    <row r="46" spans="1:33" ht="15.75" customHeight="1">
      <c r="A46" s="185" t="s">
        <v>67</v>
      </c>
      <c r="B46" s="37" t="s">
        <v>111</v>
      </c>
      <c r="C46" s="173" t="s">
        <v>112</v>
      </c>
      <c r="D46" s="174"/>
      <c r="E46" s="37">
        <v>21.13</v>
      </c>
      <c r="F46" s="4">
        <v>2800</v>
      </c>
      <c r="G46" s="4">
        <v>59164</v>
      </c>
      <c r="H46" s="22">
        <v>2</v>
      </c>
      <c r="I46" s="16">
        <v>10</v>
      </c>
      <c r="J46" s="18">
        <v>3000</v>
      </c>
      <c r="K46" s="17">
        <f t="shared" si="0"/>
        <v>300</v>
      </c>
      <c r="L46" s="16">
        <v>10</v>
      </c>
      <c r="M46" s="18">
        <f t="shared" si="25"/>
        <v>2896.5517241379293</v>
      </c>
      <c r="N46" s="18">
        <f t="shared" si="2"/>
        <v>289.65517241379291</v>
      </c>
      <c r="O46" s="19">
        <f t="shared" si="3"/>
        <v>0</v>
      </c>
      <c r="P46" s="20">
        <f t="shared" si="4"/>
        <v>-10.344827586207089</v>
      </c>
      <c r="Q46" s="21">
        <f t="shared" si="5"/>
        <v>0.96551724137930972</v>
      </c>
      <c r="R46" s="188"/>
      <c r="S46" s="28">
        <v>0.36388888888888882</v>
      </c>
      <c r="T46" s="28">
        <v>0.40416666666666662</v>
      </c>
      <c r="U46" s="4">
        <f t="shared" si="27"/>
        <v>6.9999999999999751</v>
      </c>
      <c r="V46" s="22">
        <f t="shared" si="26"/>
        <v>58.000000000000036</v>
      </c>
      <c r="W46" s="23"/>
      <c r="X46" s="23"/>
      <c r="Y46" s="26"/>
      <c r="Z46" s="26"/>
      <c r="AA46" s="175"/>
      <c r="AB46" s="176"/>
      <c r="AC46" s="25"/>
      <c r="AD46" s="25"/>
      <c r="AE46" s="19">
        <f t="shared" si="7"/>
        <v>-103.44827586207066</v>
      </c>
      <c r="AF46" s="21">
        <f t="shared" si="8"/>
        <v>0.96551724137930983</v>
      </c>
      <c r="AG46" s="188"/>
    </row>
    <row r="47" spans="1:33" ht="15.75" customHeight="1">
      <c r="A47" s="185" t="s">
        <v>67</v>
      </c>
      <c r="B47" s="37" t="s">
        <v>111</v>
      </c>
      <c r="C47" s="173" t="s">
        <v>113</v>
      </c>
      <c r="D47" s="174"/>
      <c r="E47" s="37">
        <v>27.17</v>
      </c>
      <c r="F47" s="4">
        <v>3800</v>
      </c>
      <c r="G47" s="4">
        <v>103246</v>
      </c>
      <c r="H47" s="22">
        <v>2</v>
      </c>
      <c r="I47" s="16">
        <v>10</v>
      </c>
      <c r="J47" s="18">
        <v>3000</v>
      </c>
      <c r="K47" s="17">
        <f t="shared" si="0"/>
        <v>300</v>
      </c>
      <c r="L47" s="16">
        <v>10</v>
      </c>
      <c r="M47" s="18">
        <f t="shared" si="25"/>
        <v>2886.0759493670903</v>
      </c>
      <c r="N47" s="18">
        <f t="shared" si="2"/>
        <v>288.60759493670901</v>
      </c>
      <c r="O47" s="19">
        <f t="shared" si="3"/>
        <v>0</v>
      </c>
      <c r="P47" s="20">
        <f t="shared" si="4"/>
        <v>-11.392405063290994</v>
      </c>
      <c r="Q47" s="21">
        <f t="shared" si="5"/>
        <v>0.96202531645569667</v>
      </c>
      <c r="R47" s="188"/>
      <c r="S47" s="28">
        <v>0.40972222222222215</v>
      </c>
      <c r="T47" s="28">
        <v>0.46458333333333324</v>
      </c>
      <c r="U47" s="4">
        <f t="shared" si="27"/>
        <v>7.9999999999999716</v>
      </c>
      <c r="V47" s="22">
        <f t="shared" si="26"/>
        <v>78.999999999999957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7"/>
        <v>-113.92405063290971</v>
      </c>
      <c r="AF47" s="21">
        <f t="shared" si="8"/>
        <v>0.96202531645569678</v>
      </c>
      <c r="AG47" s="188"/>
    </row>
    <row r="48" spans="1:33" ht="15.75" customHeight="1">
      <c r="A48" s="185" t="s">
        <v>67</v>
      </c>
      <c r="B48" s="37" t="s">
        <v>111</v>
      </c>
      <c r="C48" s="173" t="s">
        <v>116</v>
      </c>
      <c r="D48" s="174"/>
      <c r="E48" s="37">
        <v>35.869999999999997</v>
      </c>
      <c r="F48" s="4">
        <v>3530</v>
      </c>
      <c r="G48" s="4">
        <v>126621.09999999999</v>
      </c>
      <c r="H48" s="22" t="s">
        <v>139</v>
      </c>
      <c r="I48" s="16">
        <v>9</v>
      </c>
      <c r="J48" s="18">
        <v>3000</v>
      </c>
      <c r="K48" s="17">
        <f t="shared" si="0"/>
        <v>333.33333333333331</v>
      </c>
      <c r="L48" s="16">
        <v>9</v>
      </c>
      <c r="M48" s="18">
        <f t="shared" si="25"/>
        <v>2862.1621621621598</v>
      </c>
      <c r="N48" s="18">
        <f t="shared" si="2"/>
        <v>318.01801801801776</v>
      </c>
      <c r="O48" s="19">
        <f t="shared" si="3"/>
        <v>0</v>
      </c>
      <c r="P48" s="20">
        <f t="shared" si="4"/>
        <v>-15.315315315315559</v>
      </c>
      <c r="Q48" s="21">
        <f t="shared" si="5"/>
        <v>0.9540540540540533</v>
      </c>
      <c r="R48" s="188"/>
      <c r="S48" s="28">
        <v>0.46805555555555545</v>
      </c>
      <c r="T48" s="28">
        <v>0.51944444444444438</v>
      </c>
      <c r="U48" s="4">
        <f t="shared" si="27"/>
        <v>4.9999999999999822</v>
      </c>
      <c r="V48" s="22">
        <f t="shared" si="26"/>
        <v>74.000000000000057</v>
      </c>
      <c r="W48" s="23">
        <f>T48</f>
        <v>0.51944444444444438</v>
      </c>
      <c r="X48" s="23">
        <f>S49</f>
        <v>0.56180555555555545</v>
      </c>
      <c r="Y48" s="26"/>
      <c r="Z48" s="26"/>
      <c r="AA48" s="175"/>
      <c r="AB48" s="176"/>
      <c r="AC48" s="25"/>
      <c r="AD48" s="25"/>
      <c r="AE48" s="19">
        <f t="shared" si="7"/>
        <v>-137.8378378378402</v>
      </c>
      <c r="AF48" s="21">
        <f t="shared" si="8"/>
        <v>0.9540540540540533</v>
      </c>
      <c r="AG48" s="188"/>
    </row>
    <row r="49" spans="1:33" ht="15.75" customHeight="1">
      <c r="A49" s="185" t="s">
        <v>1057</v>
      </c>
      <c r="B49" s="37" t="s">
        <v>111</v>
      </c>
      <c r="C49" s="173" t="s">
        <v>113</v>
      </c>
      <c r="D49" s="174"/>
      <c r="E49" s="37">
        <v>27.17</v>
      </c>
      <c r="F49" s="4">
        <v>2612</v>
      </c>
      <c r="G49" s="4">
        <v>70968.040000000008</v>
      </c>
      <c r="H49" s="22" t="s">
        <v>139</v>
      </c>
      <c r="I49" s="16">
        <v>10</v>
      </c>
      <c r="J49" s="18">
        <v>3000</v>
      </c>
      <c r="K49" s="17">
        <f t="shared" si="0"/>
        <v>300</v>
      </c>
      <c r="L49" s="16">
        <v>10</v>
      </c>
      <c r="M49" s="18">
        <f t="shared" si="25"/>
        <v>2902.2222222222235</v>
      </c>
      <c r="N49" s="18">
        <f t="shared" si="2"/>
        <v>290.22222222222234</v>
      </c>
      <c r="O49" s="19">
        <f t="shared" si="3"/>
        <v>0</v>
      </c>
      <c r="P49" s="20">
        <f t="shared" si="4"/>
        <v>-9.7777777777776578</v>
      </c>
      <c r="Q49" s="21">
        <f t="shared" si="5"/>
        <v>0.96740740740740783</v>
      </c>
      <c r="R49" s="188"/>
      <c r="S49" s="28">
        <v>0.56180555555555545</v>
      </c>
      <c r="T49" s="28">
        <v>0.59930555555555542</v>
      </c>
      <c r="U49" s="4">
        <f t="shared" si="27"/>
        <v>60.999999999999943</v>
      </c>
      <c r="V49" s="22">
        <f t="shared" si="26"/>
        <v>53.999999999999972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7"/>
        <v>-97.777777777776464</v>
      </c>
      <c r="AF49" s="21">
        <f t="shared" si="8"/>
        <v>0.96740740740740783</v>
      </c>
      <c r="AG49" s="188"/>
    </row>
    <row r="50" spans="1:33" ht="15.75" customHeight="1">
      <c r="A50" s="185" t="s">
        <v>1057</v>
      </c>
      <c r="B50" s="37" t="s">
        <v>111</v>
      </c>
      <c r="C50" s="173" t="s">
        <v>114</v>
      </c>
      <c r="D50" s="174"/>
      <c r="E50" s="37">
        <v>35.119999999999997</v>
      </c>
      <c r="F50" s="4">
        <v>2098</v>
      </c>
      <c r="G50" s="4">
        <v>73681.759999999995</v>
      </c>
      <c r="H50" s="22" t="s">
        <v>139</v>
      </c>
      <c r="I50" s="16">
        <v>10</v>
      </c>
      <c r="J50" s="18">
        <v>3000</v>
      </c>
      <c r="K50" s="17">
        <f t="shared" si="0"/>
        <v>300</v>
      </c>
      <c r="L50" s="16">
        <v>10</v>
      </c>
      <c r="M50" s="18">
        <f t="shared" si="25"/>
        <v>2860.909090909091</v>
      </c>
      <c r="N50" s="18">
        <f t="shared" si="2"/>
        <v>286.09090909090912</v>
      </c>
      <c r="O50" s="19">
        <f t="shared" si="3"/>
        <v>0</v>
      </c>
      <c r="P50" s="20">
        <f t="shared" si="4"/>
        <v>-13.909090909090878</v>
      </c>
      <c r="Q50" s="21">
        <f t="shared" si="5"/>
        <v>0.95363636363636373</v>
      </c>
      <c r="R50" s="188"/>
      <c r="S50" s="28">
        <v>0.60277777777777763</v>
      </c>
      <c r="T50" s="28">
        <v>0.63333333333333319</v>
      </c>
      <c r="U50" s="4">
        <f t="shared" si="27"/>
        <v>4.9999999999999822</v>
      </c>
      <c r="V50" s="22">
        <f t="shared" si="26"/>
        <v>44</v>
      </c>
      <c r="W50" s="23"/>
      <c r="X50" s="23"/>
      <c r="Y50" s="26"/>
      <c r="Z50" s="26"/>
      <c r="AA50" s="175"/>
      <c r="AB50" s="176"/>
      <c r="AC50" s="25"/>
      <c r="AD50" s="25"/>
      <c r="AE50" s="19">
        <f t="shared" si="7"/>
        <v>-139.09090909090901</v>
      </c>
      <c r="AF50" s="21">
        <f t="shared" si="8"/>
        <v>0.95363636363636362</v>
      </c>
      <c r="AG50" s="188"/>
    </row>
    <row r="51" spans="1:33" ht="15.75" customHeight="1">
      <c r="A51" s="185" t="s">
        <v>1057</v>
      </c>
      <c r="B51" s="37" t="s">
        <v>111</v>
      </c>
      <c r="C51" s="173" t="s">
        <v>112</v>
      </c>
      <c r="D51" s="174"/>
      <c r="E51" s="37">
        <v>21.13</v>
      </c>
      <c r="F51" s="4">
        <v>1999</v>
      </c>
      <c r="G51" s="4">
        <v>42238.869999999995</v>
      </c>
      <c r="H51" s="22" t="s">
        <v>139</v>
      </c>
      <c r="I51" s="16">
        <v>10</v>
      </c>
      <c r="J51" s="18">
        <v>3000</v>
      </c>
      <c r="K51" s="17">
        <f t="shared" si="0"/>
        <v>300</v>
      </c>
      <c r="L51" s="16">
        <v>10</v>
      </c>
      <c r="M51" s="18">
        <f t="shared" si="25"/>
        <v>2855.7142857142849</v>
      </c>
      <c r="N51" s="18">
        <f t="shared" si="2"/>
        <v>285.5714285714285</v>
      </c>
      <c r="O51" s="19">
        <f t="shared" si="3"/>
        <v>0</v>
      </c>
      <c r="P51" s="20">
        <f t="shared" si="4"/>
        <v>-14.428571428571502</v>
      </c>
      <c r="Q51" s="21">
        <f t="shared" si="5"/>
        <v>0.9519047619047617</v>
      </c>
      <c r="R51" s="188"/>
      <c r="S51" s="28">
        <v>0.63819444444444429</v>
      </c>
      <c r="T51" s="28">
        <v>0.66736111111111096</v>
      </c>
      <c r="U51" s="4">
        <f t="shared" si="27"/>
        <v>6.9999999999999751</v>
      </c>
      <c r="V51" s="22">
        <f t="shared" si="26"/>
        <v>42.000000000000014</v>
      </c>
      <c r="W51" s="23"/>
      <c r="X51" s="23"/>
      <c r="Y51" s="26"/>
      <c r="Z51" s="26"/>
      <c r="AA51" s="175"/>
      <c r="AB51" s="176"/>
      <c r="AC51" s="25"/>
      <c r="AD51" s="25"/>
      <c r="AE51" s="19">
        <f t="shared" si="7"/>
        <v>-144.28571428571513</v>
      </c>
      <c r="AF51" s="21">
        <f t="shared" si="8"/>
        <v>0.95190476190476159</v>
      </c>
      <c r="AG51" s="188"/>
    </row>
    <row r="52" spans="1:33" ht="15.75" customHeight="1">
      <c r="A52" s="186" t="s">
        <v>1057</v>
      </c>
      <c r="B52" s="37" t="s">
        <v>51</v>
      </c>
      <c r="C52" s="166"/>
      <c r="D52" s="167"/>
      <c r="E52" s="41"/>
      <c r="F52" s="4"/>
      <c r="G52" s="4"/>
      <c r="H52" s="4"/>
      <c r="I52" s="30">
        <v>9.9</v>
      </c>
      <c r="J52" s="18">
        <v>3000</v>
      </c>
      <c r="K52" s="17">
        <f t="shared" si="0"/>
        <v>303.030303030303</v>
      </c>
      <c r="L52" s="30">
        <v>9.9</v>
      </c>
      <c r="M52" s="18">
        <f>AVERAGE(M42:M51)</f>
        <v>2878.5187648380788</v>
      </c>
      <c r="N52" s="17">
        <f t="shared" si="2"/>
        <v>290.75947119576551</v>
      </c>
      <c r="O52" s="19">
        <f t="shared" si="3"/>
        <v>0</v>
      </c>
      <c r="P52" s="20">
        <f t="shared" si="4"/>
        <v>-12.270831834537489</v>
      </c>
      <c r="Q52" s="21">
        <f t="shared" si="5"/>
        <v>0.95950625494602626</v>
      </c>
      <c r="R52" s="189"/>
      <c r="S52" s="28"/>
      <c r="T52" s="28"/>
      <c r="U52" s="4"/>
      <c r="V52" s="22"/>
      <c r="W52" s="23"/>
      <c r="X52" s="23"/>
      <c r="Y52" s="31">
        <f>SUM(Y42:Y51)</f>
        <v>0</v>
      </c>
      <c r="Z52" s="31">
        <f>SUM(Z42:Z51)</f>
        <v>0</v>
      </c>
      <c r="AA52" s="180"/>
      <c r="AB52" s="181"/>
      <c r="AC52" s="31">
        <v>10</v>
      </c>
      <c r="AD52" s="31">
        <f>SUM(AD42:AD51)</f>
        <v>0</v>
      </c>
      <c r="AE52" s="19">
        <f t="shared" si="7"/>
        <v>-121.48123516192118</v>
      </c>
      <c r="AF52" s="21">
        <f t="shared" si="8"/>
        <v>0.95950625494602626</v>
      </c>
      <c r="AG52" s="189"/>
    </row>
    <row r="53" spans="1:33" ht="15.75" customHeight="1">
      <c r="A53" s="182" t="s">
        <v>70</v>
      </c>
      <c r="B53" s="37" t="s">
        <v>84</v>
      </c>
      <c r="C53" s="165" t="s">
        <v>118</v>
      </c>
      <c r="D53" s="165"/>
      <c r="E53" s="37">
        <v>46</v>
      </c>
      <c r="F53" s="42">
        <v>1363</v>
      </c>
      <c r="G53" s="4">
        <v>62698</v>
      </c>
      <c r="H53" s="22" t="s">
        <v>139</v>
      </c>
      <c r="I53" s="16">
        <v>17</v>
      </c>
      <c r="J53" s="18">
        <v>2000</v>
      </c>
      <c r="K53" s="17">
        <f t="shared" si="0"/>
        <v>117.64705882352941</v>
      </c>
      <c r="L53" s="16">
        <v>17</v>
      </c>
      <c r="M53" s="18">
        <f t="shared" ref="M53:M62" si="28">F53/V53*60</f>
        <v>1947.1428571428564</v>
      </c>
      <c r="N53" s="18">
        <f t="shared" si="2"/>
        <v>114.53781512605038</v>
      </c>
      <c r="O53" s="19">
        <f t="shared" si="3"/>
        <v>0</v>
      </c>
      <c r="P53" s="20">
        <f t="shared" si="4"/>
        <v>-3.1092436974790303</v>
      </c>
      <c r="Q53" s="21">
        <f t="shared" si="5"/>
        <v>0.9735714285714282</v>
      </c>
      <c r="R53" s="172">
        <f>Q63</f>
        <v>0.93531542350439723</v>
      </c>
      <c r="S53" s="28">
        <v>0.20833333333333334</v>
      </c>
      <c r="T53" s="28">
        <v>0.23750000000000002</v>
      </c>
      <c r="U53" s="28"/>
      <c r="V53" s="22">
        <f t="shared" ref="V53:V62" si="29">(T53-S53)*24*60</f>
        <v>42.000000000000014</v>
      </c>
      <c r="W53" s="28"/>
      <c r="X53" s="28"/>
      <c r="Y53" s="28"/>
      <c r="Z53" s="28"/>
      <c r="AA53" s="164"/>
      <c r="AB53" s="164"/>
      <c r="AC53" s="25">
        <v>10</v>
      </c>
      <c r="AD53" s="25"/>
      <c r="AE53" s="19">
        <f t="shared" si="7"/>
        <v>-52.857142857143572</v>
      </c>
      <c r="AF53" s="21">
        <f t="shared" si="8"/>
        <v>0.9735714285714282</v>
      </c>
      <c r="AG53" s="172">
        <f>AF63</f>
        <v>0.93531542350439723</v>
      </c>
    </row>
    <row r="54" spans="1:33" ht="15.75" customHeight="1">
      <c r="A54" s="182" t="s">
        <v>70</v>
      </c>
      <c r="B54" s="37" t="s">
        <v>84</v>
      </c>
      <c r="C54" s="165" t="s">
        <v>119</v>
      </c>
      <c r="D54" s="165"/>
      <c r="E54" s="37">
        <v>46</v>
      </c>
      <c r="F54" s="42">
        <v>1413</v>
      </c>
      <c r="G54" s="4">
        <v>64998</v>
      </c>
      <c r="H54" s="22" t="s">
        <v>139</v>
      </c>
      <c r="I54" s="16">
        <v>17</v>
      </c>
      <c r="J54" s="18">
        <v>2000</v>
      </c>
      <c r="K54" s="17">
        <f t="shared" si="0"/>
        <v>117.64705882352941</v>
      </c>
      <c r="L54" s="16">
        <v>17</v>
      </c>
      <c r="M54" s="18">
        <f t="shared" si="28"/>
        <v>1926.8181818181833</v>
      </c>
      <c r="N54" s="18">
        <f t="shared" si="2"/>
        <v>113.3422459893049</v>
      </c>
      <c r="O54" s="19">
        <f t="shared" si="3"/>
        <v>0</v>
      </c>
      <c r="P54" s="20">
        <f t="shared" si="4"/>
        <v>-4.3048128342245064</v>
      </c>
      <c r="Q54" s="21">
        <f t="shared" si="5"/>
        <v>0.96340909090909166</v>
      </c>
      <c r="R54" s="172"/>
      <c r="S54" s="28">
        <v>0.24097222222222223</v>
      </c>
      <c r="T54" s="28">
        <v>0.27152777777777776</v>
      </c>
      <c r="U54" s="4">
        <f t="shared" ref="U54:U62" si="30">IF(S54=TIME(17,0,0),"",(S54-T53)*24*60)</f>
        <v>4.9999999999999822</v>
      </c>
      <c r="V54" s="22">
        <f t="shared" si="29"/>
        <v>43.999999999999964</v>
      </c>
      <c r="W54" s="23"/>
      <c r="X54" s="23"/>
      <c r="Y54" s="23"/>
      <c r="Z54" s="23"/>
      <c r="AA54" s="164"/>
      <c r="AB54" s="164"/>
      <c r="AC54" s="25"/>
      <c r="AD54" s="25"/>
      <c r="AE54" s="19">
        <f t="shared" si="7"/>
        <v>-73.181818181816652</v>
      </c>
      <c r="AF54" s="21">
        <f t="shared" si="8"/>
        <v>0.96340909090909166</v>
      </c>
      <c r="AG54" s="172"/>
    </row>
    <row r="55" spans="1:33" ht="15.75" customHeight="1">
      <c r="A55" s="182" t="s">
        <v>70</v>
      </c>
      <c r="B55" s="37" t="s">
        <v>78</v>
      </c>
      <c r="C55" s="173" t="s">
        <v>120</v>
      </c>
      <c r="D55" s="174"/>
      <c r="E55" s="37">
        <v>56.43</v>
      </c>
      <c r="F55" s="42">
        <v>1742</v>
      </c>
      <c r="G55" s="4">
        <v>98301.06</v>
      </c>
      <c r="H55" s="22" t="s">
        <v>139</v>
      </c>
      <c r="I55" s="16">
        <v>22</v>
      </c>
      <c r="J55" s="18">
        <v>2000</v>
      </c>
      <c r="K55" s="17">
        <f t="shared" si="0"/>
        <v>90.909090909090907</v>
      </c>
      <c r="L55" s="16">
        <v>22</v>
      </c>
      <c r="M55" s="18">
        <f t="shared" si="28"/>
        <v>1713.442622950819</v>
      </c>
      <c r="N55" s="18">
        <f t="shared" si="2"/>
        <v>77.883755588673594</v>
      </c>
      <c r="O55" s="19">
        <f t="shared" si="3"/>
        <v>0</v>
      </c>
      <c r="P55" s="20">
        <f t="shared" si="4"/>
        <v>-13.025335320417312</v>
      </c>
      <c r="Q55" s="21">
        <f t="shared" si="5"/>
        <v>0.85672131147540953</v>
      </c>
      <c r="R55" s="172"/>
      <c r="S55" s="28">
        <v>0.27569444444444441</v>
      </c>
      <c r="T55" s="28">
        <v>0.31805555555555554</v>
      </c>
      <c r="U55" s="4">
        <f t="shared" si="30"/>
        <v>5.9999999999999787</v>
      </c>
      <c r="V55" s="22">
        <f t="shared" si="29"/>
        <v>61.000000000000021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7"/>
        <v>-286.55737704918101</v>
      </c>
      <c r="AF55" s="21">
        <f t="shared" si="8"/>
        <v>0.85672131147540953</v>
      </c>
      <c r="AG55" s="172"/>
    </row>
    <row r="56" spans="1:33" ht="15.75" customHeight="1">
      <c r="A56" s="182" t="s">
        <v>70</v>
      </c>
      <c r="B56" s="37" t="s">
        <v>78</v>
      </c>
      <c r="C56" s="43" t="s">
        <v>121</v>
      </c>
      <c r="D56" s="44"/>
      <c r="E56" s="37">
        <v>51.75</v>
      </c>
      <c r="F56" s="42">
        <v>1537</v>
      </c>
      <c r="G56" s="4">
        <v>79539.75</v>
      </c>
      <c r="H56" s="22" t="s">
        <v>139</v>
      </c>
      <c r="I56" s="16">
        <v>25</v>
      </c>
      <c r="J56" s="18">
        <v>2000</v>
      </c>
      <c r="K56" s="17">
        <f t="shared" si="0"/>
        <v>80</v>
      </c>
      <c r="L56" s="16">
        <v>25</v>
      </c>
      <c r="M56" s="18">
        <f t="shared" si="28"/>
        <v>1676.7272727272739</v>
      </c>
      <c r="N56" s="18">
        <f t="shared" si="2"/>
        <v>67.06909090909096</v>
      </c>
      <c r="O56" s="19">
        <f t="shared" si="3"/>
        <v>0</v>
      </c>
      <c r="P56" s="20">
        <f t="shared" si="4"/>
        <v>-12.93090909090904</v>
      </c>
      <c r="Q56" s="21">
        <f t="shared" si="5"/>
        <v>0.83836363636363698</v>
      </c>
      <c r="R56" s="172"/>
      <c r="S56" s="28">
        <v>0.32291666666666663</v>
      </c>
      <c r="T56" s="28">
        <v>0.36111111111111105</v>
      </c>
      <c r="U56" s="4">
        <f t="shared" si="30"/>
        <v>6.9999999999999751</v>
      </c>
      <c r="V56" s="22">
        <f t="shared" si="29"/>
        <v>54.999999999999964</v>
      </c>
      <c r="W56" s="23"/>
      <c r="X56" s="23"/>
      <c r="Y56" s="26"/>
      <c r="Z56" s="26"/>
      <c r="AA56" s="164"/>
      <c r="AB56" s="164"/>
      <c r="AC56" s="25"/>
      <c r="AD56" s="25"/>
      <c r="AE56" s="19">
        <f t="shared" si="7"/>
        <v>-323.27272727272612</v>
      </c>
      <c r="AF56" s="21">
        <f t="shared" si="8"/>
        <v>0.83836363636363698</v>
      </c>
      <c r="AG56" s="172"/>
    </row>
    <row r="57" spans="1:33" ht="15.75" customHeight="1">
      <c r="A57" s="182" t="s">
        <v>70</v>
      </c>
      <c r="B57" s="37" t="s">
        <v>78</v>
      </c>
      <c r="C57" s="43" t="s">
        <v>122</v>
      </c>
      <c r="D57" s="44"/>
      <c r="E57" s="37">
        <v>54.09</v>
      </c>
      <c r="F57" s="42">
        <v>1372</v>
      </c>
      <c r="G57" s="4">
        <v>74211.48000000001</v>
      </c>
      <c r="H57" s="22" t="s">
        <v>139</v>
      </c>
      <c r="I57" s="16">
        <v>19</v>
      </c>
      <c r="J57" s="18">
        <v>2000</v>
      </c>
      <c r="K57" s="17">
        <f t="shared" si="0"/>
        <v>105.26315789473684</v>
      </c>
      <c r="L57" s="16">
        <v>19</v>
      </c>
      <c r="M57" s="18">
        <f t="shared" si="28"/>
        <v>1829.3333333333333</v>
      </c>
      <c r="N57" s="18">
        <f t="shared" si="2"/>
        <v>96.280701754385959</v>
      </c>
      <c r="O57" s="19">
        <f t="shared" si="3"/>
        <v>0</v>
      </c>
      <c r="P57" s="20">
        <f t="shared" si="4"/>
        <v>-8.9824561403508767</v>
      </c>
      <c r="Q57" s="21">
        <f t="shared" si="5"/>
        <v>0.91466666666666663</v>
      </c>
      <c r="R57" s="172"/>
      <c r="S57" s="28">
        <v>0.36666666666666659</v>
      </c>
      <c r="T57" s="28">
        <v>0.39791666666666659</v>
      </c>
      <c r="U57" s="4">
        <f t="shared" si="30"/>
        <v>7.9999999999999716</v>
      </c>
      <c r="V57" s="22">
        <f t="shared" si="29"/>
        <v>45</v>
      </c>
      <c r="W57" s="23"/>
      <c r="X57" s="23"/>
      <c r="Y57" s="26"/>
      <c r="Z57" s="26"/>
      <c r="AA57" s="164"/>
      <c r="AB57" s="164"/>
      <c r="AC57" s="25"/>
      <c r="AD57" s="25"/>
      <c r="AE57" s="19">
        <f t="shared" si="7"/>
        <v>-170.66666666666674</v>
      </c>
      <c r="AF57" s="21">
        <f t="shared" si="8"/>
        <v>0.91466666666666663</v>
      </c>
      <c r="AG57" s="172"/>
    </row>
    <row r="58" spans="1:33" ht="15.75" customHeight="1">
      <c r="A58" s="182" t="s">
        <v>70</v>
      </c>
      <c r="B58" s="37" t="s">
        <v>78</v>
      </c>
      <c r="C58" s="173" t="s">
        <v>123</v>
      </c>
      <c r="D58" s="174"/>
      <c r="E58" s="37">
        <v>55.56</v>
      </c>
      <c r="F58" s="42">
        <v>1948</v>
      </c>
      <c r="G58" s="4">
        <v>108230.88</v>
      </c>
      <c r="H58" s="22" t="s">
        <v>139</v>
      </c>
      <c r="I58" s="16">
        <v>17</v>
      </c>
      <c r="J58" s="18">
        <v>2000</v>
      </c>
      <c r="K58" s="17">
        <f t="shared" si="0"/>
        <v>117.64705882352941</v>
      </c>
      <c r="L58" s="16">
        <v>17</v>
      </c>
      <c r="M58" s="18">
        <f t="shared" si="28"/>
        <v>1916.0655737704935</v>
      </c>
      <c r="N58" s="18">
        <f t="shared" si="2"/>
        <v>112.70973963355844</v>
      </c>
      <c r="O58" s="19">
        <f t="shared" si="3"/>
        <v>0</v>
      </c>
      <c r="P58" s="20">
        <f t="shared" si="4"/>
        <v>-4.9373191899709639</v>
      </c>
      <c r="Q58" s="21">
        <f t="shared" si="5"/>
        <v>0.95803278688524685</v>
      </c>
      <c r="R58" s="172"/>
      <c r="S58" s="28">
        <v>0.70833333333333337</v>
      </c>
      <c r="T58" s="28">
        <v>0.75069444444444444</v>
      </c>
      <c r="U58" s="4" t="str">
        <f t="shared" si="30"/>
        <v/>
      </c>
      <c r="V58" s="22">
        <f t="shared" si="29"/>
        <v>60.999999999999943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7"/>
        <v>-83.934426229506471</v>
      </c>
      <c r="AF58" s="21">
        <f t="shared" si="8"/>
        <v>0.95803278688524673</v>
      </c>
      <c r="AG58" s="172"/>
    </row>
    <row r="59" spans="1:33" ht="15.75" customHeight="1">
      <c r="A59" s="182" t="s">
        <v>70</v>
      </c>
      <c r="B59" s="37" t="s">
        <v>78</v>
      </c>
      <c r="C59" s="173" t="s">
        <v>124</v>
      </c>
      <c r="D59" s="174"/>
      <c r="E59" s="37">
        <v>55.32</v>
      </c>
      <c r="F59" s="42">
        <v>1364</v>
      </c>
      <c r="G59" s="4">
        <v>75456.479999999996</v>
      </c>
      <c r="H59" s="22" t="s">
        <v>139</v>
      </c>
      <c r="I59" s="16">
        <v>15</v>
      </c>
      <c r="J59" s="18">
        <v>2000</v>
      </c>
      <c r="K59" s="17">
        <f t="shared" si="0"/>
        <v>133.33333333333334</v>
      </c>
      <c r="L59" s="16">
        <v>15</v>
      </c>
      <c r="M59" s="18">
        <f t="shared" si="28"/>
        <v>1903.2558139534881</v>
      </c>
      <c r="N59" s="18">
        <f t="shared" si="2"/>
        <v>126.88372093023254</v>
      </c>
      <c r="O59" s="19">
        <f t="shared" si="3"/>
        <v>0</v>
      </c>
      <c r="P59" s="20">
        <f t="shared" si="4"/>
        <v>-6.4496124031008009</v>
      </c>
      <c r="Q59" s="21">
        <f t="shared" si="5"/>
        <v>0.95162790697674404</v>
      </c>
      <c r="R59" s="172"/>
      <c r="S59" s="28">
        <v>0.75486111111111109</v>
      </c>
      <c r="T59" s="28">
        <v>0.78472222222222221</v>
      </c>
      <c r="U59" s="4">
        <f t="shared" si="30"/>
        <v>5.9999999999999787</v>
      </c>
      <c r="V59" s="22">
        <f t="shared" si="29"/>
        <v>43.000000000000007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7"/>
        <v>-96.744186046511913</v>
      </c>
      <c r="AF59" s="21">
        <f t="shared" si="8"/>
        <v>0.95162790697674404</v>
      </c>
      <c r="AG59" s="172"/>
    </row>
    <row r="60" spans="1:33" ht="15.75" customHeight="1">
      <c r="A60" s="182" t="s">
        <v>70</v>
      </c>
      <c r="B60" s="37" t="s">
        <v>78</v>
      </c>
      <c r="C60" s="173" t="s">
        <v>125</v>
      </c>
      <c r="D60" s="174"/>
      <c r="E60" s="37">
        <v>54.29</v>
      </c>
      <c r="F60" s="42">
        <v>700</v>
      </c>
      <c r="G60" s="4">
        <v>38003</v>
      </c>
      <c r="H60" s="22">
        <v>2</v>
      </c>
      <c r="I60" s="16">
        <v>20</v>
      </c>
      <c r="J60" s="18">
        <v>2000</v>
      </c>
      <c r="K60" s="17">
        <f t="shared" si="0"/>
        <v>100</v>
      </c>
      <c r="L60" s="16">
        <v>20</v>
      </c>
      <c r="M60" s="18">
        <f t="shared" si="28"/>
        <v>1909.0909090909158</v>
      </c>
      <c r="N60" s="18">
        <f t="shared" si="2"/>
        <v>95.454545454545794</v>
      </c>
      <c r="O60" s="19">
        <f t="shared" si="3"/>
        <v>0</v>
      </c>
      <c r="P60" s="20">
        <f t="shared" si="4"/>
        <v>-4.5454545454542057</v>
      </c>
      <c r="Q60" s="21">
        <f t="shared" si="5"/>
        <v>0.95454545454545792</v>
      </c>
      <c r="R60" s="172"/>
      <c r="S60" s="28">
        <v>0.79027777777777775</v>
      </c>
      <c r="T60" s="28">
        <v>0.80555555555555547</v>
      </c>
      <c r="U60" s="4">
        <f t="shared" si="30"/>
        <v>7.9999999999999716</v>
      </c>
      <c r="V60" s="22">
        <f t="shared" si="29"/>
        <v>21.999999999999922</v>
      </c>
      <c r="W60" s="23"/>
      <c r="X60" s="23"/>
      <c r="Y60" s="26"/>
      <c r="Z60" s="26"/>
      <c r="AA60" s="175"/>
      <c r="AB60" s="176"/>
      <c r="AC60" s="25"/>
      <c r="AD60" s="25"/>
      <c r="AE60" s="19">
        <f t="shared" si="7"/>
        <v>-90.909090909084171</v>
      </c>
      <c r="AF60" s="21">
        <f t="shared" si="8"/>
        <v>0.95454545454545792</v>
      </c>
      <c r="AG60" s="172"/>
    </row>
    <row r="61" spans="1:33">
      <c r="A61" s="182" t="s">
        <v>70</v>
      </c>
      <c r="B61" s="37" t="s">
        <v>78</v>
      </c>
      <c r="C61" s="173" t="s">
        <v>126</v>
      </c>
      <c r="D61" s="174"/>
      <c r="E61" s="37">
        <v>57.73</v>
      </c>
      <c r="F61" s="42">
        <v>949</v>
      </c>
      <c r="G61" s="4">
        <v>54785.77</v>
      </c>
      <c r="H61" s="22" t="s">
        <v>139</v>
      </c>
      <c r="I61" s="16">
        <v>16</v>
      </c>
      <c r="J61" s="18">
        <v>1500</v>
      </c>
      <c r="K61" s="17">
        <f t="shared" si="0"/>
        <v>93.75</v>
      </c>
      <c r="L61" s="16">
        <v>16</v>
      </c>
      <c r="M61" s="18">
        <f t="shared" si="28"/>
        <v>1459.9999999999993</v>
      </c>
      <c r="N61" s="18">
        <f t="shared" si="2"/>
        <v>91.249999999999957</v>
      </c>
      <c r="O61" s="19">
        <f t="shared" si="3"/>
        <v>0</v>
      </c>
      <c r="P61" s="20">
        <f t="shared" si="4"/>
        <v>-2.5000000000000426</v>
      </c>
      <c r="Q61" s="21">
        <f t="shared" si="5"/>
        <v>0.97333333333333283</v>
      </c>
      <c r="R61" s="172"/>
      <c r="S61" s="28">
        <v>0.81041666666666656</v>
      </c>
      <c r="T61" s="28">
        <v>0.83749999999999991</v>
      </c>
      <c r="U61" s="4">
        <f t="shared" si="30"/>
        <v>6.9999999999999751</v>
      </c>
      <c r="V61" s="22">
        <f t="shared" si="29"/>
        <v>39.000000000000021</v>
      </c>
      <c r="W61" s="23">
        <f>T61</f>
        <v>0.83749999999999991</v>
      </c>
      <c r="X61" s="23">
        <f>S62</f>
        <v>0.87777777777777766</v>
      </c>
      <c r="Y61" s="26"/>
      <c r="Z61" s="26"/>
      <c r="AA61" s="175"/>
      <c r="AB61" s="176"/>
      <c r="AC61" s="25"/>
      <c r="AD61" s="25"/>
      <c r="AE61" s="19">
        <f t="shared" si="7"/>
        <v>-40.000000000000682</v>
      </c>
      <c r="AF61" s="21">
        <f t="shared" si="8"/>
        <v>0.97333333333333283</v>
      </c>
      <c r="AG61" s="172"/>
    </row>
    <row r="62" spans="1:33">
      <c r="A62" s="182" t="s">
        <v>70</v>
      </c>
      <c r="B62" s="37" t="s">
        <v>78</v>
      </c>
      <c r="C62" s="173" t="s">
        <v>125</v>
      </c>
      <c r="D62" s="174"/>
      <c r="E62" s="37">
        <v>54.29</v>
      </c>
      <c r="F62" s="42">
        <v>1011</v>
      </c>
      <c r="G62" s="4">
        <v>54887.19</v>
      </c>
      <c r="H62" s="22" t="s">
        <v>139</v>
      </c>
      <c r="I62" s="16">
        <v>20</v>
      </c>
      <c r="J62" s="18">
        <v>2000</v>
      </c>
      <c r="K62" s="17">
        <f t="shared" si="0"/>
        <v>100</v>
      </c>
      <c r="L62" s="16">
        <v>20</v>
      </c>
      <c r="M62" s="18">
        <f t="shared" si="28"/>
        <v>1956.7741935483839</v>
      </c>
      <c r="N62" s="18">
        <f t="shared" si="2"/>
        <v>97.838709677419189</v>
      </c>
      <c r="O62" s="19">
        <f t="shared" si="3"/>
        <v>0</v>
      </c>
      <c r="P62" s="20">
        <f t="shared" si="4"/>
        <v>-2.1612903225808111</v>
      </c>
      <c r="Q62" s="21">
        <f t="shared" si="5"/>
        <v>0.97838709677419189</v>
      </c>
      <c r="R62" s="172"/>
      <c r="S62" s="28">
        <v>0.87777777777777766</v>
      </c>
      <c r="T62" s="28">
        <v>0.89930555555555547</v>
      </c>
      <c r="U62" s="4">
        <f t="shared" si="30"/>
        <v>57.999999999999957</v>
      </c>
      <c r="V62" s="22">
        <f t="shared" si="29"/>
        <v>31.00000000000005</v>
      </c>
      <c r="W62" s="23"/>
      <c r="X62" s="23"/>
      <c r="Y62" s="26"/>
      <c r="Z62" s="26"/>
      <c r="AA62" s="175"/>
      <c r="AB62" s="176"/>
      <c r="AC62" s="25"/>
      <c r="AD62" s="25"/>
      <c r="AE62" s="19">
        <f t="shared" si="7"/>
        <v>-43.225806451616108</v>
      </c>
      <c r="AF62" s="21">
        <f t="shared" si="8"/>
        <v>0.978387096774192</v>
      </c>
      <c r="AG62" s="172"/>
    </row>
    <row r="63" spans="1:33">
      <c r="A63" s="183" t="s">
        <v>70</v>
      </c>
      <c r="B63" s="37" t="s">
        <v>51</v>
      </c>
      <c r="C63" s="177"/>
      <c r="D63" s="177"/>
      <c r="E63" s="38"/>
      <c r="F63" s="17"/>
      <c r="G63" s="17"/>
      <c r="H63" s="4"/>
      <c r="I63" s="30">
        <v>18.8</v>
      </c>
      <c r="J63" s="18">
        <v>1950</v>
      </c>
      <c r="K63" s="17">
        <f t="shared" si="0"/>
        <v>103.72340425531914</v>
      </c>
      <c r="L63" s="30">
        <v>18.8</v>
      </c>
      <c r="M63" s="18">
        <f>AVERAGE(M53:M62)</f>
        <v>1823.8650758335746</v>
      </c>
      <c r="N63" s="17">
        <f t="shared" si="2"/>
        <v>97.01409977838162</v>
      </c>
      <c r="O63" s="19">
        <f t="shared" si="3"/>
        <v>0</v>
      </c>
      <c r="P63" s="20">
        <f t="shared" si="4"/>
        <v>-6.7093044769375183</v>
      </c>
      <c r="Q63" s="21">
        <f t="shared" si="5"/>
        <v>0.93531542350439723</v>
      </c>
      <c r="R63" s="172"/>
      <c r="S63" s="28"/>
      <c r="T63" s="28"/>
      <c r="U63" s="4"/>
      <c r="V63" s="22"/>
      <c r="W63" s="17"/>
      <c r="X63" s="17"/>
      <c r="Y63" s="31">
        <f>SUM(Y53:Y62)</f>
        <v>0</v>
      </c>
      <c r="Z63" s="31">
        <f>SUM(Z53:Z62)</f>
        <v>0</v>
      </c>
      <c r="AA63" s="168"/>
      <c r="AB63" s="168"/>
      <c r="AC63" s="31">
        <v>10</v>
      </c>
      <c r="AD63" s="31">
        <f>SUM(AD53:AD62)</f>
        <v>0</v>
      </c>
      <c r="AE63" s="19">
        <f>M63-J63</f>
        <v>-126.13492416642544</v>
      </c>
      <c r="AF63" s="21">
        <f t="shared" si="8"/>
        <v>0.93531542350439723</v>
      </c>
      <c r="AG63" s="172"/>
    </row>
    <row r="64" spans="1:33" ht="15.75" customHeight="1">
      <c r="A64" s="178" t="s">
        <v>73</v>
      </c>
      <c r="B64" s="4" t="s">
        <v>84</v>
      </c>
      <c r="C64" s="165" t="s">
        <v>127</v>
      </c>
      <c r="D64" s="165"/>
      <c r="E64" s="37">
        <v>26.97</v>
      </c>
      <c r="F64" s="42">
        <v>1994</v>
      </c>
      <c r="G64" s="4">
        <v>53778.18</v>
      </c>
      <c r="H64" s="22" t="s">
        <v>139</v>
      </c>
      <c r="I64" s="16">
        <v>8</v>
      </c>
      <c r="J64" s="18">
        <v>1500</v>
      </c>
      <c r="K64" s="17">
        <f t="shared" si="0"/>
        <v>187.5</v>
      </c>
      <c r="L64" s="16">
        <v>8</v>
      </c>
      <c r="M64" s="18">
        <f t="shared" ref="M64:M68" si="31">F64/V64*60</f>
        <v>1441.4457831325303</v>
      </c>
      <c r="N64" s="17">
        <f t="shared" si="2"/>
        <v>180.18072289156629</v>
      </c>
      <c r="O64" s="19">
        <f t="shared" si="3"/>
        <v>0</v>
      </c>
      <c r="P64" s="20">
        <f t="shared" si="4"/>
        <v>-7.3192771084337096</v>
      </c>
      <c r="Q64" s="21">
        <f t="shared" si="5"/>
        <v>0.96096385542168683</v>
      </c>
      <c r="R64" s="172">
        <f>Q69</f>
        <v>0.96236094194961697</v>
      </c>
      <c r="S64" s="28">
        <v>0.20833333333333334</v>
      </c>
      <c r="T64" s="28">
        <v>0.26597222222222222</v>
      </c>
      <c r="U64" s="4"/>
      <c r="V64" s="22">
        <f t="shared" ref="V64:V68" si="32">(T64-S64)*24*60</f>
        <v>82.999999999999986</v>
      </c>
      <c r="W64" s="28"/>
      <c r="X64" s="28"/>
      <c r="Y64" s="28"/>
      <c r="Z64" s="28"/>
      <c r="AA64" s="164"/>
      <c r="AB64" s="164"/>
      <c r="AC64" s="25">
        <v>5</v>
      </c>
      <c r="AD64" s="25"/>
      <c r="AE64" s="19">
        <f t="shared" ref="AE64:AE75" si="33">M64-J64</f>
        <v>-58.554216867469677</v>
      </c>
      <c r="AF64" s="21">
        <f t="shared" si="8"/>
        <v>0.96096385542168683</v>
      </c>
      <c r="AG64" s="172">
        <f>AF69</f>
        <v>0.96236094194961697</v>
      </c>
    </row>
    <row r="65" spans="1:33" ht="15.75" customHeight="1">
      <c r="A65" s="178" t="s">
        <v>73</v>
      </c>
      <c r="B65" s="4" t="s">
        <v>84</v>
      </c>
      <c r="C65" s="165" t="s">
        <v>128</v>
      </c>
      <c r="D65" s="165"/>
      <c r="E65" s="37">
        <v>27.4</v>
      </c>
      <c r="F65" s="42">
        <v>1053</v>
      </c>
      <c r="G65" s="4">
        <v>28852.199999999997</v>
      </c>
      <c r="H65" s="22" t="s">
        <v>139</v>
      </c>
      <c r="I65" s="16">
        <v>10</v>
      </c>
      <c r="J65" s="18">
        <v>1500</v>
      </c>
      <c r="K65" s="17">
        <f t="shared" si="0"/>
        <v>150</v>
      </c>
      <c r="L65" s="16">
        <v>10</v>
      </c>
      <c r="M65" s="18">
        <f t="shared" si="31"/>
        <v>1435.909090909091</v>
      </c>
      <c r="N65" s="17">
        <f t="shared" si="2"/>
        <v>143.59090909090909</v>
      </c>
      <c r="O65" s="19">
        <f t="shared" si="3"/>
        <v>0</v>
      </c>
      <c r="P65" s="20">
        <f t="shared" si="4"/>
        <v>-6.4090909090909065</v>
      </c>
      <c r="Q65" s="21">
        <f t="shared" si="5"/>
        <v>0.95727272727272728</v>
      </c>
      <c r="R65" s="172"/>
      <c r="S65" s="28">
        <v>0.26944444444444443</v>
      </c>
      <c r="T65" s="28">
        <v>0.3</v>
      </c>
      <c r="U65" s="4">
        <f t="shared" ref="U65:U68" si="34">(S65-T64)*24*60</f>
        <v>4.9999999999999822</v>
      </c>
      <c r="V65" s="22">
        <f t="shared" si="32"/>
        <v>44</v>
      </c>
      <c r="W65" s="4"/>
      <c r="X65" s="4"/>
      <c r="Y65" s="4"/>
      <c r="Z65" s="4"/>
      <c r="AA65" s="164"/>
      <c r="AB65" s="164"/>
      <c r="AC65" s="25"/>
      <c r="AD65" s="25"/>
      <c r="AE65" s="19">
        <f t="shared" si="33"/>
        <v>-64.090909090909008</v>
      </c>
      <c r="AF65" s="21">
        <f t="shared" si="8"/>
        <v>0.95727272727272728</v>
      </c>
      <c r="AG65" s="172"/>
    </row>
    <row r="66" spans="1:33" ht="15.75" customHeight="1">
      <c r="A66" s="178" t="s">
        <v>73</v>
      </c>
      <c r="B66" s="4" t="s">
        <v>111</v>
      </c>
      <c r="C66" s="165" t="s">
        <v>129</v>
      </c>
      <c r="D66" s="165"/>
      <c r="E66" s="37">
        <v>31</v>
      </c>
      <c r="F66" s="42">
        <v>679</v>
      </c>
      <c r="G66" s="4">
        <v>21049</v>
      </c>
      <c r="H66" s="22" t="s">
        <v>139</v>
      </c>
      <c r="I66" s="16">
        <v>13</v>
      </c>
      <c r="J66" s="18">
        <v>2000</v>
      </c>
      <c r="K66" s="17">
        <f t="shared" si="0"/>
        <v>153.84615384615384</v>
      </c>
      <c r="L66" s="16">
        <v>13</v>
      </c>
      <c r="M66" s="18">
        <f t="shared" si="31"/>
        <v>1939.9999999999993</v>
      </c>
      <c r="N66" s="17">
        <f t="shared" si="2"/>
        <v>149.23076923076917</v>
      </c>
      <c r="O66" s="19">
        <f t="shared" si="3"/>
        <v>0</v>
      </c>
      <c r="P66" s="20">
        <f t="shared" si="4"/>
        <v>-4.61538461538467</v>
      </c>
      <c r="Q66" s="21">
        <f t="shared" si="5"/>
        <v>0.96999999999999964</v>
      </c>
      <c r="R66" s="172"/>
      <c r="S66" s="28">
        <v>0.30555555555555552</v>
      </c>
      <c r="T66" s="28">
        <v>0.32013888888888886</v>
      </c>
      <c r="U66" s="4">
        <f t="shared" si="34"/>
        <v>7.9999999999999716</v>
      </c>
      <c r="V66" s="22">
        <f t="shared" si="32"/>
        <v>21.000000000000007</v>
      </c>
      <c r="W66" s="4"/>
      <c r="X66" s="4"/>
      <c r="Y66" s="4"/>
      <c r="Z66" s="4"/>
      <c r="AA66" s="164"/>
      <c r="AB66" s="164"/>
      <c r="AC66" s="25"/>
      <c r="AD66" s="25"/>
      <c r="AE66" s="19">
        <f t="shared" si="33"/>
        <v>-60.000000000000682</v>
      </c>
      <c r="AF66" s="21">
        <f t="shared" si="8"/>
        <v>0.96999999999999964</v>
      </c>
      <c r="AG66" s="172"/>
    </row>
    <row r="67" spans="1:33" ht="15.75" customHeight="1">
      <c r="A67" s="178" t="s">
        <v>73</v>
      </c>
      <c r="B67" s="4" t="s">
        <v>111</v>
      </c>
      <c r="C67" s="165" t="s">
        <v>130</v>
      </c>
      <c r="D67" s="165"/>
      <c r="E67" s="37">
        <v>37.85</v>
      </c>
      <c r="F67" s="42">
        <v>2401</v>
      </c>
      <c r="G67" s="4">
        <v>90877.85</v>
      </c>
      <c r="H67" s="22" t="s">
        <v>139</v>
      </c>
      <c r="I67" s="16">
        <v>12</v>
      </c>
      <c r="J67" s="18">
        <v>2000</v>
      </c>
      <c r="K67" s="17">
        <f t="shared" si="0"/>
        <v>166.66666666666666</v>
      </c>
      <c r="L67" s="16">
        <v>12</v>
      </c>
      <c r="M67" s="18">
        <f t="shared" si="31"/>
        <v>1920.8000000000006</v>
      </c>
      <c r="N67" s="17">
        <f t="shared" si="2"/>
        <v>160.06666666666672</v>
      </c>
      <c r="O67" s="19">
        <f t="shared" si="3"/>
        <v>0</v>
      </c>
      <c r="P67" s="20">
        <f t="shared" si="4"/>
        <v>-6.5999999999999375</v>
      </c>
      <c r="Q67" s="21">
        <f t="shared" si="5"/>
        <v>0.96040000000000036</v>
      </c>
      <c r="R67" s="172"/>
      <c r="S67" s="28">
        <v>0.3256944444444444</v>
      </c>
      <c r="T67" s="28">
        <v>0.37777777777777771</v>
      </c>
      <c r="U67" s="4">
        <f t="shared" si="34"/>
        <v>7.9999999999999716</v>
      </c>
      <c r="V67" s="22">
        <f t="shared" si="32"/>
        <v>74.999999999999972</v>
      </c>
      <c r="W67" s="4"/>
      <c r="X67" s="4"/>
      <c r="Y67" s="4"/>
      <c r="Z67" s="4"/>
      <c r="AA67" s="164"/>
      <c r="AB67" s="164"/>
      <c r="AC67" s="25"/>
      <c r="AD67" s="25"/>
      <c r="AE67" s="19">
        <f t="shared" si="33"/>
        <v>-79.199999999999363</v>
      </c>
      <c r="AF67" s="21">
        <f t="shared" si="8"/>
        <v>0.96040000000000036</v>
      </c>
      <c r="AG67" s="172"/>
    </row>
    <row r="68" spans="1:33">
      <c r="A68" s="179" t="s">
        <v>73</v>
      </c>
      <c r="B68" s="4" t="s">
        <v>111</v>
      </c>
      <c r="C68" s="165" t="s">
        <v>131</v>
      </c>
      <c r="D68" s="165"/>
      <c r="E68" s="37">
        <v>34.36</v>
      </c>
      <c r="F68" s="42">
        <v>1587</v>
      </c>
      <c r="G68" s="4">
        <v>54529.32</v>
      </c>
      <c r="H68" s="22" t="s">
        <v>139</v>
      </c>
      <c r="I68" s="16">
        <v>10</v>
      </c>
      <c r="J68" s="18">
        <v>3000</v>
      </c>
      <c r="K68" s="17">
        <f t="shared" si="0"/>
        <v>300</v>
      </c>
      <c r="L68" s="16">
        <v>10</v>
      </c>
      <c r="M68" s="18">
        <f t="shared" si="31"/>
        <v>2885.4545454545487</v>
      </c>
      <c r="N68" s="17">
        <f t="shared" si="2"/>
        <v>288.54545454545485</v>
      </c>
      <c r="O68" s="19">
        <f t="shared" si="3"/>
        <v>0</v>
      </c>
      <c r="P68" s="20">
        <f t="shared" si="4"/>
        <v>-11.454545454545155</v>
      </c>
      <c r="Q68" s="21">
        <f t="shared" si="5"/>
        <v>0.96181818181818279</v>
      </c>
      <c r="R68" s="172"/>
      <c r="S68" s="28">
        <v>0.38263888888888881</v>
      </c>
      <c r="T68" s="28">
        <v>0.40555555555555545</v>
      </c>
      <c r="U68" s="4">
        <f t="shared" si="34"/>
        <v>6.9999999999999751</v>
      </c>
      <c r="V68" s="22">
        <f t="shared" si="32"/>
        <v>32.999999999999964</v>
      </c>
      <c r="W68" s="23"/>
      <c r="X68" s="23"/>
      <c r="Y68" s="23"/>
      <c r="Z68" s="23"/>
      <c r="AA68" s="164"/>
      <c r="AB68" s="164"/>
      <c r="AC68" s="25"/>
      <c r="AD68" s="25"/>
      <c r="AE68" s="19">
        <f t="shared" si="33"/>
        <v>-114.54545454545132</v>
      </c>
      <c r="AF68" s="21">
        <f t="shared" si="8"/>
        <v>0.9618181818181829</v>
      </c>
      <c r="AG68" s="172"/>
    </row>
    <row r="69" spans="1:33">
      <c r="A69" s="179" t="s">
        <v>73</v>
      </c>
      <c r="B69" s="37" t="s">
        <v>51</v>
      </c>
      <c r="C69" s="177"/>
      <c r="D69" s="177"/>
      <c r="E69" s="38"/>
      <c r="F69" s="17"/>
      <c r="G69" s="17"/>
      <c r="H69" s="4"/>
      <c r="I69" s="30">
        <v>10.6</v>
      </c>
      <c r="J69" s="18">
        <v>2000</v>
      </c>
      <c r="K69" s="17">
        <f t="shared" ref="K69:K75" si="35">J69/I69</f>
        <v>188.67924528301887</v>
      </c>
      <c r="L69" s="30">
        <v>10.6</v>
      </c>
      <c r="M69" s="18">
        <f>AVERAGE(M64:M68)</f>
        <v>1924.7218838992339</v>
      </c>
      <c r="N69" s="17">
        <f t="shared" ref="N69:N75" si="36">M69/L69</f>
        <v>181.57753621690887</v>
      </c>
      <c r="O69" s="19">
        <f t="shared" ref="O69:O75" si="37">L69-I69</f>
        <v>0</v>
      </c>
      <c r="P69" s="20">
        <f t="shared" ref="P69:P75" si="38">N69-K69</f>
        <v>-7.1017090661100042</v>
      </c>
      <c r="Q69" s="21">
        <f t="shared" ref="Q69:Q75" si="39">N69/K69</f>
        <v>0.96236094194961697</v>
      </c>
      <c r="R69" s="172"/>
      <c r="S69" s="28"/>
      <c r="T69" s="28"/>
      <c r="U69" s="17"/>
      <c r="V69" s="22"/>
      <c r="W69" s="17"/>
      <c r="X69" s="17"/>
      <c r="Y69" s="31">
        <f>SUM(Y64:Y68)</f>
        <v>0</v>
      </c>
      <c r="Z69" s="31">
        <f>SUM(Z64:Z68)</f>
        <v>0</v>
      </c>
      <c r="AA69" s="168"/>
      <c r="AB69" s="168"/>
      <c r="AC69" s="31">
        <v>5</v>
      </c>
      <c r="AD69" s="31">
        <f>SUM(AD64:AD68)</f>
        <v>0</v>
      </c>
      <c r="AE69" s="19">
        <f t="shared" si="33"/>
        <v>-75.278116100766056</v>
      </c>
      <c r="AF69" s="21">
        <f t="shared" ref="AF69:AF75" si="40">M69/J69</f>
        <v>0.96236094194961697</v>
      </c>
      <c r="AG69" s="172"/>
    </row>
    <row r="70" spans="1:33" ht="15.75" customHeight="1">
      <c r="A70" s="169" t="s">
        <v>75</v>
      </c>
      <c r="B70" s="4" t="s">
        <v>100</v>
      </c>
      <c r="C70" s="165" t="s">
        <v>133</v>
      </c>
      <c r="D70" s="165"/>
      <c r="E70" s="37">
        <v>20.2</v>
      </c>
      <c r="F70" s="4">
        <v>1889</v>
      </c>
      <c r="G70" s="4">
        <v>38157.799999999996</v>
      </c>
      <c r="H70" s="22" t="s">
        <v>139</v>
      </c>
      <c r="I70" s="16">
        <v>19</v>
      </c>
      <c r="J70" s="18">
        <v>2400</v>
      </c>
      <c r="K70" s="17">
        <f t="shared" si="35"/>
        <v>126.31578947368421</v>
      </c>
      <c r="L70" s="16">
        <v>19</v>
      </c>
      <c r="M70" s="18">
        <f t="shared" ref="M70:M74" si="41">F70/V70*60</f>
        <v>2313.0612244897966</v>
      </c>
      <c r="N70" s="17">
        <f t="shared" si="36"/>
        <v>121.7400644468314</v>
      </c>
      <c r="O70" s="19">
        <f t="shared" si="37"/>
        <v>0</v>
      </c>
      <c r="P70" s="20">
        <f t="shared" si="38"/>
        <v>-4.5757250268528082</v>
      </c>
      <c r="Q70" s="21">
        <f t="shared" si="39"/>
        <v>0.96377551020408192</v>
      </c>
      <c r="R70" s="172">
        <f>Q75</f>
        <v>0.96263587551175411</v>
      </c>
      <c r="S70" s="28">
        <v>0.125</v>
      </c>
      <c r="T70" s="28">
        <v>0.15902777777777777</v>
      </c>
      <c r="U70" s="28"/>
      <c r="V70" s="22">
        <f t="shared" ref="V70:V74" si="42">(T70-S70)*24*60</f>
        <v>48.999999999999986</v>
      </c>
      <c r="W70" s="23">
        <f>T70</f>
        <v>0.15902777777777777</v>
      </c>
      <c r="X70" s="23">
        <f>S71</f>
        <v>0.17916666666666667</v>
      </c>
      <c r="Y70" s="23"/>
      <c r="Z70" s="23"/>
      <c r="AA70" s="164"/>
      <c r="AB70" s="164"/>
      <c r="AC70" s="25">
        <v>5</v>
      </c>
      <c r="AD70" s="25"/>
      <c r="AE70" s="19">
        <f t="shared" si="33"/>
        <v>-86.938775510203413</v>
      </c>
      <c r="AF70" s="21">
        <f t="shared" si="40"/>
        <v>0.96377551020408192</v>
      </c>
      <c r="AG70" s="172">
        <f>AF75</f>
        <v>0.962635875511754</v>
      </c>
    </row>
    <row r="71" spans="1:33" ht="15.75" customHeight="1">
      <c r="A71" s="170" t="s">
        <v>75</v>
      </c>
      <c r="B71" s="4" t="s">
        <v>100</v>
      </c>
      <c r="C71" s="165" t="s">
        <v>109</v>
      </c>
      <c r="D71" s="165"/>
      <c r="E71" s="37">
        <v>24.45</v>
      </c>
      <c r="F71" s="4">
        <v>2353</v>
      </c>
      <c r="G71" s="4">
        <v>57530.85</v>
      </c>
      <c r="H71" s="22" t="s">
        <v>139</v>
      </c>
      <c r="I71" s="16">
        <v>20</v>
      </c>
      <c r="J71" s="18">
        <v>2400</v>
      </c>
      <c r="K71" s="17">
        <f t="shared" si="35"/>
        <v>120</v>
      </c>
      <c r="L71" s="16">
        <v>20</v>
      </c>
      <c r="M71" s="18">
        <f t="shared" si="41"/>
        <v>2314.4262295081971</v>
      </c>
      <c r="N71" s="17">
        <f t="shared" si="36"/>
        <v>115.72131147540986</v>
      </c>
      <c r="O71" s="19">
        <f t="shared" si="37"/>
        <v>0</v>
      </c>
      <c r="P71" s="20">
        <f t="shared" si="38"/>
        <v>-4.2786885245901374</v>
      </c>
      <c r="Q71" s="21">
        <f t="shared" si="39"/>
        <v>0.96434426229508219</v>
      </c>
      <c r="R71" s="172"/>
      <c r="S71" s="28">
        <v>0.17916666666666667</v>
      </c>
      <c r="T71" s="28">
        <v>0.22152777777777777</v>
      </c>
      <c r="U71" s="4">
        <f t="shared" ref="U71:U74" si="43">(S71-T70)*24*60</f>
        <v>29.000000000000018</v>
      </c>
      <c r="V71" s="22">
        <f t="shared" si="42"/>
        <v>60.999999999999986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33"/>
        <v>-85.573770491802861</v>
      </c>
      <c r="AF71" s="21">
        <f t="shared" si="40"/>
        <v>0.96434426229508219</v>
      </c>
      <c r="AG71" s="172"/>
    </row>
    <row r="72" spans="1:33" ht="15.75" customHeight="1">
      <c r="A72" s="170" t="s">
        <v>75</v>
      </c>
      <c r="B72" s="4" t="s">
        <v>100</v>
      </c>
      <c r="C72" s="165" t="s">
        <v>136</v>
      </c>
      <c r="D72" s="165"/>
      <c r="E72" s="37">
        <v>24.43</v>
      </c>
      <c r="F72" s="4">
        <v>5640</v>
      </c>
      <c r="G72" s="4">
        <v>137785.20000000001</v>
      </c>
      <c r="H72" s="22" t="s">
        <v>139</v>
      </c>
      <c r="I72" s="16">
        <v>14</v>
      </c>
      <c r="J72" s="18">
        <v>2400</v>
      </c>
      <c r="K72" s="17">
        <f t="shared" si="35"/>
        <v>171.42857142857142</v>
      </c>
      <c r="L72" s="16">
        <v>14</v>
      </c>
      <c r="M72" s="18">
        <f t="shared" si="41"/>
        <v>2286.4864864864862</v>
      </c>
      <c r="N72" s="17">
        <f t="shared" si="36"/>
        <v>163.32046332046329</v>
      </c>
      <c r="O72" s="19">
        <f t="shared" si="37"/>
        <v>0</v>
      </c>
      <c r="P72" s="20">
        <f t="shared" si="38"/>
        <v>-8.1081081081081265</v>
      </c>
      <c r="Q72" s="21">
        <f t="shared" si="39"/>
        <v>0.95270270270270263</v>
      </c>
      <c r="R72" s="172"/>
      <c r="S72" s="28">
        <v>0.22569444444444445</v>
      </c>
      <c r="T72" s="28">
        <v>0.32847222222222222</v>
      </c>
      <c r="U72" s="4">
        <f t="shared" si="43"/>
        <v>6.0000000000000187</v>
      </c>
      <c r="V72" s="22">
        <f t="shared" si="42"/>
        <v>148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33"/>
        <v>-113.51351351351377</v>
      </c>
      <c r="AF72" s="21">
        <f t="shared" si="40"/>
        <v>0.95270270270270263</v>
      </c>
      <c r="AG72" s="172"/>
    </row>
    <row r="73" spans="1:33" ht="15.75" customHeight="1">
      <c r="A73" s="170" t="s">
        <v>1058</v>
      </c>
      <c r="B73" s="4" t="s">
        <v>100</v>
      </c>
      <c r="C73" s="165" t="s">
        <v>138</v>
      </c>
      <c r="D73" s="165"/>
      <c r="E73" s="37">
        <v>22.69</v>
      </c>
      <c r="F73" s="4">
        <v>1058</v>
      </c>
      <c r="G73" s="4">
        <v>24006.02</v>
      </c>
      <c r="H73" s="22" t="s">
        <v>139</v>
      </c>
      <c r="I73" s="16">
        <v>15</v>
      </c>
      <c r="J73" s="18">
        <v>2400</v>
      </c>
      <c r="K73" s="17">
        <f t="shared" si="35"/>
        <v>160</v>
      </c>
      <c r="L73" s="16">
        <v>15</v>
      </c>
      <c r="M73" s="18">
        <f t="shared" si="41"/>
        <v>2351.1111111111122</v>
      </c>
      <c r="N73" s="17">
        <f t="shared" si="36"/>
        <v>156.74074074074082</v>
      </c>
      <c r="O73" s="19">
        <f t="shared" si="37"/>
        <v>0</v>
      </c>
      <c r="P73" s="20">
        <f t="shared" si="38"/>
        <v>-3.2592592592591814</v>
      </c>
      <c r="Q73" s="21">
        <f t="shared" si="39"/>
        <v>0.97962962962963007</v>
      </c>
      <c r="R73" s="172"/>
      <c r="S73" s="28">
        <v>0.33263888888888887</v>
      </c>
      <c r="T73" s="28">
        <v>0.35138888888888886</v>
      </c>
      <c r="U73" s="4">
        <f t="shared" si="43"/>
        <v>5.9999999999999787</v>
      </c>
      <c r="V73" s="22">
        <f t="shared" si="42"/>
        <v>26.999999999999986</v>
      </c>
      <c r="W73" s="23"/>
      <c r="X73" s="23"/>
      <c r="Y73" s="23"/>
      <c r="Z73" s="23"/>
      <c r="AA73" s="164"/>
      <c r="AB73" s="164"/>
      <c r="AC73" s="25"/>
      <c r="AD73" s="25"/>
      <c r="AE73" s="19">
        <f t="shared" si="33"/>
        <v>-48.888888888887777</v>
      </c>
      <c r="AF73" s="21">
        <f t="shared" si="40"/>
        <v>0.97962962962963007</v>
      </c>
      <c r="AG73" s="172"/>
    </row>
    <row r="74" spans="1:33" ht="15.75" customHeight="1">
      <c r="A74" s="170" t="s">
        <v>75</v>
      </c>
      <c r="B74" s="4" t="s">
        <v>100</v>
      </c>
      <c r="C74" s="165" t="s">
        <v>135</v>
      </c>
      <c r="D74" s="165"/>
      <c r="E74" s="37">
        <v>19.02</v>
      </c>
      <c r="F74" s="4">
        <v>8384</v>
      </c>
      <c r="G74" s="4">
        <v>159463.67999999999</v>
      </c>
      <c r="H74" s="22" t="s">
        <v>139</v>
      </c>
      <c r="I74" s="16">
        <v>15</v>
      </c>
      <c r="J74" s="18">
        <v>2400</v>
      </c>
      <c r="K74" s="17">
        <f t="shared" si="35"/>
        <v>160</v>
      </c>
      <c r="L74" s="16">
        <v>15</v>
      </c>
      <c r="M74" s="18">
        <f t="shared" si="41"/>
        <v>2286.545454545454</v>
      </c>
      <c r="N74" s="17">
        <f t="shared" si="36"/>
        <v>152.43636363636361</v>
      </c>
      <c r="O74" s="19">
        <f t="shared" si="37"/>
        <v>0</v>
      </c>
      <c r="P74" s="20">
        <f t="shared" si="38"/>
        <v>-7.563636363636391</v>
      </c>
      <c r="Q74" s="21">
        <f t="shared" si="39"/>
        <v>0.95272727272727253</v>
      </c>
      <c r="R74" s="172"/>
      <c r="S74" s="28">
        <v>0.3569444444444444</v>
      </c>
      <c r="T74" s="28">
        <v>0.50972222222222219</v>
      </c>
      <c r="U74" s="4">
        <f t="shared" si="43"/>
        <v>7.9999999999999716</v>
      </c>
      <c r="V74" s="22">
        <f t="shared" si="42"/>
        <v>220.00000000000003</v>
      </c>
      <c r="W74" s="23"/>
      <c r="X74" s="23"/>
      <c r="Y74" s="23"/>
      <c r="Z74" s="23"/>
      <c r="AA74" s="164"/>
      <c r="AB74" s="164"/>
      <c r="AC74" s="25"/>
      <c r="AD74" s="25"/>
      <c r="AE74" s="19">
        <f t="shared" si="33"/>
        <v>-113.45454545454595</v>
      </c>
      <c r="AF74" s="21">
        <f t="shared" si="40"/>
        <v>0.95272727272727253</v>
      </c>
      <c r="AG74" s="172"/>
    </row>
    <row r="75" spans="1:33" ht="16.5" customHeight="1">
      <c r="A75" s="171" t="s">
        <v>75</v>
      </c>
      <c r="B75" s="37" t="s">
        <v>51</v>
      </c>
      <c r="C75" s="166"/>
      <c r="D75" s="167"/>
      <c r="E75" s="38"/>
      <c r="F75" s="17"/>
      <c r="G75" s="17"/>
      <c r="H75" s="4"/>
      <c r="I75" s="30">
        <v>16.600000000000001</v>
      </c>
      <c r="J75" s="18">
        <v>2400</v>
      </c>
      <c r="K75" s="17">
        <f t="shared" si="35"/>
        <v>144.57831325301203</v>
      </c>
      <c r="L75" s="30">
        <v>16.600000000000001</v>
      </c>
      <c r="M75" s="18">
        <f>AVERAGE(M70:M74)</f>
        <v>2310.3261012282096</v>
      </c>
      <c r="N75" s="17">
        <f t="shared" si="36"/>
        <v>139.17627115832587</v>
      </c>
      <c r="O75" s="19">
        <f t="shared" si="37"/>
        <v>0</v>
      </c>
      <c r="P75" s="20">
        <f t="shared" si="38"/>
        <v>-5.402042094686152</v>
      </c>
      <c r="Q75" s="21">
        <f t="shared" si="39"/>
        <v>0.96263587551175411</v>
      </c>
      <c r="R75" s="172"/>
      <c r="S75" s="28"/>
      <c r="T75" s="28"/>
      <c r="U75" s="17"/>
      <c r="V75" s="22"/>
      <c r="W75" s="17"/>
      <c r="X75" s="17"/>
      <c r="Y75" s="31">
        <f>SUM(Y70:Y74)</f>
        <v>0</v>
      </c>
      <c r="Z75" s="31">
        <f>SUM(Z70:Z74)</f>
        <v>0</v>
      </c>
      <c r="AA75" s="168"/>
      <c r="AB75" s="168"/>
      <c r="AC75" s="31">
        <v>5</v>
      </c>
      <c r="AD75" s="31">
        <f>SUM(AD70:AD74)</f>
        <v>0</v>
      </c>
      <c r="AE75" s="19">
        <f t="shared" si="33"/>
        <v>-89.673898771790391</v>
      </c>
      <c r="AF75" s="21">
        <f t="shared" si="40"/>
        <v>0.962635875511754</v>
      </c>
      <c r="AG75" s="172"/>
    </row>
    <row r="76" spans="1:33">
      <c r="D76" s="33"/>
      <c r="E76" s="33"/>
    </row>
  </sheetData>
  <mergeCells count="202">
    <mergeCell ref="AG70:AG75"/>
    <mergeCell ref="C71:D71"/>
    <mergeCell ref="AA71:AB71"/>
    <mergeCell ref="C72:D72"/>
    <mergeCell ref="AA72:AB72"/>
    <mergeCell ref="C73:D73"/>
    <mergeCell ref="AA73:AB73"/>
    <mergeCell ref="C74:D74"/>
    <mergeCell ref="AA74:AB74"/>
    <mergeCell ref="C75:D75"/>
    <mergeCell ref="A70:A75"/>
    <mergeCell ref="C70:D70"/>
    <mergeCell ref="R70:R75"/>
    <mergeCell ref="AA70:AB70"/>
    <mergeCell ref="AA75:AB75"/>
    <mergeCell ref="A64:A69"/>
    <mergeCell ref="C64:D64"/>
    <mergeCell ref="R64:R69"/>
    <mergeCell ref="AA64:AB64"/>
    <mergeCell ref="AA56:AB56"/>
    <mergeCell ref="AA57:AB57"/>
    <mergeCell ref="C58:D58"/>
    <mergeCell ref="AA58:AB58"/>
    <mergeCell ref="C59:D59"/>
    <mergeCell ref="AA67:AB67"/>
    <mergeCell ref="C68:D68"/>
    <mergeCell ref="AA68:AB68"/>
    <mergeCell ref="C69:D69"/>
    <mergeCell ref="AA69:AB69"/>
    <mergeCell ref="A53:A63"/>
    <mergeCell ref="C53:D53"/>
    <mergeCell ref="R53:R63"/>
    <mergeCell ref="AA53:AB53"/>
    <mergeCell ref="AA59:AB59"/>
    <mergeCell ref="C60:D60"/>
    <mergeCell ref="AG64:AG69"/>
    <mergeCell ref="C65:D65"/>
    <mergeCell ref="AA65:AB65"/>
    <mergeCell ref="C66:D66"/>
    <mergeCell ref="AA66:AB66"/>
    <mergeCell ref="C67:D67"/>
    <mergeCell ref="AA60:AB60"/>
    <mergeCell ref="C61:D61"/>
    <mergeCell ref="AA61:AB61"/>
    <mergeCell ref="C62:D62"/>
    <mergeCell ref="AA62:AB62"/>
    <mergeCell ref="C63:D63"/>
    <mergeCell ref="AA63:AB63"/>
    <mergeCell ref="AG53:AG63"/>
    <mergeCell ref="C54:D54"/>
    <mergeCell ref="AA54:AB54"/>
    <mergeCell ref="C55:D55"/>
    <mergeCell ref="AA55:AB55"/>
    <mergeCell ref="AG42:AG52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C51:D51"/>
    <mergeCell ref="AA51:AB51"/>
    <mergeCell ref="C52:D52"/>
    <mergeCell ref="AA52:AB52"/>
    <mergeCell ref="A42:A52"/>
    <mergeCell ref="C42:D42"/>
    <mergeCell ref="R42:R52"/>
    <mergeCell ref="AA42:AB42"/>
    <mergeCell ref="AA47:AB47"/>
    <mergeCell ref="A36:A41"/>
    <mergeCell ref="C36:D36"/>
    <mergeCell ref="R36:R41"/>
    <mergeCell ref="AA36:AB36"/>
    <mergeCell ref="C48:D48"/>
    <mergeCell ref="AA48:AB48"/>
    <mergeCell ref="C49:D49"/>
    <mergeCell ref="AA49:AB49"/>
    <mergeCell ref="C50:D50"/>
    <mergeCell ref="AA50:AB50"/>
    <mergeCell ref="AG36:AG41"/>
    <mergeCell ref="C37:D37"/>
    <mergeCell ref="AA37:AB37"/>
    <mergeCell ref="C38:D38"/>
    <mergeCell ref="AA38:AB38"/>
    <mergeCell ref="C39:D39"/>
    <mergeCell ref="AA32:AB32"/>
    <mergeCell ref="C33:D33"/>
    <mergeCell ref="AA33:AB33"/>
    <mergeCell ref="C34:D34"/>
    <mergeCell ref="AA34:AB34"/>
    <mergeCell ref="C35:D35"/>
    <mergeCell ref="AA35:AB35"/>
    <mergeCell ref="AA39:AB39"/>
    <mergeCell ref="C40:D40"/>
    <mergeCell ref="AA40:AB40"/>
    <mergeCell ref="C41:D41"/>
    <mergeCell ref="AA41:AB41"/>
    <mergeCell ref="A22:A28"/>
    <mergeCell ref="C22:D22"/>
    <mergeCell ref="R22:R28"/>
    <mergeCell ref="AA22:AB22"/>
    <mergeCell ref="A29:A35"/>
    <mergeCell ref="C29:D29"/>
    <mergeCell ref="R29:R35"/>
    <mergeCell ref="AA29:AB29"/>
    <mergeCell ref="AG29:AG35"/>
    <mergeCell ref="C30:D30"/>
    <mergeCell ref="AA30:AB30"/>
    <mergeCell ref="C31:D31"/>
    <mergeCell ref="AA31:AB31"/>
    <mergeCell ref="C32:D32"/>
    <mergeCell ref="AG22:AG28"/>
    <mergeCell ref="C23:D23"/>
    <mergeCell ref="AA23:AB23"/>
    <mergeCell ref="C24:D24"/>
    <mergeCell ref="AA24:AB24"/>
    <mergeCell ref="C25:D25"/>
    <mergeCell ref="C27:D27"/>
    <mergeCell ref="AA27:AB27"/>
    <mergeCell ref="C28:D28"/>
    <mergeCell ref="AA28:AB28"/>
    <mergeCell ref="C18:D18"/>
    <mergeCell ref="AA18:AB18"/>
    <mergeCell ref="C19:D19"/>
    <mergeCell ref="AA19:AB19"/>
    <mergeCell ref="AA20:AB20"/>
    <mergeCell ref="C21:D21"/>
    <mergeCell ref="AA21:AB21"/>
    <mergeCell ref="AA25:AB25"/>
    <mergeCell ref="C26:D26"/>
    <mergeCell ref="AA26:AB26"/>
    <mergeCell ref="A14:A21"/>
    <mergeCell ref="C14:D14"/>
    <mergeCell ref="R14:R21"/>
    <mergeCell ref="AA14:AB14"/>
    <mergeCell ref="AG14:AG21"/>
    <mergeCell ref="C10:D10"/>
    <mergeCell ref="AA10:AB10"/>
    <mergeCell ref="A11:A13"/>
    <mergeCell ref="C11:D11"/>
    <mergeCell ref="R11:R13"/>
    <mergeCell ref="AA11:AB11"/>
    <mergeCell ref="A5:A10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:O75">
    <cfRule type="cellIs" dxfId="108" priority="1" operator="greaterThan">
      <formula>0</formula>
    </cfRule>
  </conditionalFormatting>
  <conditionalFormatting sqref="P5:P75">
    <cfRule type="cellIs" dxfId="107" priority="4" operator="lessThan">
      <formula>0</formula>
    </cfRule>
  </conditionalFormatting>
  <conditionalFormatting sqref="Q5:Q75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R5:R11 AG5:AG11">
    <cfRule type="cellIs" dxfId="104" priority="86" operator="lessThan">
      <formula>0.8</formula>
    </cfRule>
  </conditionalFormatting>
  <conditionalFormatting sqref="AE5:AE75">
    <cfRule type="cellIs" dxfId="103" priority="22" operator="lessThan">
      <formula>0</formula>
    </cfRule>
  </conditionalFormatting>
  <conditionalFormatting sqref="AF5:AF75">
    <cfRule type="cellIs" dxfId="102" priority="21" operator="lessThan">
      <formula>0.8</formula>
    </cfRule>
    <cfRule type="cellIs" dxfId="101" priority="20" operator="greaterThan">
      <formula>1</formula>
    </cfRule>
  </conditionalFormatting>
  <conditionalFormatting sqref="AG14:AG67 R14:R75">
    <cfRule type="cellIs" dxfId="100" priority="5" operator="lessThan">
      <formula>0.8</formula>
    </cfRule>
  </conditionalFormatting>
  <dataValidations count="1">
    <dataValidation type="list" allowBlank="1" showInputMessage="1" showErrorMessage="1" sqref="AB10 AA5:AB9 AB68 AA10:AA68 AB12:AB64 AA69:AB75" xr:uid="{00000000-0002-0000-2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32"/>
  <sheetViews>
    <sheetView zoomScale="85" zoomScaleNormal="85" workbookViewId="0">
      <selection activeCell="X80" sqref="X80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140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141</v>
      </c>
      <c r="C3" s="153" t="str">
        <f>TEXT('0210 4度C'!A2,"yyyy.mm.ddaaaa")</f>
        <v>2026.02.10星期二</v>
      </c>
      <c r="D3" s="154"/>
      <c r="E3" s="47" t="s">
        <v>142</v>
      </c>
      <c r="F3" s="155">
        <f>'0210 4度C'!D1</f>
        <v>149858</v>
      </c>
      <c r="G3" s="156"/>
      <c r="H3" s="47" t="s">
        <v>300</v>
      </c>
      <c r="I3" s="157">
        <f>'0210 4度C'!F1</f>
        <v>5162682.5599999987</v>
      </c>
      <c r="J3" s="158"/>
      <c r="K3" s="48"/>
      <c r="L3" s="49"/>
      <c r="M3" s="49"/>
      <c r="N3" s="49"/>
    </row>
    <row r="4" spans="2:17" ht="28.5" customHeight="1">
      <c r="B4" s="159" t="s">
        <v>144</v>
      </c>
      <c r="C4" s="145" t="s">
        <v>145</v>
      </c>
      <c r="D4" s="146"/>
      <c r="E4" s="162" t="s">
        <v>146</v>
      </c>
      <c r="F4" s="163"/>
      <c r="G4" s="162" t="s">
        <v>147</v>
      </c>
      <c r="H4" s="163"/>
      <c r="I4" s="162" t="s">
        <v>148</v>
      </c>
      <c r="J4" s="163"/>
      <c r="K4" s="143" t="s">
        <v>149</v>
      </c>
      <c r="L4" s="144"/>
      <c r="M4" s="144" t="s">
        <v>150</v>
      </c>
      <c r="N4" s="144"/>
    </row>
    <row r="5" spans="2:17" ht="28.5" customHeight="1">
      <c r="B5" s="160"/>
      <c r="C5" s="145" t="s">
        <v>151</v>
      </c>
      <c r="D5" s="146"/>
      <c r="E5" s="145" t="s">
        <v>917</v>
      </c>
      <c r="F5" s="146"/>
      <c r="G5" s="147" t="s">
        <v>918</v>
      </c>
      <c r="H5" s="148"/>
      <c r="I5" s="149" t="s">
        <v>216</v>
      </c>
      <c r="J5" s="150"/>
      <c r="K5" s="50" t="s">
        <v>919</v>
      </c>
      <c r="L5" s="51" t="s">
        <v>920</v>
      </c>
      <c r="M5" s="50" t="s">
        <v>921</v>
      </c>
      <c r="N5" s="51" t="s">
        <v>157</v>
      </c>
    </row>
    <row r="6" spans="2:17" ht="28.5" customHeight="1">
      <c r="B6" s="160"/>
      <c r="C6" s="145" t="s">
        <v>158</v>
      </c>
      <c r="D6" s="146"/>
      <c r="E6" s="137">
        <f>AVERAGE(D13:M13)</f>
        <v>143.71510140004017</v>
      </c>
      <c r="F6" s="138">
        <f>AVERAGE(D31:O31,D13:J13)</f>
        <v>146.66376385961848</v>
      </c>
      <c r="G6" s="139">
        <f>AVERAGE(D13:J13)</f>
        <v>146.66376385961848</v>
      </c>
      <c r="H6" s="140"/>
      <c r="I6" s="139">
        <f>AVERAGE(K13:M13)</f>
        <v>136.83488899435744</v>
      </c>
      <c r="J6" s="140"/>
      <c r="K6" s="141">
        <f>'0210 4度C'!Y2</f>
        <v>0</v>
      </c>
      <c r="L6" s="126">
        <f>'0210 4度C'!Z2</f>
        <v>0</v>
      </c>
      <c r="M6" s="142">
        <f>'0210 4度C'!AC2</f>
        <v>63</v>
      </c>
      <c r="N6" s="126">
        <f>'0210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137.60489054278489</v>
      </c>
      <c r="F7" s="130">
        <f>AVERAGE(D32:O32,D14:J14)</f>
        <v>140.50655211652028</v>
      </c>
      <c r="G7" s="131">
        <f>AVERAGE(D14:J14)</f>
        <v>140.50655211652028</v>
      </c>
      <c r="H7" s="132"/>
      <c r="I7" s="131">
        <f>AVERAGE(K14:M14)</f>
        <v>130.83434687073563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0.95683857488597412</v>
      </c>
      <c r="F8" s="134">
        <f>AVERAGE(D15:J15,D33:O33)</f>
        <v>0.95715425914264596</v>
      </c>
      <c r="G8" s="135">
        <f>AVERAGE(D15:J15)</f>
        <v>0.95715425914264596</v>
      </c>
      <c r="H8" s="136"/>
      <c r="I8" s="135">
        <f>AVERAGE(K15:M15)</f>
        <v>0.95610197828707266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161</v>
      </c>
      <c r="N9" s="49"/>
      <c r="O9" s="49"/>
      <c r="P9" s="49"/>
      <c r="Q9" s="49"/>
    </row>
    <row r="10" spans="2:17" ht="30" customHeight="1">
      <c r="B10" s="109" t="s">
        <v>922</v>
      </c>
      <c r="C10" s="110"/>
      <c r="D10" s="111" t="s">
        <v>163</v>
      </c>
      <c r="E10" s="112"/>
      <c r="F10" s="112"/>
      <c r="G10" s="112"/>
      <c r="H10" s="112"/>
      <c r="I10" s="112"/>
      <c r="J10" s="113"/>
      <c r="K10" s="114" t="s">
        <v>164</v>
      </c>
      <c r="L10" s="115"/>
      <c r="M10" s="116"/>
      <c r="P10" s="55"/>
      <c r="Q10" s="55"/>
    </row>
    <row r="11" spans="2:17" ht="17.25" customHeight="1">
      <c r="B11" s="117" t="s">
        <v>165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13</v>
      </c>
      <c r="C13" s="62" t="s">
        <v>177</v>
      </c>
      <c r="D13" s="63">
        <f>SUMIFS('0210 4度C'!$K:$K,'0210 4度C'!$A:$A,"新豐6線",'0210 4度C'!$B:$B,"平均")</f>
        <v>113.63636363636363</v>
      </c>
      <c r="E13" s="64">
        <f>SUMIFS('0210 4度C'!$K:$K,'0210 4度C'!$A:$A,"新豐2線",'0210 4度C'!$B:$B,"平均")</f>
        <v>83.333333333333329</v>
      </c>
      <c r="F13" s="65">
        <f>SUMIFS('0210 4度C'!$K:$K,'0210 4度C'!$A:$A,"新豐5線",'0210 4度C'!$B:$B,"平均")</f>
        <v>109.24369747899159</v>
      </c>
      <c r="G13" s="65">
        <f>SUMIFS('0210 4度C'!$K:$K,'0210 4度C'!$A:$A,"新豐7線",'0210 4度C'!$B:$B,"平均")</f>
        <v>125</v>
      </c>
      <c r="H13" s="65">
        <f>SUMIFS('0210 4度C'!$K:$K,'0210 4度C'!$A:$A,"新豐3線",'0210 4度C'!$B:$B,"平均")</f>
        <v>303.030303030303</v>
      </c>
      <c r="I13" s="65">
        <f>SUMIFS('0210 4度C'!$K:$K,'0210 4度C'!$A:$A,"新豐1線",'0210 4度C'!$B:$B,"平均")</f>
        <v>103.72340425531914</v>
      </c>
      <c r="J13" s="66">
        <f>SUMIFS('0210 4度C'!$K:$K,'0210 4度C'!$A:$A,"新豐10線",'0210 4度C'!$B:$B,"平均")</f>
        <v>188.67924528301887</v>
      </c>
      <c r="K13" s="67">
        <f>SUMIFS('0210 4度C'!$K:$K,'0210 4度C'!$A:$A,"新豐8線",'0210 4度C'!$B:$B,"平均")</f>
        <v>130.23255813953489</v>
      </c>
      <c r="L13" s="68">
        <f>SUMIFS('0210 4度C'!$K:$K,'0210 4度C'!$A:$A,"新豐9線",'0210 4度C'!$B:$B,"平均")</f>
        <v>133.33333333333334</v>
      </c>
      <c r="M13" s="66">
        <f>SUMIFS('0210 4度C'!$K:$K,'0210 4度C'!$A:$A,"新豐4線",'0210 4度C'!$B:$B,"平均")</f>
        <v>146.9387755102041</v>
      </c>
    </row>
    <row r="14" spans="2:17" ht="39.6" customHeight="1">
      <c r="B14" s="122"/>
      <c r="C14" s="69" t="s">
        <v>923</v>
      </c>
      <c r="D14" s="70">
        <f>SUMIFS('0210 4度C'!$N:$N,'0210 4度C'!$A:$A,"新豐6線",'0210 4度C'!$B:$B,"平均")</f>
        <v>109.85752035046278</v>
      </c>
      <c r="E14" s="71">
        <f>SUMIFS('0210 4度C'!$N:$N,'0210 4度C'!$A:$A,"新豐2線",'0210 4度C'!$B:$B,"平均")</f>
        <v>79.392829457364343</v>
      </c>
      <c r="F14" s="71">
        <f>SUMIFS('0210 4度C'!$N:$N,'0210 4度C'!$A:$A,"新豐5線",'0210 4度C'!$B:$B,"平均")</f>
        <v>105.40909698046158</v>
      </c>
      <c r="G14" s="71">
        <f>SUMIFS('0210 4度C'!$N:$N,'0210 4度C'!$A:$A,"新豐7線",'0210 4度C'!$B:$B,"平均")</f>
        <v>120.39910068266718</v>
      </c>
      <c r="H14" s="71">
        <f>SUMIFS('0210 4度C'!$N:$N,'0210 4度C'!$A:$A,"新豐3線",'0210 4度C'!$B:$B,"平均")</f>
        <v>289.97050034510261</v>
      </c>
      <c r="I14" s="71">
        <f>SUMIFS('0210 4度C'!$N:$N,'0210 4度C'!$A:$A,"新豐1線",'0210 4度C'!$B:$B,"平均")</f>
        <v>96.633024644840162</v>
      </c>
      <c r="J14" s="72">
        <f>SUMIFS('0210 4度C'!$N:$N,'0210 4度C'!$A:$A,"新豐10線",'0210 4度C'!$B:$B,"平均")</f>
        <v>181.88379235474335</v>
      </c>
      <c r="K14" s="73">
        <f>SUMIFS('0210 4度C'!$N:$N,'0210 4度C'!$A:$A,"新豐8線",'0210 4度C'!$B:$B,"平均")</f>
        <v>124.41279537252434</v>
      </c>
      <c r="L14" s="74">
        <f>SUMIFS('0210 4度C'!$N:$N,'0210 4度C'!$A:$A,"新豐9線",'0210 4度C'!$B:$B,"平均")</f>
        <v>127.42609116078165</v>
      </c>
      <c r="M14" s="72">
        <f>SUMIFS('0210 4度C'!$N:$N,'0210 4度C'!$A:$A,"新豐4線",'0210 4度C'!$B:$B,"平均")</f>
        <v>140.66415407890094</v>
      </c>
    </row>
    <row r="15" spans="2:17" ht="40.15" customHeight="1">
      <c r="B15" s="123"/>
      <c r="C15" s="75" t="s">
        <v>179</v>
      </c>
      <c r="D15" s="76">
        <f t="shared" ref="D15:M15" si="0">D14/D13</f>
        <v>0.96674617908407257</v>
      </c>
      <c r="E15" s="77">
        <f t="shared" si="0"/>
        <v>0.95271395348837218</v>
      </c>
      <c r="F15" s="77">
        <f t="shared" si="0"/>
        <v>0.96489865697499455</v>
      </c>
      <c r="G15" s="77">
        <f t="shared" si="0"/>
        <v>0.96319280546133745</v>
      </c>
      <c r="H15" s="77">
        <f t="shared" si="0"/>
        <v>0.95690265113883866</v>
      </c>
      <c r="I15" s="77">
        <f t="shared" si="0"/>
        <v>0.93164146837076678</v>
      </c>
      <c r="J15" s="78">
        <f t="shared" si="0"/>
        <v>0.96398409948013974</v>
      </c>
      <c r="K15" s="76">
        <f t="shared" si="0"/>
        <v>0.95531253589616905</v>
      </c>
      <c r="L15" s="77">
        <f t="shared" si="0"/>
        <v>0.95569568370586233</v>
      </c>
      <c r="M15" s="78">
        <f t="shared" si="0"/>
        <v>0.95729771525918683</v>
      </c>
    </row>
    <row r="16" spans="2:17" ht="17.25" customHeight="1">
      <c r="B16" s="124" t="s">
        <v>229</v>
      </c>
      <c r="C16" s="79" t="s">
        <v>181</v>
      </c>
      <c r="D16" s="80">
        <f>VLOOKUP("新豐6線",'0210 4度C'!$A:$T,19,0)</f>
        <v>0.70833333333333337</v>
      </c>
      <c r="E16" s="81">
        <f>VLOOKUP("新豐2線",'0210 4度C'!$A:$T,19,0)</f>
        <v>0.20833333333333334</v>
      </c>
      <c r="F16" s="81">
        <f>VLOOKUP("新豐5線",'0210 4度C'!$A:$T,19,0)</f>
        <v>0.20833333333333334</v>
      </c>
      <c r="G16" s="81">
        <f>VLOOKUP("新豐7線",'0210 4度C'!$A:$T,19,0)</f>
        <v>0.20833333333333334</v>
      </c>
      <c r="H16" s="81">
        <f>VLOOKUP("新豐3線",'0210 4度C'!$A:$T,19,0)</f>
        <v>0.20833333333333334</v>
      </c>
      <c r="I16" s="81">
        <f>VLOOKUP("新豐1線",'0210 4度C'!$A:$T,19,0)</f>
        <v>0.20833333333333334</v>
      </c>
      <c r="J16" s="82">
        <f>VLOOKUP("新豐10線",'0210 4度C'!$A:$T,19,0)</f>
        <v>0.20833333333333334</v>
      </c>
      <c r="K16" s="83">
        <f>VLOOKUP("新豐8線",'0210 4度C'!$A:$T,19,0)</f>
        <v>0.125</v>
      </c>
      <c r="L16" s="84">
        <f>VLOOKUP("新豐9線",'0210 4度C'!$A:$T,19,0)</f>
        <v>0.125</v>
      </c>
      <c r="M16" s="85">
        <f>VLOOKUP("新豐4線",'0210 4度C'!$A:$T,19,0)</f>
        <v>0.125</v>
      </c>
    </row>
    <row r="17" spans="2:13" ht="17.25" customHeight="1">
      <c r="B17" s="125"/>
      <c r="C17" s="79" t="s">
        <v>182</v>
      </c>
      <c r="D17" s="83">
        <f>LOOKUP(2,1/(('0210 4度C'!$A:$A="新豐6線")*('0210 4度C'!$T:$T&lt;&gt;"")),'0210 4度C'!$T:$T)</f>
        <v>0.84791666666666676</v>
      </c>
      <c r="E17" s="81">
        <f>LOOKUP(2,1/(('0210 4度C'!$A:$A="新豐2線")*('0210 4度C'!$T:$T&lt;&gt;"")),'0210 4度C'!$T:$T)</f>
        <v>0.44027777777777777</v>
      </c>
      <c r="F17" s="81">
        <f>LOOKUP(2,1/(('0210 4度C'!$A:$A="新豐5線")*('0210 4度C'!$T:$T&lt;&gt;"")),'0210 4度C'!$T:$T)</f>
        <v>0.91388888888888886</v>
      </c>
      <c r="G17" s="81">
        <f>LOOKUP(2,1/(('0210 4度C'!$A:$A="新豐7線")*('0210 4度C'!$T:$T&lt;&gt;"")),'0210 4度C'!$T:$T)</f>
        <v>0.91597222222222219</v>
      </c>
      <c r="H17" s="81">
        <f>LOOKUP(2,1/(('0210 4度C'!$A:$A="新豐3線")*('0210 4度C'!$T:$T&lt;&gt;"")),'0210 4度C'!$T:$T)</f>
        <v>0.67916666666666647</v>
      </c>
      <c r="I17" s="81">
        <f>LOOKUP(2,1/(('0210 4度C'!$A:$A="新豐1線")*('0210 4度C'!$T:$T&lt;&gt;"")),'0210 4度C'!$T:$T)</f>
        <v>0.90416666666666656</v>
      </c>
      <c r="J17" s="82">
        <f>LOOKUP(2,1/(('0210 4度C'!$A:$A="新豐10線")*('0210 4度C'!$T:$T&lt;&gt;"")),'0210 4度C'!$T:$T)</f>
        <v>0.43124999999999997</v>
      </c>
      <c r="K17" s="80">
        <f>LOOKUP(2,1/(('0210 4度C'!$A:$A="新豐8線")*('0210 4度C'!$T:$T&lt;&gt;"")),'0210 4度C'!$T:$T)</f>
        <v>0.6416666666666665</v>
      </c>
      <c r="L17" s="81">
        <f>LOOKUP(2,1/(('0210 4度C'!$A:$A="新豐9線")*('0210 4度C'!$T:$T&lt;&gt;"")),'0210 4度C'!$T:$T)</f>
        <v>0.52430555555555547</v>
      </c>
      <c r="M17" s="82">
        <f>LOOKUP(2,1/(('0210 4度C'!$A:$A="新豐4線")*('0210 4度C'!$T:$T&lt;&gt;"")),'0210 4度C'!$T:$T)</f>
        <v>0.5756944444444444</v>
      </c>
    </row>
    <row r="18" spans="2:13" ht="17.25" customHeight="1">
      <c r="B18" s="103" t="s">
        <v>183</v>
      </c>
      <c r="C18" s="86" t="s">
        <v>42</v>
      </c>
      <c r="D18" s="87">
        <f>SUMIFS('0210 4度C'!$Y:$Y,'0210 4度C'!$A:$A,"新豐6線",'0210 4度C'!$B:$B,"平均")</f>
        <v>0</v>
      </c>
      <c r="E18" s="88">
        <f>SUMIFS('0210 4度C'!$Y:$Y,'0210 4度C'!$A:$A,"新豐2線",'0210 4度C'!$B:$B,"平均")</f>
        <v>0</v>
      </c>
      <c r="F18" s="88">
        <f>SUMIFS('0210 4度C'!$Y:$Y,'0210 4度C'!$A:$A,"新豐5線",'0210 4度C'!$B:$B,"平均")</f>
        <v>0</v>
      </c>
      <c r="G18" s="88">
        <f>SUMIFS('0210 4度C'!$Y:$Y,'0210 4度C'!$A:$A,"新豐7線",'0210 4度C'!$B:$B,"平均")</f>
        <v>0</v>
      </c>
      <c r="H18" s="88">
        <f>SUMIFS('0210 4度C'!$Y:$Y,'0210 4度C'!$A:$A,"新豐3線",'0210 4度C'!$B:$B,"平均")</f>
        <v>0</v>
      </c>
      <c r="I18" s="88">
        <f>SUMIFS('0210 4度C'!$Y:$Y,'0210 4度C'!$A:$A,"新豐1線",'0210 4度C'!$B:$B,"平均")</f>
        <v>0</v>
      </c>
      <c r="J18" s="89">
        <f>SUMIFS('0210 4度C'!$Y:$Y,'0210 4度C'!$A:$A,"新豐10線",'0210 4度C'!$B:$B,"平均")</f>
        <v>0</v>
      </c>
      <c r="K18" s="90">
        <f>SUMIFS('0210 4度C'!$Y:$Y,'0210 4度C'!$A:$A,"新豐8線",'0210 4度C'!$B:$B,"平均")</f>
        <v>0</v>
      </c>
      <c r="L18" s="88">
        <f>SUMIFS('0210 4度C'!$Y:$Y,'0210 4度C'!$A:$A,"新豐9線",'0210 4度C'!$B:$B,"平均")</f>
        <v>0</v>
      </c>
      <c r="M18" s="89">
        <f>SUMIFS('0210 4度C'!$Y:$Y,'0210 4度C'!$A:$A,"新豐4線",'0210 4度C'!$B:$B,"平均")</f>
        <v>0</v>
      </c>
    </row>
    <row r="19" spans="2:13" ht="17.25" customHeight="1">
      <c r="B19" s="104"/>
      <c r="C19" s="86" t="s">
        <v>924</v>
      </c>
      <c r="D19" s="87">
        <f>SUMIFS('0210 4度C'!$Z:$Z,'0210 4度C'!$A:$A,"新豐6線",'0210 4度C'!$B:$B,"平均")</f>
        <v>0</v>
      </c>
      <c r="E19" s="88">
        <f>SUMIFS('0210 4度C'!$Z:$Z,'0210 4度C'!$A:$A,"新豐2線",'0210 4度C'!$B:$B,"平均")</f>
        <v>0</v>
      </c>
      <c r="F19" s="88">
        <f>SUMIFS('0210 4度C'!$Z:$Z,'0210 4度C'!$A:$A,"新豐5線",'0210 4度C'!$B:$B,"平均")</f>
        <v>0</v>
      </c>
      <c r="G19" s="88">
        <f>SUMIFS('0210 4度C'!$Z:$Z,'0210 4度C'!$A:$A,"新豐7線",'0210 4度C'!$B:$B,"平均")</f>
        <v>0</v>
      </c>
      <c r="H19" s="88">
        <f>SUMIFS('0210 4度C'!$Z:$Z,'0210 4度C'!$A:$A,"新豐3線",'0210 4度C'!$B:$B,"平均")</f>
        <v>0</v>
      </c>
      <c r="I19" s="88">
        <f>SUMIFS('0210 4度C'!$Z:$Z,'0210 4度C'!$A:$A,"新豐1線",'0210 4度C'!$B:$B,"平均")</f>
        <v>0</v>
      </c>
      <c r="J19" s="89">
        <f>SUMIFS('0210 4度C'!$Z:$Z,'0210 4度C'!$A:$A,"新豐10線",'0210 4度C'!$B:$B,"平均")</f>
        <v>0</v>
      </c>
      <c r="K19" s="90">
        <f>SUMIFS('0210 4度C'!$Z:$Z,'0210 4度C'!$A:$A,"新豐8線",'0210 4度C'!$B:$B,"平均")</f>
        <v>0</v>
      </c>
      <c r="L19" s="88">
        <f>SUMIFS('0210 4度C'!$Z:$Z,'0210 4度C'!$A:$A,"新豐9線",'0210 4度C'!$B:$B,"平均")</f>
        <v>0</v>
      </c>
      <c r="M19" s="89">
        <f>SUMIFS('0210 4度C'!$Z:$Z,'0210 4度C'!$A:$A,"新豐4線",'0210 4度C'!$B:$B,"平均")</f>
        <v>0</v>
      </c>
    </row>
    <row r="20" spans="2:13" ht="17.25" customHeight="1">
      <c r="B20" s="103" t="s">
        <v>186</v>
      </c>
      <c r="C20" s="86" t="s">
        <v>42</v>
      </c>
      <c r="D20" s="87">
        <f>SUMIFS('0210 4度C'!$AC:$AC,'0210 4度C'!$A:$A,"新豐6線",'0210 4度C'!$B:$B,"平均")</f>
        <v>5</v>
      </c>
      <c r="E20" s="88">
        <f>SUMIFS('0210 4度C'!$AC:$AC,'0210 4度C'!$A:$A,"新豐2線",'0210 4度C'!$B:$B,"平均")</f>
        <v>2</v>
      </c>
      <c r="F20" s="88">
        <f>SUMIFS('0210 4度C'!$AC:$AC,'0210 4度C'!$A:$A,"新豐5線",'0210 4度C'!$B:$B,"平均")</f>
        <v>7</v>
      </c>
      <c r="G20" s="88">
        <f>SUMIFS('0210 4度C'!$AC:$AC,'0210 4度C'!$A:$A,"新豐7線",'0210 4度C'!$B:$B,"平均")</f>
        <v>6</v>
      </c>
      <c r="H20" s="88">
        <f>SUMIFS('0210 4度C'!$AC:$AC,'0210 4度C'!$A:$A,"新豐3線",'0210 4度C'!$B:$B,"平均")</f>
        <v>10</v>
      </c>
      <c r="I20" s="88">
        <f>SUMIFS('0210 4度C'!$AC:$AC,'0210 4度C'!$A:$A,"新豐1線",'0210 4度C'!$B:$B,"平均")</f>
        <v>10</v>
      </c>
      <c r="J20" s="89">
        <f>SUMIFS('0210 4度C'!$AC:$AC,'0210 4度C'!$A:$A,"新豐10線",'0210 4度C'!$B:$B,"平均")</f>
        <v>5</v>
      </c>
      <c r="K20" s="90">
        <f>SUMIFS('0210 4度C'!$AC:$AC,'0210 4度C'!$A:$A,"新豐8線",'0210 4度C'!$B:$B,"平均")</f>
        <v>7</v>
      </c>
      <c r="L20" s="88">
        <f>SUMIFS('0210 4度C'!$AC:$AC,'0210 4度C'!$A:$A,"新豐9線",'0210 4度C'!$B:$B,"平均")</f>
        <v>5</v>
      </c>
      <c r="M20" s="89">
        <f>SUMIFS('0210 4度C'!$AC:$AC,'0210 4度C'!$A:$A,"新豐4線",'0210 4度C'!$B:$B,"平均")</f>
        <v>6</v>
      </c>
    </row>
    <row r="21" spans="2:13" ht="17.25" customHeight="1">
      <c r="B21" s="104"/>
      <c r="C21" s="86" t="s">
        <v>236</v>
      </c>
      <c r="D21" s="87">
        <f>SUMIFS('0210 4度C'!$AD:$AD,'0210 4度C'!$A:$A,"新豐6線",'0210 4度C'!$B:$B,"平均")</f>
        <v>0</v>
      </c>
      <c r="E21" s="88">
        <f>SUMIFS('0210 4度C'!$AD:$AD,'0210 4度C'!$A:$A,"新豐2線",'0210 4度C'!$B:$B,"平均")</f>
        <v>0</v>
      </c>
      <c r="F21" s="88">
        <f>SUMIFS('0210 4度C'!$AD:$AD,'0210 4度C'!$A:$A,"新豐5線",'0210 4度C'!$B:$B,"平均")</f>
        <v>0</v>
      </c>
      <c r="G21" s="88">
        <f>SUMIFS('0210 4度C'!$AD:$AD,'0210 4度C'!$A:$A,"新豐7線",'0210 4度C'!$B:$B,"平均")</f>
        <v>0</v>
      </c>
      <c r="H21" s="88">
        <f>SUMIFS('0210 4度C'!$AD:$AD,'0210 4度C'!$A:$A,"新豐3線",'0210 4度C'!$B:$B,"平均")</f>
        <v>0</v>
      </c>
      <c r="I21" s="88">
        <f>SUMIFS('0210 4度C'!$AD:$AD,'0210 4度C'!$A:$A,"新豐1線",'0210 4度C'!$B:$B,"平均")</f>
        <v>0</v>
      </c>
      <c r="J21" s="89">
        <f>SUMIFS('0210 4度C'!$AD:$AD,'0210 4度C'!$A:$A,"新豐10線",'0210 4度C'!$B:$B,"平均")</f>
        <v>0</v>
      </c>
      <c r="K21" s="90">
        <f>SUMIFS('0210 4度C'!$AD:$AD,'0210 4度C'!$A:$A,"新豐8線",'0210 4度C'!$B:$B,"平均")</f>
        <v>0</v>
      </c>
      <c r="L21" s="88">
        <f>SUMIFS('0210 4度C'!$AD:$AD,'0210 4度C'!$A:$A,"新豐9線",'0210 4度C'!$B:$B,"平均")</f>
        <v>0</v>
      </c>
      <c r="M21" s="89">
        <f>SUMIFS('0210 4度C'!$AD:$AD,'0210 4度C'!$A:$A,"新豐4線",'0210 4度C'!$B:$B,"平均")</f>
        <v>0</v>
      </c>
    </row>
    <row r="22" spans="2:13" ht="17.25" customHeight="1">
      <c r="B22" s="105" t="s">
        <v>925</v>
      </c>
      <c r="C22" s="106"/>
      <c r="D22" s="91">
        <f>SUMIFS('0210 4度C'!$I:$I,'0210 4度C'!$A:$A,"新豐6線",'0210 4度C'!$B:$B,"平均")</f>
        <v>17.600000000000001</v>
      </c>
      <c r="E22" s="92">
        <f>SUMIFS('0210 4度C'!$I:$I,'0210 4度C'!$A:$A,"新豐2線",'0210 4度C'!$B:$B,"平均")</f>
        <v>18</v>
      </c>
      <c r="F22" s="92">
        <f>SUMIFS('0210 4度C'!$I:$I,'0210 4度C'!$A:$A,"新豐5線",'0210 4度C'!$B:$B,"平均")</f>
        <v>17</v>
      </c>
      <c r="G22" s="92">
        <f>SUMIFS('0210 4度C'!$I:$I,'0210 4度C'!$A:$A,"新豐7線",'0210 4度C'!$B:$B,"平均")</f>
        <v>15.333333333333334</v>
      </c>
      <c r="H22" s="92">
        <f>SUMIFS('0210 4度C'!$I:$I,'0210 4度C'!$A:$A,"新豐3線",'0210 4度C'!$B:$B,"平均")</f>
        <v>9.9</v>
      </c>
      <c r="I22" s="92">
        <f>SUMIFS('0210 4度C'!$I:$I,'0210 4度C'!$A:$A,"新豐1線",'0210 4度C'!$B:$B,"平均")</f>
        <v>18.8</v>
      </c>
      <c r="J22" s="93">
        <f>SUMIFS('0210 4度C'!$I:$I,'0210 4度C'!$A:$A,"新豐10線",'0210 4度C'!$B:$B,"平均")</f>
        <v>10.6</v>
      </c>
      <c r="K22" s="91">
        <f>SUMIFS('0210 4度C'!$I:$I,'0210 4度C'!$A:$A,"新豐8線",'0210 4度C'!$B:$B,"平均")</f>
        <v>18.428571428571427</v>
      </c>
      <c r="L22" s="92">
        <f>SUMIFS('0210 4度C'!$I:$I,'0210 4度C'!$A:$A,"新豐9線",'0210 4度C'!$B:$B,"平均")</f>
        <v>18</v>
      </c>
      <c r="M22" s="93">
        <f>SUMIFS('0210 4度C'!$I:$I,'0210 4度C'!$A:$A,"新豐4線",'0210 4度C'!$B:$B,"平均")</f>
        <v>16.333333333333332</v>
      </c>
    </row>
    <row r="23" spans="2:13" ht="17.25" customHeight="1">
      <c r="B23" s="105" t="s">
        <v>926</v>
      </c>
      <c r="C23" s="106"/>
      <c r="D23" s="94" t="s">
        <v>191</v>
      </c>
      <c r="E23" s="95" t="s">
        <v>192</v>
      </c>
      <c r="F23" s="95" t="s">
        <v>193</v>
      </c>
      <c r="G23" s="95" t="s">
        <v>927</v>
      </c>
      <c r="H23" s="95" t="s">
        <v>194</v>
      </c>
      <c r="I23" s="95" t="s">
        <v>191</v>
      </c>
      <c r="J23" s="96" t="s">
        <v>194</v>
      </c>
      <c r="K23" s="94" t="s">
        <v>239</v>
      </c>
      <c r="L23" s="95" t="s">
        <v>239</v>
      </c>
      <c r="M23" s="96" t="s">
        <v>239</v>
      </c>
    </row>
    <row r="24" spans="2:13" ht="17.25" customHeight="1">
      <c r="B24" s="105" t="s">
        <v>196</v>
      </c>
      <c r="C24" s="106"/>
      <c r="D24" s="94"/>
      <c r="E24" s="95"/>
      <c r="F24" s="95" t="s">
        <v>340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241</v>
      </c>
      <c r="C25" s="108"/>
      <c r="D25" s="97"/>
      <c r="E25" s="98" t="s">
        <v>199</v>
      </c>
      <c r="F25" s="101" t="s">
        <v>200</v>
      </c>
      <c r="G25" s="102"/>
      <c r="H25" s="98" t="s">
        <v>201</v>
      </c>
      <c r="I25" s="98" t="s">
        <v>928</v>
      </c>
      <c r="J25" s="99" t="s">
        <v>201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9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AG78"/>
  <sheetViews>
    <sheetView topLeftCell="I1" zoomScale="80" zoomScaleNormal="80" workbookViewId="0">
      <pane ySplit="4" topLeftCell="A5" activePane="bottomLeft" state="frozen"/>
      <selection activeCell="J13" sqref="J13"/>
      <selection pane="bottomLeft" activeCell="P15" sqref="P1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929</v>
      </c>
      <c r="B1" s="1"/>
      <c r="C1" s="2" t="s">
        <v>930</v>
      </c>
      <c r="D1" s="3">
        <f>SUM(F5:F77)</f>
        <v>149858</v>
      </c>
      <c r="E1" s="4" t="s">
        <v>931</v>
      </c>
      <c r="F1" s="1">
        <f>SUM(G5:G77)</f>
        <v>5162682.5599999987</v>
      </c>
      <c r="G1" s="1" t="s">
        <v>932</v>
      </c>
      <c r="H1" s="5">
        <f>L10+L13+L53+L64+L21+L70+L36+L42+L28+L77</f>
        <v>159.99523809523811</v>
      </c>
      <c r="I1" s="214" t="s">
        <v>933</v>
      </c>
      <c r="J1" s="214"/>
      <c r="K1" s="214"/>
      <c r="L1" s="214" t="s">
        <v>934</v>
      </c>
      <c r="M1" s="214"/>
      <c r="N1" s="214"/>
      <c r="O1" s="214" t="s">
        <v>935</v>
      </c>
      <c r="P1" s="214"/>
      <c r="Q1" s="214"/>
      <c r="R1" s="214"/>
      <c r="S1" s="214" t="s">
        <v>936</v>
      </c>
      <c r="T1" s="214"/>
      <c r="U1" s="214"/>
      <c r="V1" s="214"/>
      <c r="W1" s="214"/>
      <c r="X1" s="214"/>
      <c r="Y1" s="6" t="s">
        <v>937</v>
      </c>
      <c r="Z1" s="7" t="s">
        <v>938</v>
      </c>
      <c r="AA1" s="215" t="s">
        <v>939</v>
      </c>
      <c r="AB1" s="215"/>
      <c r="AC1" s="8" t="s">
        <v>937</v>
      </c>
      <c r="AD1" s="7" t="s">
        <v>940</v>
      </c>
      <c r="AE1" s="214" t="s">
        <v>941</v>
      </c>
      <c r="AF1" s="216"/>
      <c r="AG1" s="216"/>
    </row>
    <row r="2" spans="1:33" ht="26.25" customHeight="1">
      <c r="A2" s="35">
        <v>46063</v>
      </c>
      <c r="B2" s="36" t="s">
        <v>359</v>
      </c>
      <c r="C2" s="2" t="s">
        <v>942</v>
      </c>
      <c r="D2" s="10">
        <f>AVERAGE(N10,N13,N53,N64,N21,N70,N28,N36,N42,N77)</f>
        <v>137.60489054278491</v>
      </c>
      <c r="E2" s="11" t="s">
        <v>14</v>
      </c>
      <c r="F2" s="12">
        <f>F1/D1</f>
        <v>34.450496870370607</v>
      </c>
      <c r="G2" s="1" t="s">
        <v>943</v>
      </c>
      <c r="H2" s="13">
        <f>COUNT(H5:H77)</f>
        <v>9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SUM(Y10+Y13+Y21+Y28+Y36+Y42+Y53+Y64+Y70+Y77)</f>
        <v>0</v>
      </c>
      <c r="Z2" s="14">
        <f>SUM(Z10+Z13+Z21+Z28+Z36+Z42+Z53+Z64+Z70+Z77)</f>
        <v>0</v>
      </c>
      <c r="AA2" s="215"/>
      <c r="AB2" s="215"/>
      <c r="AC2" s="14">
        <v>63</v>
      </c>
      <c r="AD2" s="14">
        <f>SUM(AD10+AD13+AD21+AD28+AD36+AD42+AD53+AD64+AD70+AD77)</f>
        <v>0</v>
      </c>
      <c r="AE2" s="216"/>
      <c r="AF2" s="216"/>
      <c r="AG2" s="216"/>
    </row>
    <row r="3" spans="1:33" ht="40.5" customHeight="1">
      <c r="A3" s="164" t="s">
        <v>944</v>
      </c>
      <c r="B3" s="164" t="s">
        <v>945</v>
      </c>
      <c r="C3" s="164" t="s">
        <v>946</v>
      </c>
      <c r="D3" s="164"/>
      <c r="E3" s="212" t="s">
        <v>947</v>
      </c>
      <c r="F3" s="164" t="s">
        <v>948</v>
      </c>
      <c r="G3" s="212" t="s">
        <v>949</v>
      </c>
      <c r="H3" s="206" t="s">
        <v>950</v>
      </c>
      <c r="I3" s="204" t="s">
        <v>951</v>
      </c>
      <c r="J3" s="201" t="s">
        <v>952</v>
      </c>
      <c r="K3" s="211" t="s">
        <v>942</v>
      </c>
      <c r="L3" s="204" t="s">
        <v>951</v>
      </c>
      <c r="M3" s="201" t="s">
        <v>952</v>
      </c>
      <c r="N3" s="211" t="s">
        <v>942</v>
      </c>
      <c r="O3" s="204" t="s">
        <v>951</v>
      </c>
      <c r="P3" s="211" t="s">
        <v>942</v>
      </c>
      <c r="Q3" s="202" t="s">
        <v>953</v>
      </c>
      <c r="R3" s="182" t="s">
        <v>954</v>
      </c>
      <c r="S3" s="164" t="s">
        <v>30</v>
      </c>
      <c r="T3" s="164"/>
      <c r="U3" s="206" t="s">
        <v>31</v>
      </c>
      <c r="V3" s="206" t="s">
        <v>955</v>
      </c>
      <c r="W3" s="164" t="s">
        <v>956</v>
      </c>
      <c r="X3" s="164"/>
      <c r="Y3" s="207" t="s">
        <v>957</v>
      </c>
      <c r="Z3" s="168"/>
      <c r="AA3" s="208" t="s">
        <v>958</v>
      </c>
      <c r="AB3" s="209"/>
      <c r="AC3" s="207" t="s">
        <v>959</v>
      </c>
      <c r="AD3" s="168"/>
      <c r="AE3" s="201" t="s">
        <v>960</v>
      </c>
      <c r="AF3" s="202" t="s">
        <v>961</v>
      </c>
      <c r="AG3" s="182" t="s">
        <v>962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963</v>
      </c>
      <c r="X4" s="4" t="s">
        <v>964</v>
      </c>
      <c r="Y4" s="15" t="s">
        <v>965</v>
      </c>
      <c r="Z4" s="15" t="s">
        <v>966</v>
      </c>
      <c r="AA4" s="210"/>
      <c r="AB4" s="209"/>
      <c r="AC4" s="15" t="s">
        <v>967</v>
      </c>
      <c r="AD4" s="15" t="s">
        <v>968</v>
      </c>
      <c r="AE4" s="201"/>
      <c r="AF4" s="202"/>
      <c r="AG4" s="182"/>
    </row>
    <row r="5" spans="1:33">
      <c r="A5" s="203" t="s">
        <v>969</v>
      </c>
      <c r="B5" s="37" t="s">
        <v>78</v>
      </c>
      <c r="C5" s="205" t="s">
        <v>79</v>
      </c>
      <c r="D5" s="205"/>
      <c r="E5" s="37">
        <v>50.67</v>
      </c>
      <c r="F5" s="4">
        <v>1354</v>
      </c>
      <c r="G5" s="4">
        <v>68607.180000000008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9" si="1">F5/V5*60</f>
        <v>1934.2857142857135</v>
      </c>
      <c r="N5" s="17">
        <f t="shared" ref="N5:N68" si="2">M5/L5</f>
        <v>113.78151260504197</v>
      </c>
      <c r="O5" s="19">
        <f t="shared" ref="O5:O68" si="3">L5-I5</f>
        <v>0</v>
      </c>
      <c r="P5" s="20">
        <f t="shared" ref="P5:P68" si="4">N5-K5</f>
        <v>-3.8655462184874381</v>
      </c>
      <c r="Q5" s="21">
        <f t="shared" ref="Q5:Q68" si="5">N5/K5</f>
        <v>0.96714285714285675</v>
      </c>
      <c r="R5" s="172">
        <f>Q10</f>
        <v>0.96674617908407257</v>
      </c>
      <c r="S5" s="28">
        <v>0.70833333333333337</v>
      </c>
      <c r="T5" s="28">
        <v>0.73750000000000004</v>
      </c>
      <c r="U5" s="4"/>
      <c r="V5" s="22">
        <f t="shared" ref="V5:V9" si="6">(T5-S5)*24*60</f>
        <v>42.000000000000014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63" si="7">M5-J5</f>
        <v>-65.714285714286461</v>
      </c>
      <c r="AF5" s="21">
        <f t="shared" ref="AF5:AF68" si="8">M5/J5</f>
        <v>0.96714285714285675</v>
      </c>
      <c r="AG5" s="172">
        <f>AF10</f>
        <v>0.96674617908407257</v>
      </c>
    </row>
    <row r="6" spans="1:33">
      <c r="A6" s="204" t="s">
        <v>46</v>
      </c>
      <c r="B6" s="37" t="s">
        <v>78</v>
      </c>
      <c r="C6" s="205" t="s">
        <v>80</v>
      </c>
      <c r="D6" s="205"/>
      <c r="E6" s="37">
        <v>54.09</v>
      </c>
      <c r="F6" s="4">
        <v>1218</v>
      </c>
      <c r="G6" s="4">
        <v>65881.62000000001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1923.1578947368405</v>
      </c>
      <c r="N6" s="17">
        <f t="shared" si="2"/>
        <v>101.21883656509686</v>
      </c>
      <c r="O6" s="19">
        <f t="shared" si="3"/>
        <v>0</v>
      </c>
      <c r="P6" s="20">
        <f t="shared" si="4"/>
        <v>-4.0443213296399705</v>
      </c>
      <c r="Q6" s="21">
        <f t="shared" si="5"/>
        <v>0.96157894736842031</v>
      </c>
      <c r="R6" s="172"/>
      <c r="S6" s="28">
        <v>0.7416666666666667</v>
      </c>
      <c r="T6" s="28">
        <v>0.7680555555555556</v>
      </c>
      <c r="U6" s="4">
        <f t="shared" ref="U6:U9" si="9">IF(S6=TIME(17,0,0),"",(S6-T5)*24*60)</f>
        <v>5.9999999999999787</v>
      </c>
      <c r="V6" s="22">
        <f t="shared" si="6"/>
        <v>38.000000000000028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-76.84210526315951</v>
      </c>
      <c r="AF6" s="21">
        <f t="shared" si="8"/>
        <v>0.9615789473684202</v>
      </c>
      <c r="AG6" s="172"/>
    </row>
    <row r="7" spans="1:33">
      <c r="A7" s="204" t="s">
        <v>46</v>
      </c>
      <c r="B7" s="37" t="s">
        <v>78</v>
      </c>
      <c r="C7" s="196" t="s">
        <v>81</v>
      </c>
      <c r="D7" s="197"/>
      <c r="E7" s="37">
        <v>50.29</v>
      </c>
      <c r="F7" s="4">
        <v>806</v>
      </c>
      <c r="G7" s="4">
        <v>40533.74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1934.3999999999946</v>
      </c>
      <c r="N7" s="17">
        <f t="shared" si="2"/>
        <v>120.89999999999966</v>
      </c>
      <c r="O7" s="19">
        <f t="shared" si="3"/>
        <v>0</v>
      </c>
      <c r="P7" s="20">
        <f t="shared" si="4"/>
        <v>-4.1000000000003354</v>
      </c>
      <c r="Q7" s="21">
        <f t="shared" si="5"/>
        <v>0.96719999999999728</v>
      </c>
      <c r="R7" s="172"/>
      <c r="S7" s="28">
        <v>0.77361111111111114</v>
      </c>
      <c r="T7" s="28">
        <v>0.7909722222222223</v>
      </c>
      <c r="U7" s="4">
        <f t="shared" si="9"/>
        <v>7.9999999999999716</v>
      </c>
      <c r="V7" s="22">
        <f t="shared" si="6"/>
        <v>25.000000000000071</v>
      </c>
      <c r="W7" s="23"/>
      <c r="X7" s="23"/>
      <c r="Y7" s="26"/>
      <c r="Z7" s="26"/>
      <c r="AA7" s="175"/>
      <c r="AB7" s="176"/>
      <c r="AC7" s="25"/>
      <c r="AD7" s="27"/>
      <c r="AE7" s="19">
        <f t="shared" si="7"/>
        <v>-65.600000000005366</v>
      </c>
      <c r="AF7" s="21">
        <f t="shared" si="8"/>
        <v>0.96719999999999728</v>
      </c>
      <c r="AG7" s="172"/>
    </row>
    <row r="8" spans="1:33">
      <c r="A8" s="204" t="s">
        <v>46</v>
      </c>
      <c r="B8" s="37" t="s">
        <v>78</v>
      </c>
      <c r="C8" s="196" t="s">
        <v>82</v>
      </c>
      <c r="D8" s="197"/>
      <c r="E8" s="37">
        <v>57.3</v>
      </c>
      <c r="F8" s="4">
        <v>1413</v>
      </c>
      <c r="G8" s="4">
        <v>80964.899999999994</v>
      </c>
      <c r="H8" s="22" t="s">
        <v>139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1926.818181818182</v>
      </c>
      <c r="N8" s="17">
        <f t="shared" si="2"/>
        <v>128.45454545454547</v>
      </c>
      <c r="O8" s="19">
        <f t="shared" si="3"/>
        <v>0</v>
      </c>
      <c r="P8" s="20">
        <f t="shared" si="4"/>
        <v>-4.8787878787878753</v>
      </c>
      <c r="Q8" s="21">
        <f t="shared" si="5"/>
        <v>0.96340909090909099</v>
      </c>
      <c r="R8" s="172"/>
      <c r="S8" s="28">
        <v>0.79583333333333339</v>
      </c>
      <c r="T8" s="28">
        <v>0.82638888888888895</v>
      </c>
      <c r="U8" s="4">
        <f t="shared" si="9"/>
        <v>6.9999999999999751</v>
      </c>
      <c r="V8" s="22">
        <f t="shared" si="6"/>
        <v>44</v>
      </c>
      <c r="W8" s="28"/>
      <c r="X8" s="28"/>
      <c r="Y8" s="29"/>
      <c r="Z8" s="29"/>
      <c r="AA8" s="175"/>
      <c r="AB8" s="176"/>
      <c r="AC8" s="25"/>
      <c r="AD8" s="27"/>
      <c r="AE8" s="19">
        <f t="shared" si="7"/>
        <v>-73.181818181818016</v>
      </c>
      <c r="AF8" s="21">
        <f t="shared" si="8"/>
        <v>0.96340909090909099</v>
      </c>
      <c r="AG8" s="172"/>
    </row>
    <row r="9" spans="1:33">
      <c r="A9" s="204" t="s">
        <v>46</v>
      </c>
      <c r="B9" s="37" t="s">
        <v>78</v>
      </c>
      <c r="C9" s="196" t="s">
        <v>83</v>
      </c>
      <c r="D9" s="197"/>
      <c r="E9" s="37">
        <v>50.67</v>
      </c>
      <c r="F9" s="4">
        <v>812</v>
      </c>
      <c r="G9" s="4">
        <v>41144.04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1948.7999999999943</v>
      </c>
      <c r="N9" s="17">
        <f t="shared" si="2"/>
        <v>92.799999999999727</v>
      </c>
      <c r="O9" s="19">
        <f t="shared" si="3"/>
        <v>0</v>
      </c>
      <c r="P9" s="20">
        <f t="shared" si="4"/>
        <v>-2.4380952380955137</v>
      </c>
      <c r="Q9" s="21">
        <f t="shared" si="5"/>
        <v>0.97439999999999716</v>
      </c>
      <c r="R9" s="172"/>
      <c r="S9" s="28">
        <v>0.8305555555555556</v>
      </c>
      <c r="T9" s="28">
        <v>0.84791666666666676</v>
      </c>
      <c r="U9" s="4">
        <f t="shared" si="9"/>
        <v>5.9999999999999787</v>
      </c>
      <c r="V9" s="22">
        <f t="shared" si="6"/>
        <v>25.000000000000071</v>
      </c>
      <c r="W9" s="23"/>
      <c r="X9" s="23"/>
      <c r="Y9" s="26"/>
      <c r="Z9" s="26"/>
      <c r="AA9" s="175"/>
      <c r="AB9" s="176"/>
      <c r="AC9" s="25"/>
      <c r="AD9" s="27"/>
      <c r="AE9" s="19">
        <f t="shared" si="7"/>
        <v>-51.20000000000573</v>
      </c>
      <c r="AF9" s="21">
        <f t="shared" si="8"/>
        <v>0.97439999999999716</v>
      </c>
      <c r="AG9" s="172"/>
    </row>
    <row r="10" spans="1:33">
      <c r="A10" s="204" t="s">
        <v>46</v>
      </c>
      <c r="B10" s="37" t="s">
        <v>48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0"/>
        <v>113.63636363636363</v>
      </c>
      <c r="L10" s="30">
        <v>17.600000000000001</v>
      </c>
      <c r="M10" s="18">
        <f>AVERAGE(M5:M9)</f>
        <v>1933.4923581681451</v>
      </c>
      <c r="N10" s="17">
        <f t="shared" si="2"/>
        <v>109.85752035046278</v>
      </c>
      <c r="O10" s="19">
        <f t="shared" si="3"/>
        <v>0</v>
      </c>
      <c r="P10" s="20">
        <f t="shared" si="4"/>
        <v>-3.7788432859008481</v>
      </c>
      <c r="Q10" s="21">
        <f t="shared" si="5"/>
        <v>0.96674617908407257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7"/>
        <v>-66.507641831854926</v>
      </c>
      <c r="AF10" s="21">
        <f t="shared" si="8"/>
        <v>0.96674617908407257</v>
      </c>
      <c r="AG10" s="172"/>
    </row>
    <row r="11" spans="1:33" ht="15.75" customHeight="1">
      <c r="A11" s="200" t="s">
        <v>50</v>
      </c>
      <c r="B11" s="37" t="s">
        <v>84</v>
      </c>
      <c r="C11" s="196" t="s">
        <v>85</v>
      </c>
      <c r="D11" s="197"/>
      <c r="E11" s="37">
        <v>39.619999999999997</v>
      </c>
      <c r="F11" s="4">
        <v>3069</v>
      </c>
      <c r="G11" s="4">
        <v>121593.78</v>
      </c>
      <c r="H11" s="22" t="s">
        <v>139</v>
      </c>
      <c r="I11" s="16">
        <v>19</v>
      </c>
      <c r="J11" s="18">
        <v>1500</v>
      </c>
      <c r="K11" s="17">
        <f t="shared" si="0"/>
        <v>78.94736842105263</v>
      </c>
      <c r="L11" s="16">
        <v>19</v>
      </c>
      <c r="M11" s="18">
        <f t="shared" ref="M11:M12" si="10">F11/V11*60</f>
        <v>1427.4418604651166</v>
      </c>
      <c r="N11" s="17">
        <f t="shared" si="2"/>
        <v>75.128518971848237</v>
      </c>
      <c r="O11" s="19">
        <f t="shared" si="3"/>
        <v>0</v>
      </c>
      <c r="P11" s="20">
        <f t="shared" si="4"/>
        <v>-3.818849449204393</v>
      </c>
      <c r="Q11" s="21">
        <f t="shared" si="5"/>
        <v>0.95162790697674438</v>
      </c>
      <c r="R11" s="172">
        <f>Q13</f>
        <v>0.95271395348837218</v>
      </c>
      <c r="S11" s="28">
        <v>0.20833333333333334</v>
      </c>
      <c r="T11" s="28">
        <v>0.29791666666666666</v>
      </c>
      <c r="U11" s="4"/>
      <c r="V11" s="22">
        <f t="shared" ref="V11:V12" si="11">(T11-S11)*24*60</f>
        <v>128.99999999999997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7"/>
        <v>-72.558139534883367</v>
      </c>
      <c r="AF11" s="21">
        <f t="shared" si="8"/>
        <v>0.95162790697674438</v>
      </c>
      <c r="AG11" s="172">
        <f>AF13</f>
        <v>0.95271395348837207</v>
      </c>
    </row>
    <row r="12" spans="1:33" ht="15.75" customHeight="1">
      <c r="A12" s="200" t="s">
        <v>50</v>
      </c>
      <c r="B12" s="37" t="s">
        <v>84</v>
      </c>
      <c r="C12" s="196" t="s">
        <v>86</v>
      </c>
      <c r="D12" s="197"/>
      <c r="E12" s="37">
        <v>39.799999999999997</v>
      </c>
      <c r="F12" s="4">
        <v>4769</v>
      </c>
      <c r="G12" s="4">
        <v>189806.19999999998</v>
      </c>
      <c r="H12" s="22" t="s">
        <v>139</v>
      </c>
      <c r="I12" s="16">
        <v>17</v>
      </c>
      <c r="J12" s="18">
        <v>1500</v>
      </c>
      <c r="K12" s="17">
        <f t="shared" si="0"/>
        <v>88.235294117647058</v>
      </c>
      <c r="L12" s="16">
        <v>17</v>
      </c>
      <c r="M12" s="18">
        <f t="shared" si="10"/>
        <v>1430.6999999999998</v>
      </c>
      <c r="N12" s="17">
        <f t="shared" si="2"/>
        <v>84.158823529411748</v>
      </c>
      <c r="O12" s="19">
        <f t="shared" si="3"/>
        <v>0</v>
      </c>
      <c r="P12" s="20">
        <f t="shared" si="4"/>
        <v>-4.0764705882353098</v>
      </c>
      <c r="Q12" s="21">
        <f t="shared" si="5"/>
        <v>0.95379999999999987</v>
      </c>
      <c r="R12" s="172"/>
      <c r="S12" s="28">
        <v>0.30138888888888887</v>
      </c>
      <c r="T12" s="28">
        <v>0.44027777777777777</v>
      </c>
      <c r="U12" s="4">
        <f t="shared" ref="U12" si="12">IF(S12=TIME(17,0,0),"",(S12-T11)*24*60)</f>
        <v>4.9999999999999822</v>
      </c>
      <c r="V12" s="22">
        <f t="shared" si="11"/>
        <v>200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7"/>
        <v>-69.300000000000182</v>
      </c>
      <c r="AF12" s="21">
        <f t="shared" si="8"/>
        <v>0.95379999999999987</v>
      </c>
      <c r="AG12" s="172"/>
    </row>
    <row r="13" spans="1:33" ht="16.5" customHeight="1">
      <c r="A13" s="200" t="s">
        <v>970</v>
      </c>
      <c r="B13" s="37" t="s">
        <v>48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0"/>
        <v>83.333333333333329</v>
      </c>
      <c r="L13" s="30">
        <v>18</v>
      </c>
      <c r="M13" s="18">
        <f>AVERAGE(M11:M12)</f>
        <v>1429.0709302325581</v>
      </c>
      <c r="N13" s="17">
        <f t="shared" si="2"/>
        <v>79.392829457364343</v>
      </c>
      <c r="O13" s="19">
        <f t="shared" si="3"/>
        <v>0</v>
      </c>
      <c r="P13" s="20">
        <f t="shared" si="4"/>
        <v>-3.9405038759689859</v>
      </c>
      <c r="Q13" s="21">
        <f t="shared" si="5"/>
        <v>0.95271395348837218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7"/>
        <v>-70.929069767441888</v>
      </c>
      <c r="AF13" s="21">
        <f t="shared" si="8"/>
        <v>0.95271395348837207</v>
      </c>
      <c r="AG13" s="172"/>
    </row>
    <row r="14" spans="1:33" ht="16.5" customHeight="1">
      <c r="A14" s="198" t="s">
        <v>53</v>
      </c>
      <c r="B14" s="4" t="s">
        <v>87</v>
      </c>
      <c r="C14" s="190" t="s">
        <v>88</v>
      </c>
      <c r="D14" s="190"/>
      <c r="E14" s="37">
        <v>41</v>
      </c>
      <c r="F14" s="4">
        <v>2712</v>
      </c>
      <c r="G14" s="4">
        <v>111192</v>
      </c>
      <c r="H14" s="22" t="s">
        <v>139</v>
      </c>
      <c r="I14" s="16">
        <v>26</v>
      </c>
      <c r="J14" s="18">
        <v>1500</v>
      </c>
      <c r="K14" s="17">
        <f t="shared" si="0"/>
        <v>57.692307692307693</v>
      </c>
      <c r="L14" s="16">
        <v>26</v>
      </c>
      <c r="M14" s="18">
        <f t="shared" ref="M14:M20" si="13">F14/V14*60</f>
        <v>1440.0000000000007</v>
      </c>
      <c r="N14" s="17">
        <f t="shared" si="2"/>
        <v>55.384615384615408</v>
      </c>
      <c r="O14" s="19">
        <f t="shared" si="3"/>
        <v>0</v>
      </c>
      <c r="P14" s="20">
        <f t="shared" si="4"/>
        <v>-2.3076923076922853</v>
      </c>
      <c r="Q14" s="21">
        <f t="shared" si="5"/>
        <v>0.96000000000000041</v>
      </c>
      <c r="R14" s="172">
        <f>Q21</f>
        <v>0.96489865697499455</v>
      </c>
      <c r="S14" s="28">
        <v>0.20833333333333334</v>
      </c>
      <c r="T14" s="28">
        <v>0.28680555555555554</v>
      </c>
      <c r="U14" s="4"/>
      <c r="V14" s="22">
        <f t="shared" ref="V14:V20" si="14">(T14-S14)*24*60</f>
        <v>112.99999999999996</v>
      </c>
      <c r="W14" s="28"/>
      <c r="X14" s="28"/>
      <c r="Y14" s="28"/>
      <c r="Z14" s="28"/>
      <c r="AA14" s="164"/>
      <c r="AB14" s="164"/>
      <c r="AC14" s="25">
        <v>7</v>
      </c>
      <c r="AD14" s="25"/>
      <c r="AE14" s="19">
        <f t="shared" si="7"/>
        <v>-59.999999999999318</v>
      </c>
      <c r="AF14" s="21">
        <f t="shared" si="8"/>
        <v>0.96000000000000041</v>
      </c>
      <c r="AG14" s="172">
        <f>AF21</f>
        <v>0.96489865697499444</v>
      </c>
    </row>
    <row r="15" spans="1:33" ht="16.5" customHeight="1">
      <c r="A15" s="199" t="s">
        <v>53</v>
      </c>
      <c r="B15" s="4" t="s">
        <v>89</v>
      </c>
      <c r="C15" s="190" t="s">
        <v>90</v>
      </c>
      <c r="D15" s="190"/>
      <c r="E15" s="37">
        <v>72.400000000000006</v>
      </c>
      <c r="F15" s="4">
        <v>706</v>
      </c>
      <c r="G15" s="4">
        <v>51114.400000000001</v>
      </c>
      <c r="H15" s="22" t="s">
        <v>139</v>
      </c>
      <c r="I15" s="16">
        <v>18</v>
      </c>
      <c r="J15" s="18">
        <v>1500</v>
      </c>
      <c r="K15" s="17">
        <f t="shared" si="0"/>
        <v>83.333333333333329</v>
      </c>
      <c r="L15" s="16">
        <v>18</v>
      </c>
      <c r="M15" s="18">
        <f t="shared" si="13"/>
        <v>1460.6896551724149</v>
      </c>
      <c r="N15" s="17">
        <f t="shared" si="2"/>
        <v>81.149425287356379</v>
      </c>
      <c r="O15" s="19">
        <f t="shared" si="3"/>
        <v>0</v>
      </c>
      <c r="P15" s="20">
        <f t="shared" si="4"/>
        <v>-2.1839080459769491</v>
      </c>
      <c r="Q15" s="21">
        <f t="shared" si="5"/>
        <v>0.97379310344827663</v>
      </c>
      <c r="R15" s="172"/>
      <c r="S15" s="28">
        <v>0.29097222222222219</v>
      </c>
      <c r="T15" s="28">
        <v>0.31111111111111106</v>
      </c>
      <c r="U15" s="4">
        <f t="shared" ref="U15:U20" si="15">IF(S15=TIME(17,0,0),"",(S15-T14)*24*60)</f>
        <v>5.9999999999999787</v>
      </c>
      <c r="V15" s="22">
        <f t="shared" si="14"/>
        <v>28.999999999999979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7"/>
        <v>-39.310344827585141</v>
      </c>
      <c r="AF15" s="21">
        <f t="shared" si="8"/>
        <v>0.97379310344827652</v>
      </c>
      <c r="AG15" s="172"/>
    </row>
    <row r="16" spans="1:33" ht="16.5" customHeight="1">
      <c r="A16" s="199" t="s">
        <v>53</v>
      </c>
      <c r="B16" s="4" t="s">
        <v>78</v>
      </c>
      <c r="C16" s="190" t="s">
        <v>91</v>
      </c>
      <c r="D16" s="190"/>
      <c r="E16" s="37">
        <v>50.98</v>
      </c>
      <c r="F16" s="4">
        <v>1000</v>
      </c>
      <c r="G16" s="4">
        <v>50980</v>
      </c>
      <c r="H16" s="22">
        <v>2</v>
      </c>
      <c r="I16" s="16">
        <v>16</v>
      </c>
      <c r="J16" s="18">
        <v>2000</v>
      </c>
      <c r="K16" s="17">
        <f t="shared" si="0"/>
        <v>125</v>
      </c>
      <c r="L16" s="16">
        <v>16</v>
      </c>
      <c r="M16" s="18">
        <f t="shared" si="13"/>
        <v>1935.483870967739</v>
      </c>
      <c r="N16" s="17">
        <f t="shared" si="2"/>
        <v>120.96774193548369</v>
      </c>
      <c r="O16" s="19">
        <f t="shared" si="3"/>
        <v>0</v>
      </c>
      <c r="P16" s="20">
        <f t="shared" si="4"/>
        <v>-4.0322580645163129</v>
      </c>
      <c r="Q16" s="21">
        <f t="shared" si="5"/>
        <v>0.96774193548386944</v>
      </c>
      <c r="R16" s="172"/>
      <c r="S16" s="28">
        <v>0.70833333333333337</v>
      </c>
      <c r="T16" s="28">
        <v>0.72986111111111118</v>
      </c>
      <c r="U16" s="4" t="str">
        <f t="shared" si="15"/>
        <v/>
      </c>
      <c r="V16" s="22">
        <f t="shared" si="14"/>
        <v>31.00000000000005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-64.516129032261006</v>
      </c>
      <c r="AF16" s="21">
        <f t="shared" si="8"/>
        <v>0.96774193548386944</v>
      </c>
      <c r="AG16" s="172"/>
    </row>
    <row r="17" spans="1:33" ht="16.5" customHeight="1">
      <c r="A17" s="199" t="s">
        <v>53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v>40736</v>
      </c>
      <c r="H17" s="22">
        <v>2</v>
      </c>
      <c r="I17" s="16">
        <v>15</v>
      </c>
      <c r="J17" s="18">
        <v>2000</v>
      </c>
      <c r="K17" s="17">
        <f t="shared" si="0"/>
        <v>133.33333333333334</v>
      </c>
      <c r="L17" s="16">
        <v>15</v>
      </c>
      <c r="M17" s="18">
        <f t="shared" si="13"/>
        <v>1919.9999999999945</v>
      </c>
      <c r="N17" s="17">
        <f t="shared" si="2"/>
        <v>127.99999999999963</v>
      </c>
      <c r="O17" s="19">
        <f t="shared" si="3"/>
        <v>0</v>
      </c>
      <c r="P17" s="20">
        <f t="shared" si="4"/>
        <v>-5.3333333333337123</v>
      </c>
      <c r="Q17" s="21">
        <f t="shared" si="5"/>
        <v>0.95999999999999719</v>
      </c>
      <c r="R17" s="172"/>
      <c r="S17" s="28">
        <v>0.73333333333333339</v>
      </c>
      <c r="T17" s="28">
        <v>0.75069444444444455</v>
      </c>
      <c r="U17" s="4">
        <f t="shared" si="15"/>
        <v>4.9999999999999822</v>
      </c>
      <c r="V17" s="22">
        <f t="shared" si="14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-80.000000000005457</v>
      </c>
      <c r="AF17" s="21">
        <f t="shared" si="8"/>
        <v>0.9599999999999973</v>
      </c>
      <c r="AG17" s="172"/>
    </row>
    <row r="18" spans="1:33" ht="16.5" customHeight="1">
      <c r="A18" s="199" t="s">
        <v>53</v>
      </c>
      <c r="B18" s="4" t="s">
        <v>78</v>
      </c>
      <c r="C18" s="190" t="s">
        <v>93</v>
      </c>
      <c r="D18" s="190"/>
      <c r="E18" s="37">
        <v>50.67</v>
      </c>
      <c r="F18" s="4">
        <v>1732</v>
      </c>
      <c r="G18" s="4">
        <v>87760.44</v>
      </c>
      <c r="H18" s="22" t="s">
        <v>139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1924.4444444444455</v>
      </c>
      <c r="N18" s="17">
        <f t="shared" si="2"/>
        <v>128.29629629629636</v>
      </c>
      <c r="O18" s="19">
        <f t="shared" si="3"/>
        <v>0</v>
      </c>
      <c r="P18" s="20">
        <f t="shared" si="4"/>
        <v>-5.0370370370369812</v>
      </c>
      <c r="Q18" s="21">
        <f t="shared" si="5"/>
        <v>0.96222222222222265</v>
      </c>
      <c r="R18" s="172"/>
      <c r="S18" s="28">
        <v>0.75555555555555565</v>
      </c>
      <c r="T18" s="28">
        <v>0.79305555555555562</v>
      </c>
      <c r="U18" s="4">
        <f t="shared" si="15"/>
        <v>6.9999999999999751</v>
      </c>
      <c r="V18" s="22">
        <f t="shared" si="14"/>
        <v>53.999999999999972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-75.55555555555452</v>
      </c>
      <c r="AF18" s="21">
        <f t="shared" si="8"/>
        <v>0.96222222222222276</v>
      </c>
      <c r="AG18" s="172"/>
    </row>
    <row r="19" spans="1:33" ht="16.5" customHeight="1">
      <c r="A19" s="199" t="s">
        <v>53</v>
      </c>
      <c r="B19" s="4" t="s">
        <v>78</v>
      </c>
      <c r="C19" s="217" t="s">
        <v>94</v>
      </c>
      <c r="D19" s="218"/>
      <c r="E19" s="37">
        <v>57.3</v>
      </c>
      <c r="F19" s="4">
        <v>1963</v>
      </c>
      <c r="G19" s="4">
        <v>112479.9</v>
      </c>
      <c r="H19" s="22" t="s">
        <v>139</v>
      </c>
      <c r="I19" s="16">
        <v>13</v>
      </c>
      <c r="J19" s="18">
        <v>2000</v>
      </c>
      <c r="K19" s="17">
        <f t="shared" si="0"/>
        <v>153.84615384615384</v>
      </c>
      <c r="L19" s="16">
        <v>13</v>
      </c>
      <c r="M19" s="18">
        <f t="shared" si="13"/>
        <v>1930.8196721311492</v>
      </c>
      <c r="N19" s="17">
        <f t="shared" si="2"/>
        <v>148.52459016393456</v>
      </c>
      <c r="O19" s="19">
        <f t="shared" si="3"/>
        <v>0</v>
      </c>
      <c r="P19" s="20">
        <f t="shared" si="4"/>
        <v>-5.3215636822192778</v>
      </c>
      <c r="Q19" s="21">
        <f t="shared" si="5"/>
        <v>0.96540983606557473</v>
      </c>
      <c r="R19" s="172"/>
      <c r="S19" s="28">
        <v>0.79722222222222228</v>
      </c>
      <c r="T19" s="28">
        <v>0.83958333333333335</v>
      </c>
      <c r="U19" s="4">
        <f t="shared" si="15"/>
        <v>5.9999999999999787</v>
      </c>
      <c r="V19" s="22">
        <f t="shared" si="14"/>
        <v>60.999999999999943</v>
      </c>
      <c r="W19" s="23">
        <f>T19</f>
        <v>0.83958333333333335</v>
      </c>
      <c r="X19" s="23">
        <f>S20</f>
        <v>0.87986111111111109</v>
      </c>
      <c r="Y19" s="26"/>
      <c r="Z19" s="26"/>
      <c r="AA19" s="175"/>
      <c r="AB19" s="176"/>
      <c r="AC19" s="25"/>
      <c r="AD19" s="25"/>
      <c r="AE19" s="19">
        <f t="shared" si="7"/>
        <v>-69.180327868850782</v>
      </c>
      <c r="AF19" s="21">
        <f t="shared" si="8"/>
        <v>0.96540983606557462</v>
      </c>
      <c r="AG19" s="172"/>
    </row>
    <row r="20" spans="1:33" ht="16.5" customHeight="1">
      <c r="A20" s="199" t="s">
        <v>53</v>
      </c>
      <c r="B20" s="4" t="s">
        <v>78</v>
      </c>
      <c r="C20" s="39" t="s">
        <v>91</v>
      </c>
      <c r="D20" s="40"/>
      <c r="E20" s="37">
        <v>50.98</v>
      </c>
      <c r="F20" s="4">
        <v>1578</v>
      </c>
      <c r="G20" s="4">
        <v>80446.44</v>
      </c>
      <c r="H20" s="22" t="s">
        <v>139</v>
      </c>
      <c r="I20" s="16">
        <v>16</v>
      </c>
      <c r="J20" s="18">
        <v>2000</v>
      </c>
      <c r="K20" s="17">
        <f t="shared" si="0"/>
        <v>125</v>
      </c>
      <c r="L20" s="16">
        <v>16</v>
      </c>
      <c r="M20" s="18">
        <f t="shared" si="13"/>
        <v>1932.2448979591843</v>
      </c>
      <c r="N20" s="17">
        <f t="shared" si="2"/>
        <v>120.76530612244902</v>
      </c>
      <c r="O20" s="19">
        <f t="shared" si="3"/>
        <v>0</v>
      </c>
      <c r="P20" s="20">
        <f t="shared" si="4"/>
        <v>-4.2346938775509813</v>
      </c>
      <c r="Q20" s="21">
        <f t="shared" si="5"/>
        <v>0.9661224489795921</v>
      </c>
      <c r="R20" s="172"/>
      <c r="S20" s="28">
        <v>0.87986111111111109</v>
      </c>
      <c r="T20" s="28">
        <v>0.91388888888888886</v>
      </c>
      <c r="U20" s="4">
        <f t="shared" si="15"/>
        <v>57.999999999999957</v>
      </c>
      <c r="V20" s="22">
        <f t="shared" si="14"/>
        <v>48.999999999999986</v>
      </c>
      <c r="W20" s="23"/>
      <c r="X20" s="23"/>
      <c r="Y20" s="26"/>
      <c r="Z20" s="26"/>
      <c r="AA20" s="175"/>
      <c r="AB20" s="176"/>
      <c r="AC20" s="25"/>
      <c r="AD20" s="25"/>
      <c r="AE20" s="19">
        <f t="shared" si="7"/>
        <v>-67.7551020408157</v>
      </c>
      <c r="AF20" s="21">
        <f t="shared" si="8"/>
        <v>0.9661224489795921</v>
      </c>
      <c r="AG20" s="172"/>
    </row>
    <row r="21" spans="1:33" ht="16.5" customHeight="1">
      <c r="A21" s="199" t="s">
        <v>53</v>
      </c>
      <c r="B21" s="37" t="s">
        <v>48</v>
      </c>
      <c r="C21" s="177"/>
      <c r="D21" s="177"/>
      <c r="E21" s="38"/>
      <c r="F21" s="17"/>
      <c r="G21" s="17"/>
      <c r="H21" s="4"/>
      <c r="I21" s="30">
        <v>17</v>
      </c>
      <c r="J21" s="18">
        <v>1857.1428571428571</v>
      </c>
      <c r="K21" s="17">
        <f t="shared" si="0"/>
        <v>109.24369747899159</v>
      </c>
      <c r="L21" s="30">
        <v>17</v>
      </c>
      <c r="M21" s="18">
        <f>AVERAGE(M14:M20)</f>
        <v>1791.9546486678469</v>
      </c>
      <c r="N21" s="17">
        <f t="shared" si="2"/>
        <v>105.40909698046158</v>
      </c>
      <c r="O21" s="19">
        <f t="shared" si="3"/>
        <v>0</v>
      </c>
      <c r="P21" s="20">
        <f t="shared" si="4"/>
        <v>-3.8346004985300084</v>
      </c>
      <c r="Q21" s="21">
        <f t="shared" si="5"/>
        <v>0.96489865697499455</v>
      </c>
      <c r="R21" s="172"/>
      <c r="S21" s="28"/>
      <c r="T21" s="28"/>
      <c r="U21" s="4"/>
      <c r="V21" s="22"/>
      <c r="W21" s="17"/>
      <c r="X21" s="17"/>
      <c r="Y21" s="31">
        <f>SUM(Y14:Y20)</f>
        <v>0</v>
      </c>
      <c r="Z21" s="31">
        <f>SUM(Z14:Z20)</f>
        <v>0</v>
      </c>
      <c r="AA21" s="168"/>
      <c r="AB21" s="168"/>
      <c r="AC21" s="31">
        <v>7</v>
      </c>
      <c r="AD21" s="31">
        <f>SUM(AD14:AD20)</f>
        <v>0</v>
      </c>
      <c r="AE21" s="19">
        <f t="shared" si="7"/>
        <v>-65.188208475010242</v>
      </c>
      <c r="AF21" s="21">
        <f t="shared" si="8"/>
        <v>0.96489865697499444</v>
      </c>
      <c r="AG21" s="172"/>
    </row>
    <row r="22" spans="1:33" ht="15.75" customHeight="1">
      <c r="A22" s="194" t="s">
        <v>59</v>
      </c>
      <c r="B22" s="37" t="s">
        <v>78</v>
      </c>
      <c r="C22" s="190" t="s">
        <v>95</v>
      </c>
      <c r="D22" s="190"/>
      <c r="E22" s="37">
        <v>57.73</v>
      </c>
      <c r="F22" s="4">
        <v>2489</v>
      </c>
      <c r="G22" s="4">
        <v>143689.97</v>
      </c>
      <c r="H22" s="22" t="s">
        <v>139</v>
      </c>
      <c r="I22" s="16">
        <v>14</v>
      </c>
      <c r="J22" s="18">
        <v>2000</v>
      </c>
      <c r="K22" s="17">
        <f t="shared" si="0"/>
        <v>142.85714285714286</v>
      </c>
      <c r="L22" s="16">
        <v>14</v>
      </c>
      <c r="M22" s="18">
        <f t="shared" ref="M22:M27" si="16">F22/V22*60</f>
        <v>1914.6153846153845</v>
      </c>
      <c r="N22" s="17">
        <f t="shared" si="2"/>
        <v>136.75824175824175</v>
      </c>
      <c r="O22" s="19">
        <f t="shared" si="3"/>
        <v>0</v>
      </c>
      <c r="P22" s="20">
        <f t="shared" si="4"/>
        <v>-6.0989010989011092</v>
      </c>
      <c r="Q22" s="21">
        <f t="shared" si="5"/>
        <v>0.95730769230769219</v>
      </c>
      <c r="R22" s="172">
        <f>Q28</f>
        <v>0.96319280546133745</v>
      </c>
      <c r="S22" s="28">
        <v>0.20833333333333334</v>
      </c>
      <c r="T22" s="28">
        <v>0.26250000000000001</v>
      </c>
      <c r="U22" s="4"/>
      <c r="V22" s="22">
        <f t="shared" ref="V22:V27" si="17">(T22-S22)*24*60</f>
        <v>78</v>
      </c>
      <c r="W22" s="28"/>
      <c r="X22" s="28"/>
      <c r="Y22" s="28"/>
      <c r="Z22" s="28"/>
      <c r="AA22" s="164"/>
      <c r="AB22" s="164"/>
      <c r="AC22" s="25">
        <v>6</v>
      </c>
      <c r="AD22" s="25"/>
      <c r="AE22" s="19">
        <f t="shared" si="7"/>
        <v>-85.384615384615472</v>
      </c>
      <c r="AF22" s="21">
        <f t="shared" si="8"/>
        <v>0.9573076923076923</v>
      </c>
      <c r="AG22" s="172">
        <f>AF28</f>
        <v>0.96319280546133745</v>
      </c>
    </row>
    <row r="23" spans="1:33" ht="15.75" customHeight="1">
      <c r="A23" s="195" t="s">
        <v>59</v>
      </c>
      <c r="B23" s="37" t="s">
        <v>78</v>
      </c>
      <c r="C23" s="190" t="s">
        <v>96</v>
      </c>
      <c r="D23" s="190"/>
      <c r="E23" s="37">
        <v>53.68</v>
      </c>
      <c r="F23" s="4">
        <v>1460</v>
      </c>
      <c r="G23" s="4">
        <v>78372.800000000003</v>
      </c>
      <c r="H23" s="22" t="s">
        <v>139</v>
      </c>
      <c r="I23" s="16">
        <v>16</v>
      </c>
      <c r="J23" s="18">
        <v>2000</v>
      </c>
      <c r="K23" s="17">
        <f t="shared" si="0"/>
        <v>125</v>
      </c>
      <c r="L23" s="16">
        <v>16</v>
      </c>
      <c r="M23" s="18">
        <f t="shared" si="16"/>
        <v>1946.6666666666665</v>
      </c>
      <c r="N23" s="17">
        <f t="shared" si="2"/>
        <v>121.66666666666666</v>
      </c>
      <c r="O23" s="19">
        <f t="shared" si="3"/>
        <v>0</v>
      </c>
      <c r="P23" s="20">
        <f t="shared" si="4"/>
        <v>-3.3333333333333428</v>
      </c>
      <c r="Q23" s="21">
        <f t="shared" si="5"/>
        <v>0.97333333333333327</v>
      </c>
      <c r="R23" s="172"/>
      <c r="S23" s="28">
        <v>0.2673611111111111</v>
      </c>
      <c r="T23" s="28">
        <v>0.2986111111111111</v>
      </c>
      <c r="U23" s="4">
        <f t="shared" ref="U23:U27" si="18">IF(S23=TIME(17,0,0),"",(S23-T22)*24*60)</f>
        <v>6.9999999999999751</v>
      </c>
      <c r="V23" s="22">
        <f t="shared" si="17"/>
        <v>45</v>
      </c>
      <c r="W23" s="23"/>
      <c r="X23" s="4"/>
      <c r="Y23" s="4"/>
      <c r="Z23" s="4"/>
      <c r="AA23" s="164"/>
      <c r="AB23" s="164"/>
      <c r="AC23" s="25"/>
      <c r="AD23" s="25"/>
      <c r="AE23" s="19">
        <f t="shared" si="7"/>
        <v>-53.333333333333485</v>
      </c>
      <c r="AF23" s="21">
        <f t="shared" si="8"/>
        <v>0.97333333333333327</v>
      </c>
      <c r="AG23" s="172"/>
    </row>
    <row r="24" spans="1:33" ht="15.75" customHeight="1">
      <c r="A24" s="195" t="s">
        <v>59</v>
      </c>
      <c r="B24" s="37" t="s">
        <v>78</v>
      </c>
      <c r="C24" s="190" t="s">
        <v>97</v>
      </c>
      <c r="D24" s="190"/>
      <c r="E24" s="37">
        <v>50.49</v>
      </c>
      <c r="F24" s="4">
        <v>2068</v>
      </c>
      <c r="G24" s="4">
        <v>104413.32</v>
      </c>
      <c r="H24" s="22" t="s">
        <v>139</v>
      </c>
      <c r="I24" s="16">
        <v>15</v>
      </c>
      <c r="J24" s="18">
        <v>2000</v>
      </c>
      <c r="K24" s="17">
        <f t="shared" si="0"/>
        <v>133.33333333333334</v>
      </c>
      <c r="L24" s="16">
        <v>15</v>
      </c>
      <c r="M24" s="18">
        <f t="shared" si="16"/>
        <v>1908.9230769230792</v>
      </c>
      <c r="N24" s="17">
        <f t="shared" si="2"/>
        <v>127.26153846153861</v>
      </c>
      <c r="O24" s="19">
        <f t="shared" si="3"/>
        <v>0</v>
      </c>
      <c r="P24" s="20">
        <f t="shared" si="4"/>
        <v>-6.0717948717947365</v>
      </c>
      <c r="Q24" s="21">
        <f t="shared" si="5"/>
        <v>0.95446153846153947</v>
      </c>
      <c r="R24" s="172"/>
      <c r="S24" s="28">
        <v>0.70833333333333337</v>
      </c>
      <c r="T24" s="28">
        <v>0.75347222222222221</v>
      </c>
      <c r="U24" s="4" t="str">
        <f t="shared" si="18"/>
        <v/>
      </c>
      <c r="V24" s="22">
        <f t="shared" si="17"/>
        <v>64.999999999999929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-91.076923076920821</v>
      </c>
      <c r="AF24" s="21">
        <f t="shared" si="8"/>
        <v>0.95446153846153958</v>
      </c>
      <c r="AG24" s="172"/>
    </row>
    <row r="25" spans="1:33" ht="15.75" customHeight="1">
      <c r="A25" s="195" t="s">
        <v>59</v>
      </c>
      <c r="B25" s="37" t="s">
        <v>78</v>
      </c>
      <c r="C25" s="190" t="s">
        <v>98</v>
      </c>
      <c r="D25" s="190"/>
      <c r="E25" s="37">
        <v>50.67</v>
      </c>
      <c r="F25" s="4">
        <v>1005</v>
      </c>
      <c r="G25" s="4">
        <v>50923.35</v>
      </c>
      <c r="H25" s="22" t="s">
        <v>139</v>
      </c>
      <c r="I25" s="16">
        <v>16</v>
      </c>
      <c r="J25" s="18">
        <v>2000</v>
      </c>
      <c r="K25" s="17">
        <f t="shared" si="0"/>
        <v>125</v>
      </c>
      <c r="L25" s="16">
        <v>16</v>
      </c>
      <c r="M25" s="18">
        <f t="shared" si="16"/>
        <v>1945.1612903225773</v>
      </c>
      <c r="N25" s="17">
        <f t="shared" si="2"/>
        <v>121.57258064516108</v>
      </c>
      <c r="O25" s="19">
        <f t="shared" si="3"/>
        <v>0</v>
      </c>
      <c r="P25" s="20">
        <f t="shared" si="4"/>
        <v>-3.4274193548389178</v>
      </c>
      <c r="Q25" s="21">
        <f t="shared" si="5"/>
        <v>0.97258064516128861</v>
      </c>
      <c r="R25" s="172"/>
      <c r="S25" s="28">
        <v>0.75694444444444442</v>
      </c>
      <c r="T25" s="28">
        <v>0.77847222222222223</v>
      </c>
      <c r="U25" s="4">
        <f t="shared" si="18"/>
        <v>4.9999999999999822</v>
      </c>
      <c r="V25" s="22">
        <f t="shared" si="17"/>
        <v>31.00000000000005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-54.838709677422685</v>
      </c>
      <c r="AF25" s="21">
        <f t="shared" si="8"/>
        <v>0.97258064516128861</v>
      </c>
      <c r="AG25" s="172"/>
    </row>
    <row r="26" spans="1:33" ht="15.75" customHeight="1">
      <c r="A26" s="195" t="s">
        <v>59</v>
      </c>
      <c r="B26" s="37" t="s">
        <v>78</v>
      </c>
      <c r="C26" s="190" t="s">
        <v>99</v>
      </c>
      <c r="D26" s="190"/>
      <c r="E26" s="37">
        <v>53.68</v>
      </c>
      <c r="F26" s="4">
        <v>1973</v>
      </c>
      <c r="G26" s="4">
        <v>105910.64</v>
      </c>
      <c r="H26" s="22" t="s">
        <v>139</v>
      </c>
      <c r="I26" s="16">
        <v>16</v>
      </c>
      <c r="J26" s="18">
        <v>1500</v>
      </c>
      <c r="K26" s="17">
        <f t="shared" si="0"/>
        <v>93.75</v>
      </c>
      <c r="L26" s="16">
        <v>16</v>
      </c>
      <c r="M26" s="18">
        <f t="shared" si="16"/>
        <v>1443.6585365853653</v>
      </c>
      <c r="N26" s="17">
        <f t="shared" si="2"/>
        <v>90.228658536585328</v>
      </c>
      <c r="O26" s="19">
        <f t="shared" si="3"/>
        <v>0</v>
      </c>
      <c r="P26" s="20">
        <f t="shared" si="4"/>
        <v>-3.5213414634146716</v>
      </c>
      <c r="Q26" s="21">
        <f t="shared" si="5"/>
        <v>0.96243902439024354</v>
      </c>
      <c r="R26" s="172"/>
      <c r="S26" s="28">
        <v>0.78263888888888888</v>
      </c>
      <c r="T26" s="28">
        <v>0.83958333333333335</v>
      </c>
      <c r="U26" s="4">
        <f t="shared" si="18"/>
        <v>5.9999999999999787</v>
      </c>
      <c r="V26" s="22">
        <f t="shared" si="17"/>
        <v>82.000000000000028</v>
      </c>
      <c r="W26" s="23">
        <f>T26</f>
        <v>0.83958333333333335</v>
      </c>
      <c r="X26" s="23">
        <f>S27</f>
        <v>0.87986111111111109</v>
      </c>
      <c r="Y26" s="4"/>
      <c r="Z26" s="4"/>
      <c r="AA26" s="164"/>
      <c r="AB26" s="164"/>
      <c r="AC26" s="25"/>
      <c r="AD26" s="25"/>
      <c r="AE26" s="19">
        <f t="shared" si="7"/>
        <v>-56.341463414634745</v>
      </c>
      <c r="AF26" s="21">
        <f t="shared" si="8"/>
        <v>0.96243902439024354</v>
      </c>
      <c r="AG26" s="172"/>
    </row>
    <row r="27" spans="1:33" ht="15.75" customHeight="1">
      <c r="A27" s="195" t="s">
        <v>59</v>
      </c>
      <c r="B27" s="37" t="s">
        <v>78</v>
      </c>
      <c r="C27" s="190" t="s">
        <v>92</v>
      </c>
      <c r="D27" s="190"/>
      <c r="E27" s="37">
        <v>50.92</v>
      </c>
      <c r="F27" s="4">
        <v>1662</v>
      </c>
      <c r="G27" s="4">
        <v>84629.040000000008</v>
      </c>
      <c r="H27" s="22" t="s">
        <v>139</v>
      </c>
      <c r="I27" s="16">
        <v>15</v>
      </c>
      <c r="J27" s="18">
        <v>2000</v>
      </c>
      <c r="K27" s="17">
        <f t="shared" si="0"/>
        <v>133.33333333333334</v>
      </c>
      <c r="L27" s="16">
        <v>15</v>
      </c>
      <c r="M27" s="18">
        <f t="shared" si="16"/>
        <v>1917.6923076923088</v>
      </c>
      <c r="N27" s="17">
        <f t="shared" si="2"/>
        <v>127.84615384615391</v>
      </c>
      <c r="O27" s="19">
        <f t="shared" si="3"/>
        <v>0</v>
      </c>
      <c r="P27" s="20">
        <f t="shared" si="4"/>
        <v>-5.4871794871794322</v>
      </c>
      <c r="Q27" s="21">
        <f t="shared" si="5"/>
        <v>0.95884615384615424</v>
      </c>
      <c r="R27" s="172"/>
      <c r="S27" s="28">
        <v>0.87986111111111109</v>
      </c>
      <c r="T27" s="28">
        <v>0.91597222222222219</v>
      </c>
      <c r="U27" s="4">
        <f t="shared" si="18"/>
        <v>57.999999999999957</v>
      </c>
      <c r="V27" s="22">
        <f t="shared" si="17"/>
        <v>51.999999999999972</v>
      </c>
      <c r="W27" s="23"/>
      <c r="X27" s="28"/>
      <c r="Y27" s="28"/>
      <c r="Z27" s="28"/>
      <c r="AA27" s="164"/>
      <c r="AB27" s="164"/>
      <c r="AC27" s="25"/>
      <c r="AD27" s="25"/>
      <c r="AE27" s="19">
        <f t="shared" si="7"/>
        <v>-82.307692307691241</v>
      </c>
      <c r="AF27" s="21">
        <f t="shared" si="8"/>
        <v>0.95884615384615435</v>
      </c>
      <c r="AG27" s="172"/>
    </row>
    <row r="28" spans="1:33" ht="15.75" customHeight="1">
      <c r="A28" s="195" t="s">
        <v>59</v>
      </c>
      <c r="B28" s="37" t="s">
        <v>48</v>
      </c>
      <c r="C28" s="177"/>
      <c r="D28" s="177"/>
      <c r="E28" s="38"/>
      <c r="F28" s="4"/>
      <c r="G28" s="4"/>
      <c r="H28" s="4"/>
      <c r="I28" s="30">
        <v>15.333333333333334</v>
      </c>
      <c r="J28" s="18">
        <v>1916.6666666666667</v>
      </c>
      <c r="K28" s="17">
        <f t="shared" si="0"/>
        <v>125</v>
      </c>
      <c r="L28" s="30">
        <v>15.333333333333334</v>
      </c>
      <c r="M28" s="18">
        <f>AVERAGE(M22:M27)</f>
        <v>1846.119543800897</v>
      </c>
      <c r="N28" s="17">
        <f t="shared" si="2"/>
        <v>120.39910068266718</v>
      </c>
      <c r="O28" s="19">
        <f t="shared" si="3"/>
        <v>0</v>
      </c>
      <c r="P28" s="20">
        <f t="shared" si="4"/>
        <v>-4.6008993173328179</v>
      </c>
      <c r="Q28" s="21">
        <f t="shared" si="5"/>
        <v>0.96319280546133745</v>
      </c>
      <c r="R28" s="172"/>
      <c r="S28" s="28"/>
      <c r="T28" s="28"/>
      <c r="U28" s="17"/>
      <c r="V28" s="22"/>
      <c r="W28" s="17"/>
      <c r="X28" s="17"/>
      <c r="Y28" s="31">
        <f>SUM(Y22:Y27)</f>
        <v>0</v>
      </c>
      <c r="Z28" s="31">
        <f>SUM(Z22:Z27)</f>
        <v>0</v>
      </c>
      <c r="AA28" s="168"/>
      <c r="AB28" s="168"/>
      <c r="AC28" s="31">
        <v>6</v>
      </c>
      <c r="AD28" s="31">
        <f>SUM(AD22:AD27)</f>
        <v>0</v>
      </c>
      <c r="AE28" s="19">
        <f t="shared" si="7"/>
        <v>-70.547122865769779</v>
      </c>
      <c r="AF28" s="21">
        <f t="shared" si="8"/>
        <v>0.96319280546133745</v>
      </c>
      <c r="AG28" s="172"/>
    </row>
    <row r="29" spans="1:33" ht="15.75" customHeight="1">
      <c r="A29" s="193" t="s">
        <v>61</v>
      </c>
      <c r="B29" s="37" t="s">
        <v>100</v>
      </c>
      <c r="C29" s="190" t="s">
        <v>101</v>
      </c>
      <c r="D29" s="190"/>
      <c r="E29" s="37">
        <v>31.29</v>
      </c>
      <c r="F29" s="4">
        <v>5000</v>
      </c>
      <c r="G29" s="4">
        <v>156450</v>
      </c>
      <c r="H29" s="22">
        <v>2</v>
      </c>
      <c r="I29" s="16">
        <v>18</v>
      </c>
      <c r="J29" s="18">
        <v>2400</v>
      </c>
      <c r="K29" s="17">
        <f t="shared" si="0"/>
        <v>133.33333333333334</v>
      </c>
      <c r="L29" s="16">
        <v>18</v>
      </c>
      <c r="M29" s="18">
        <f t="shared" ref="M29:M35" si="19">F29/V29*60</f>
        <v>2290.0763358778627</v>
      </c>
      <c r="N29" s="17">
        <f t="shared" si="2"/>
        <v>127.2264631043257</v>
      </c>
      <c r="O29" s="19">
        <f t="shared" si="3"/>
        <v>0</v>
      </c>
      <c r="P29" s="20">
        <f t="shared" si="4"/>
        <v>-6.1068702290076402</v>
      </c>
      <c r="Q29" s="21">
        <f t="shared" si="5"/>
        <v>0.95419847328244267</v>
      </c>
      <c r="R29" s="172">
        <f>Q36</f>
        <v>0.95531253589616905</v>
      </c>
      <c r="S29" s="28">
        <v>0.125</v>
      </c>
      <c r="T29" s="28">
        <v>0.21597222222222223</v>
      </c>
      <c r="U29" s="4"/>
      <c r="V29" s="22">
        <f t="shared" ref="V29:V35" si="20">(T29-S29)*24*60</f>
        <v>131</v>
      </c>
      <c r="W29" s="23">
        <f>T29</f>
        <v>0.21597222222222223</v>
      </c>
      <c r="X29" s="23">
        <f>S30</f>
        <v>0.23541666666666669</v>
      </c>
      <c r="Y29" s="23"/>
      <c r="Z29" s="23"/>
      <c r="AA29" s="164"/>
      <c r="AB29" s="164"/>
      <c r="AC29" s="25">
        <v>7</v>
      </c>
      <c r="AD29" s="25"/>
      <c r="AE29" s="19">
        <f t="shared" si="7"/>
        <v>-109.92366412213732</v>
      </c>
      <c r="AF29" s="21">
        <f t="shared" si="8"/>
        <v>0.95419847328244278</v>
      </c>
      <c r="AG29" s="172">
        <f>AF36</f>
        <v>0.95531253589616905</v>
      </c>
    </row>
    <row r="30" spans="1:33" ht="15.75" customHeight="1">
      <c r="A30" s="193" t="s">
        <v>61</v>
      </c>
      <c r="B30" s="37" t="s">
        <v>100</v>
      </c>
      <c r="C30" s="190" t="s">
        <v>102</v>
      </c>
      <c r="D30" s="190"/>
      <c r="E30" s="37">
        <v>26.2</v>
      </c>
      <c r="F30" s="4">
        <v>2600</v>
      </c>
      <c r="G30" s="4">
        <v>68120</v>
      </c>
      <c r="H30" s="22">
        <v>2</v>
      </c>
      <c r="I30" s="16">
        <v>20</v>
      </c>
      <c r="J30" s="18">
        <v>2400</v>
      </c>
      <c r="K30" s="17">
        <f t="shared" si="0"/>
        <v>120</v>
      </c>
      <c r="L30" s="16">
        <v>20</v>
      </c>
      <c r="M30" s="18">
        <f t="shared" si="19"/>
        <v>2294.1176470588248</v>
      </c>
      <c r="N30" s="17">
        <f t="shared" si="2"/>
        <v>114.70588235294125</v>
      </c>
      <c r="O30" s="19">
        <f t="shared" si="3"/>
        <v>0</v>
      </c>
      <c r="P30" s="20">
        <f t="shared" si="4"/>
        <v>-5.294117647058755</v>
      </c>
      <c r="Q30" s="21">
        <f t="shared" si="5"/>
        <v>0.95588235294117707</v>
      </c>
      <c r="R30" s="172"/>
      <c r="S30" s="28">
        <v>0.23541666666666669</v>
      </c>
      <c r="T30" s="28">
        <v>0.28263888888888888</v>
      </c>
      <c r="U30" s="4">
        <f t="shared" ref="U30:U35" si="21">(S30-T29)*24*60</f>
        <v>28.000000000000021</v>
      </c>
      <c r="V30" s="22">
        <f t="shared" si="20"/>
        <v>67.999999999999957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7"/>
        <v>-105.88235294117521</v>
      </c>
      <c r="AF30" s="21">
        <f t="shared" si="8"/>
        <v>0.95588235294117696</v>
      </c>
      <c r="AG30" s="172"/>
    </row>
    <row r="31" spans="1:33" ht="15.75" customHeight="1">
      <c r="A31" s="193" t="s">
        <v>61</v>
      </c>
      <c r="B31" s="37" t="s">
        <v>100</v>
      </c>
      <c r="C31" s="190" t="s">
        <v>103</v>
      </c>
      <c r="D31" s="190"/>
      <c r="E31" s="37">
        <v>25.99</v>
      </c>
      <c r="F31" s="4">
        <v>3935</v>
      </c>
      <c r="G31" s="4">
        <v>102270.65</v>
      </c>
      <c r="H31" s="22" t="s">
        <v>139</v>
      </c>
      <c r="I31" s="16">
        <v>14</v>
      </c>
      <c r="J31" s="18">
        <v>2400</v>
      </c>
      <c r="K31" s="17">
        <f t="shared" si="0"/>
        <v>171.42857142857142</v>
      </c>
      <c r="L31" s="16">
        <v>14</v>
      </c>
      <c r="M31" s="18">
        <f t="shared" si="19"/>
        <v>2292.2330097087388</v>
      </c>
      <c r="N31" s="17">
        <f t="shared" si="2"/>
        <v>163.73092926490992</v>
      </c>
      <c r="O31" s="19">
        <f t="shared" si="3"/>
        <v>0</v>
      </c>
      <c r="P31" s="20">
        <f t="shared" si="4"/>
        <v>-7.6976421636614987</v>
      </c>
      <c r="Q31" s="21">
        <f t="shared" si="5"/>
        <v>0.9550970873786413</v>
      </c>
      <c r="R31" s="172"/>
      <c r="S31" s="28">
        <v>0.28749999999999998</v>
      </c>
      <c r="T31" s="28">
        <v>0.35902777777777772</v>
      </c>
      <c r="U31" s="4">
        <f t="shared" si="21"/>
        <v>6.9999999999999751</v>
      </c>
      <c r="V31" s="22">
        <f t="shared" si="20"/>
        <v>102.99999999999996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-107.76699029126121</v>
      </c>
      <c r="AF31" s="21">
        <f t="shared" si="8"/>
        <v>0.95509708737864119</v>
      </c>
      <c r="AG31" s="172"/>
    </row>
    <row r="32" spans="1:33" ht="15.75" customHeight="1">
      <c r="A32" s="193" t="s">
        <v>61</v>
      </c>
      <c r="B32" s="37" t="s">
        <v>100</v>
      </c>
      <c r="C32" s="190" t="s">
        <v>104</v>
      </c>
      <c r="D32" s="190"/>
      <c r="E32" s="37">
        <v>20.52</v>
      </c>
      <c r="F32" s="4">
        <v>3987</v>
      </c>
      <c r="G32" s="4">
        <v>81813.240000000005</v>
      </c>
      <c r="H32" s="22" t="s">
        <v>139</v>
      </c>
      <c r="I32" s="16">
        <v>18</v>
      </c>
      <c r="J32" s="18">
        <v>2400</v>
      </c>
      <c r="K32" s="17">
        <f t="shared" si="0"/>
        <v>133.33333333333334</v>
      </c>
      <c r="L32" s="16">
        <v>18</v>
      </c>
      <c r="M32" s="18">
        <f t="shared" si="19"/>
        <v>2300.1923076923072</v>
      </c>
      <c r="N32" s="17">
        <f t="shared" si="2"/>
        <v>127.7884615384615</v>
      </c>
      <c r="O32" s="19">
        <f t="shared" si="3"/>
        <v>0</v>
      </c>
      <c r="P32" s="20">
        <f t="shared" si="4"/>
        <v>-5.5448717948718382</v>
      </c>
      <c r="Q32" s="21">
        <f t="shared" si="5"/>
        <v>0.95841346153846119</v>
      </c>
      <c r="R32" s="172"/>
      <c r="S32" s="28">
        <v>0.36388888888888882</v>
      </c>
      <c r="T32" s="28">
        <v>0.43611111111111106</v>
      </c>
      <c r="U32" s="4">
        <f t="shared" si="21"/>
        <v>6.9999999999999751</v>
      </c>
      <c r="V32" s="22">
        <f t="shared" si="20"/>
        <v>104.00000000000003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-99.807692307692832</v>
      </c>
      <c r="AF32" s="21">
        <f t="shared" si="8"/>
        <v>0.9584134615384613</v>
      </c>
      <c r="AG32" s="172"/>
    </row>
    <row r="33" spans="1:33" ht="15.75" customHeight="1">
      <c r="A33" s="193" t="s">
        <v>61</v>
      </c>
      <c r="B33" s="37" t="s">
        <v>100</v>
      </c>
      <c r="C33" s="190" t="s">
        <v>105</v>
      </c>
      <c r="D33" s="190"/>
      <c r="E33" s="37">
        <v>25.98</v>
      </c>
      <c r="F33" s="4">
        <v>2861</v>
      </c>
      <c r="G33" s="4">
        <v>74328.78</v>
      </c>
      <c r="H33" s="22" t="s">
        <v>139</v>
      </c>
      <c r="I33" s="16">
        <v>21</v>
      </c>
      <c r="J33" s="18">
        <v>2400</v>
      </c>
      <c r="K33" s="17">
        <f t="shared" si="0"/>
        <v>114.28571428571429</v>
      </c>
      <c r="L33" s="16">
        <v>21</v>
      </c>
      <c r="M33" s="18">
        <f t="shared" si="19"/>
        <v>2288.8000000000011</v>
      </c>
      <c r="N33" s="17">
        <f t="shared" si="2"/>
        <v>108.99047619047624</v>
      </c>
      <c r="O33" s="19">
        <f t="shared" si="3"/>
        <v>0</v>
      </c>
      <c r="P33" s="20">
        <f t="shared" si="4"/>
        <v>-5.295238095238048</v>
      </c>
      <c r="Q33" s="21">
        <f t="shared" si="5"/>
        <v>0.95366666666666711</v>
      </c>
      <c r="R33" s="172"/>
      <c r="S33" s="28">
        <v>0.44027777777777771</v>
      </c>
      <c r="T33" s="28">
        <v>0.49236111111111103</v>
      </c>
      <c r="U33" s="4">
        <f t="shared" si="21"/>
        <v>5.9999999999999787</v>
      </c>
      <c r="V33" s="22">
        <f t="shared" si="20"/>
        <v>74.999999999999972</v>
      </c>
      <c r="W33" s="23">
        <f>T33</f>
        <v>0.49236111111111103</v>
      </c>
      <c r="X33" s="23">
        <f>S34</f>
        <v>0.53124999999999989</v>
      </c>
      <c r="Y33" s="23"/>
      <c r="Z33" s="23"/>
      <c r="AA33" s="164"/>
      <c r="AB33" s="164"/>
      <c r="AC33" s="25"/>
      <c r="AD33" s="25"/>
      <c r="AE33" s="19">
        <f t="shared" si="7"/>
        <v>-111.19999999999891</v>
      </c>
      <c r="AF33" s="21">
        <f t="shared" si="8"/>
        <v>0.95366666666666711</v>
      </c>
      <c r="AG33" s="172"/>
    </row>
    <row r="34" spans="1:33" ht="15.75" customHeight="1">
      <c r="A34" s="193" t="s">
        <v>61</v>
      </c>
      <c r="B34" s="37" t="s">
        <v>100</v>
      </c>
      <c r="C34" s="190" t="s">
        <v>101</v>
      </c>
      <c r="D34" s="190"/>
      <c r="E34" s="37">
        <v>31.29</v>
      </c>
      <c r="F34" s="4">
        <v>3721</v>
      </c>
      <c r="G34" s="4">
        <v>116430.09</v>
      </c>
      <c r="H34" s="22" t="s">
        <v>139</v>
      </c>
      <c r="I34" s="16">
        <v>18</v>
      </c>
      <c r="J34" s="18">
        <v>2400</v>
      </c>
      <c r="K34" s="17">
        <f t="shared" si="0"/>
        <v>133.33333333333334</v>
      </c>
      <c r="L34" s="16">
        <v>18</v>
      </c>
      <c r="M34" s="18">
        <f t="shared" si="19"/>
        <v>2301.649484536083</v>
      </c>
      <c r="N34" s="17">
        <f t="shared" si="2"/>
        <v>127.86941580756017</v>
      </c>
      <c r="O34" s="19">
        <f t="shared" si="3"/>
        <v>0</v>
      </c>
      <c r="P34" s="20">
        <f t="shared" si="4"/>
        <v>-5.4639175257731694</v>
      </c>
      <c r="Q34" s="21">
        <f t="shared" si="5"/>
        <v>0.95902061855670129</v>
      </c>
      <c r="R34" s="172"/>
      <c r="S34" s="28">
        <v>0.53124999999999989</v>
      </c>
      <c r="T34" s="28">
        <v>0.59861111111111098</v>
      </c>
      <c r="U34" s="4">
        <f t="shared" si="21"/>
        <v>55.999999999999957</v>
      </c>
      <c r="V34" s="22">
        <f t="shared" si="20"/>
        <v>96.999999999999972</v>
      </c>
      <c r="W34" s="23"/>
      <c r="X34" s="23"/>
      <c r="Y34" s="23"/>
      <c r="Z34" s="23"/>
      <c r="AA34" s="164"/>
      <c r="AB34" s="164"/>
      <c r="AC34" s="25"/>
      <c r="AD34" s="25"/>
      <c r="AE34" s="19">
        <f t="shared" si="7"/>
        <v>-98.350515463916963</v>
      </c>
      <c r="AF34" s="21">
        <f t="shared" si="8"/>
        <v>0.95902061855670129</v>
      </c>
      <c r="AG34" s="172"/>
    </row>
    <row r="35" spans="1:33" ht="15.75" customHeight="1">
      <c r="A35" s="193" t="s">
        <v>61</v>
      </c>
      <c r="B35" s="37" t="s">
        <v>100</v>
      </c>
      <c r="C35" s="190" t="s">
        <v>102</v>
      </c>
      <c r="D35" s="190"/>
      <c r="E35" s="37">
        <v>26.2</v>
      </c>
      <c r="F35" s="4">
        <v>2092</v>
      </c>
      <c r="G35" s="4">
        <v>54810.400000000001</v>
      </c>
      <c r="H35" s="22" t="s">
        <v>139</v>
      </c>
      <c r="I35" s="16">
        <v>20</v>
      </c>
      <c r="J35" s="18">
        <v>2400</v>
      </c>
      <c r="K35" s="17">
        <f t="shared" si="0"/>
        <v>120</v>
      </c>
      <c r="L35" s="16">
        <v>20</v>
      </c>
      <c r="M35" s="18">
        <f t="shared" si="19"/>
        <v>2282.1818181818198</v>
      </c>
      <c r="N35" s="17">
        <f t="shared" si="2"/>
        <v>114.10909090909099</v>
      </c>
      <c r="O35" s="19">
        <f t="shared" si="3"/>
        <v>0</v>
      </c>
      <c r="P35" s="20">
        <f t="shared" si="4"/>
        <v>-5.8909090909090054</v>
      </c>
      <c r="Q35" s="21">
        <f t="shared" si="5"/>
        <v>0.95090909090909159</v>
      </c>
      <c r="R35" s="172"/>
      <c r="S35" s="28">
        <v>0.60347222222222208</v>
      </c>
      <c r="T35" s="28">
        <v>0.6416666666666665</v>
      </c>
      <c r="U35" s="4">
        <f t="shared" si="21"/>
        <v>6.9999999999999751</v>
      </c>
      <c r="V35" s="22">
        <f t="shared" si="20"/>
        <v>54.999999999999964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7"/>
        <v>-117.81818181818016</v>
      </c>
      <c r="AF35" s="21">
        <f t="shared" si="8"/>
        <v>0.95090909090909159</v>
      </c>
      <c r="AG35" s="172"/>
    </row>
    <row r="36" spans="1:33" ht="15.75" customHeight="1">
      <c r="A36" s="193" t="s">
        <v>61</v>
      </c>
      <c r="B36" s="37" t="s">
        <v>48</v>
      </c>
      <c r="C36" s="177"/>
      <c r="D36" s="177"/>
      <c r="E36" s="38"/>
      <c r="F36" s="4"/>
      <c r="G36" s="4"/>
      <c r="H36" s="4"/>
      <c r="I36" s="30">
        <v>18.428571428571427</v>
      </c>
      <c r="J36" s="18">
        <v>2400</v>
      </c>
      <c r="K36" s="17">
        <f t="shared" si="0"/>
        <v>130.23255813953489</v>
      </c>
      <c r="L36" s="30">
        <v>18.428571428571427</v>
      </c>
      <c r="M36" s="18">
        <f>AVERAGE(M29:M35)</f>
        <v>2292.7500861508056</v>
      </c>
      <c r="N36" s="17">
        <f t="shared" si="2"/>
        <v>124.41279537252434</v>
      </c>
      <c r="O36" s="19">
        <f t="shared" si="3"/>
        <v>0</v>
      </c>
      <c r="P36" s="20">
        <f t="shared" si="4"/>
        <v>-5.8197627670105447</v>
      </c>
      <c r="Q36" s="21">
        <f t="shared" si="5"/>
        <v>0.95531253589616905</v>
      </c>
      <c r="R36" s="172"/>
      <c r="S36" s="28"/>
      <c r="T36" s="28"/>
      <c r="U36" s="4"/>
      <c r="V36" s="22"/>
      <c r="W36" s="4"/>
      <c r="X36" s="4"/>
      <c r="Y36" s="31">
        <f>SUM(Y29:Y35)</f>
        <v>0</v>
      </c>
      <c r="Z36" s="31">
        <f>SUM(Z29:Z35)</f>
        <v>0</v>
      </c>
      <c r="AA36" s="168"/>
      <c r="AB36" s="168"/>
      <c r="AC36" s="31">
        <v>7</v>
      </c>
      <c r="AD36" s="31">
        <f>SUM(AD29:AD35)</f>
        <v>0</v>
      </c>
      <c r="AE36" s="19">
        <f t="shared" si="7"/>
        <v>-107.2499138491944</v>
      </c>
      <c r="AF36" s="21">
        <f t="shared" si="8"/>
        <v>0.95531253589616905</v>
      </c>
      <c r="AG36" s="172"/>
    </row>
    <row r="37" spans="1:33" ht="15.75" customHeight="1">
      <c r="A37" s="191" t="s">
        <v>64</v>
      </c>
      <c r="B37" s="37" t="s">
        <v>100</v>
      </c>
      <c r="C37" s="165" t="s">
        <v>106</v>
      </c>
      <c r="D37" s="165"/>
      <c r="E37" s="37">
        <v>26.2</v>
      </c>
      <c r="F37" s="4">
        <v>6247</v>
      </c>
      <c r="G37" s="4">
        <v>163671.4</v>
      </c>
      <c r="H37" s="22" t="s">
        <v>139</v>
      </c>
      <c r="I37" s="16">
        <v>18</v>
      </c>
      <c r="J37" s="18">
        <v>2400</v>
      </c>
      <c r="K37" s="17">
        <f t="shared" si="0"/>
        <v>133.33333333333334</v>
      </c>
      <c r="L37" s="16">
        <v>18</v>
      </c>
      <c r="M37" s="18">
        <f t="shared" ref="M37:M41" si="22">F37/V37*60</f>
        <v>2285.4878048780492</v>
      </c>
      <c r="N37" s="17">
        <f t="shared" si="2"/>
        <v>126.97154471544718</v>
      </c>
      <c r="O37" s="19">
        <f t="shared" si="3"/>
        <v>0</v>
      </c>
      <c r="P37" s="20">
        <f t="shared" si="4"/>
        <v>-6.3617886178861625</v>
      </c>
      <c r="Q37" s="21">
        <f t="shared" si="5"/>
        <v>0.95228658536585375</v>
      </c>
      <c r="R37" s="172">
        <f>Q42</f>
        <v>0.95569568370586233</v>
      </c>
      <c r="S37" s="28">
        <v>0.125</v>
      </c>
      <c r="T37" s="28">
        <v>0.23888888888888887</v>
      </c>
      <c r="U37" s="4"/>
      <c r="V37" s="22">
        <f t="shared" ref="V37:V41" si="23">(T37-S37)*24*60</f>
        <v>163.99999999999997</v>
      </c>
      <c r="W37" s="28">
        <f>T37</f>
        <v>0.23888888888888887</v>
      </c>
      <c r="X37" s="28">
        <f>S38</f>
        <v>0.2583333333333333</v>
      </c>
      <c r="Y37" s="28"/>
      <c r="Z37" s="28"/>
      <c r="AA37" s="164"/>
      <c r="AB37" s="164"/>
      <c r="AC37" s="25">
        <v>5</v>
      </c>
      <c r="AD37" s="25"/>
      <c r="AE37" s="19">
        <f t="shared" si="7"/>
        <v>-114.51219512195075</v>
      </c>
      <c r="AF37" s="21">
        <f t="shared" si="8"/>
        <v>0.95228658536585387</v>
      </c>
      <c r="AG37" s="172">
        <f>AF42</f>
        <v>0.95569568370586244</v>
      </c>
    </row>
    <row r="38" spans="1:33" ht="15.75" customHeight="1">
      <c r="A38" s="191" t="s">
        <v>64</v>
      </c>
      <c r="B38" s="37" t="s">
        <v>100</v>
      </c>
      <c r="C38" s="165" t="s">
        <v>107</v>
      </c>
      <c r="D38" s="165"/>
      <c r="E38" s="37">
        <v>26.18</v>
      </c>
      <c r="F38" s="4">
        <v>2121</v>
      </c>
      <c r="G38" s="4">
        <v>55527.78</v>
      </c>
      <c r="H38" s="22" t="s">
        <v>139</v>
      </c>
      <c r="I38" s="16">
        <v>19</v>
      </c>
      <c r="J38" s="18">
        <v>2400</v>
      </c>
      <c r="K38" s="17">
        <f t="shared" si="0"/>
        <v>126.31578947368421</v>
      </c>
      <c r="L38" s="16">
        <v>19</v>
      </c>
      <c r="M38" s="18">
        <f t="shared" si="22"/>
        <v>2313.8181818181833</v>
      </c>
      <c r="N38" s="17">
        <f t="shared" si="2"/>
        <v>121.77990430622017</v>
      </c>
      <c r="O38" s="19">
        <f t="shared" si="3"/>
        <v>0</v>
      </c>
      <c r="P38" s="20">
        <f t="shared" si="4"/>
        <v>-4.5358851674640306</v>
      </c>
      <c r="Q38" s="21">
        <f t="shared" si="5"/>
        <v>0.96409090909090978</v>
      </c>
      <c r="R38" s="172"/>
      <c r="S38" s="28">
        <v>0.2583333333333333</v>
      </c>
      <c r="T38" s="28">
        <v>0.29652777777777772</v>
      </c>
      <c r="U38" s="4">
        <f t="shared" ref="U38:U41" si="24">(S38-T37)*24*60</f>
        <v>27.999999999999979</v>
      </c>
      <c r="V38" s="22">
        <f t="shared" si="23"/>
        <v>54.999999999999964</v>
      </c>
      <c r="W38" s="4"/>
      <c r="X38" s="4"/>
      <c r="Y38" s="4"/>
      <c r="Z38" s="4"/>
      <c r="AA38" s="164"/>
      <c r="AB38" s="164"/>
      <c r="AC38" s="25"/>
      <c r="AD38" s="25"/>
      <c r="AE38" s="19">
        <f t="shared" si="7"/>
        <v>-86.181818181816652</v>
      </c>
      <c r="AF38" s="21">
        <f t="shared" si="8"/>
        <v>0.96409090909090978</v>
      </c>
      <c r="AG38" s="172"/>
    </row>
    <row r="39" spans="1:33">
      <c r="A39" s="192" t="s">
        <v>64</v>
      </c>
      <c r="B39" s="37" t="s">
        <v>100</v>
      </c>
      <c r="C39" s="165" t="s">
        <v>108</v>
      </c>
      <c r="D39" s="165"/>
      <c r="E39" s="37">
        <v>26.39</v>
      </c>
      <c r="F39" s="4">
        <v>5677</v>
      </c>
      <c r="G39" s="4">
        <v>149816.03</v>
      </c>
      <c r="H39" s="22" t="s">
        <v>139</v>
      </c>
      <c r="I39" s="16">
        <v>19</v>
      </c>
      <c r="J39" s="18">
        <v>2400</v>
      </c>
      <c r="K39" s="17">
        <f t="shared" si="0"/>
        <v>126.31578947368421</v>
      </c>
      <c r="L39" s="16">
        <v>19</v>
      </c>
      <c r="M39" s="18">
        <f t="shared" si="22"/>
        <v>2286.0402684563755</v>
      </c>
      <c r="N39" s="17">
        <f t="shared" si="2"/>
        <v>120.31790886612502</v>
      </c>
      <c r="O39" s="19">
        <f t="shared" si="3"/>
        <v>0</v>
      </c>
      <c r="P39" s="20">
        <f t="shared" si="4"/>
        <v>-5.997880607559182</v>
      </c>
      <c r="Q39" s="21">
        <f t="shared" si="5"/>
        <v>0.95251677852348982</v>
      </c>
      <c r="R39" s="172"/>
      <c r="S39" s="28">
        <v>0.30138888888888882</v>
      </c>
      <c r="T39" s="28">
        <v>0.40486111111111106</v>
      </c>
      <c r="U39" s="4">
        <f t="shared" si="24"/>
        <v>6.9999999999999751</v>
      </c>
      <c r="V39" s="22">
        <f t="shared" si="23"/>
        <v>149.00000000000003</v>
      </c>
      <c r="W39" s="4"/>
      <c r="X39" s="4"/>
      <c r="Y39" s="4"/>
      <c r="Z39" s="4"/>
      <c r="AA39" s="164"/>
      <c r="AB39" s="164"/>
      <c r="AC39" s="25"/>
      <c r="AD39" s="25"/>
      <c r="AE39" s="19">
        <f t="shared" si="7"/>
        <v>-113.95973154362446</v>
      </c>
      <c r="AF39" s="21">
        <f t="shared" si="8"/>
        <v>0.95251677852348982</v>
      </c>
      <c r="AG39" s="172"/>
    </row>
    <row r="40" spans="1:33">
      <c r="A40" s="192" t="s">
        <v>64</v>
      </c>
      <c r="B40" s="37" t="s">
        <v>100</v>
      </c>
      <c r="C40" s="165" t="s">
        <v>137</v>
      </c>
      <c r="D40" s="165"/>
      <c r="E40" s="37">
        <v>20.21</v>
      </c>
      <c r="F40" s="4">
        <v>3092</v>
      </c>
      <c r="G40" s="4">
        <v>62489.32</v>
      </c>
      <c r="H40" s="22" t="s">
        <v>139</v>
      </c>
      <c r="I40" s="16">
        <v>16</v>
      </c>
      <c r="J40" s="18">
        <v>2400</v>
      </c>
      <c r="K40" s="17">
        <f t="shared" si="0"/>
        <v>150</v>
      </c>
      <c r="L40" s="16">
        <v>16</v>
      </c>
      <c r="M40" s="18">
        <f t="shared" si="22"/>
        <v>2290.3703703703695</v>
      </c>
      <c r="N40" s="17">
        <f t="shared" si="2"/>
        <v>143.1481481481481</v>
      </c>
      <c r="O40" s="19">
        <f t="shared" si="3"/>
        <v>0</v>
      </c>
      <c r="P40" s="20">
        <f t="shared" si="4"/>
        <v>-6.8518518518519045</v>
      </c>
      <c r="Q40" s="21">
        <f t="shared" si="5"/>
        <v>0.95432098765432061</v>
      </c>
      <c r="R40" s="172"/>
      <c r="S40" s="28">
        <v>0.4104166666666666</v>
      </c>
      <c r="T40" s="28">
        <v>0.46666666666666662</v>
      </c>
      <c r="U40" s="4">
        <f t="shared" si="24"/>
        <v>7.9999999999999716</v>
      </c>
      <c r="V40" s="22">
        <f t="shared" si="23"/>
        <v>81.000000000000028</v>
      </c>
      <c r="W40" s="23"/>
      <c r="X40" s="23"/>
      <c r="Y40" s="23"/>
      <c r="Z40" s="23"/>
      <c r="AA40" s="164"/>
      <c r="AB40" s="164"/>
      <c r="AC40" s="25"/>
      <c r="AD40" s="25"/>
      <c r="AE40" s="19">
        <f t="shared" si="7"/>
        <v>-109.62962962963047</v>
      </c>
      <c r="AF40" s="21">
        <f t="shared" si="8"/>
        <v>0.95432098765432061</v>
      </c>
      <c r="AG40" s="172"/>
    </row>
    <row r="41" spans="1:33">
      <c r="A41" s="192" t="s">
        <v>64</v>
      </c>
      <c r="B41" s="37" t="s">
        <v>100</v>
      </c>
      <c r="C41" s="165" t="s">
        <v>134</v>
      </c>
      <c r="D41" s="165"/>
      <c r="E41" s="37">
        <v>20.52</v>
      </c>
      <c r="F41" s="4">
        <v>2904</v>
      </c>
      <c r="G41" s="4">
        <v>59590.080000000002</v>
      </c>
      <c r="H41" s="22" t="s">
        <v>139</v>
      </c>
      <c r="I41" s="16">
        <v>18</v>
      </c>
      <c r="J41" s="18">
        <v>2400</v>
      </c>
      <c r="K41" s="17">
        <f t="shared" si="0"/>
        <v>133.33333333333334</v>
      </c>
      <c r="L41" s="16">
        <v>18</v>
      </c>
      <c r="M41" s="18">
        <f t="shared" si="22"/>
        <v>2292.6315789473692</v>
      </c>
      <c r="N41" s="17">
        <f t="shared" si="2"/>
        <v>127.36842105263162</v>
      </c>
      <c r="O41" s="19">
        <f t="shared" si="3"/>
        <v>0</v>
      </c>
      <c r="P41" s="20">
        <f t="shared" si="4"/>
        <v>-5.964912280701725</v>
      </c>
      <c r="Q41" s="21">
        <f t="shared" si="5"/>
        <v>0.95526315789473704</v>
      </c>
      <c r="R41" s="172"/>
      <c r="S41" s="28">
        <v>0.47152777777777771</v>
      </c>
      <c r="T41" s="28">
        <v>0.52430555555555547</v>
      </c>
      <c r="U41" s="4">
        <f t="shared" si="24"/>
        <v>6.9999999999999751</v>
      </c>
      <c r="V41" s="22">
        <f t="shared" si="23"/>
        <v>75.999999999999972</v>
      </c>
      <c r="W41" s="23"/>
      <c r="X41" s="23"/>
      <c r="Y41" s="23"/>
      <c r="Z41" s="23"/>
      <c r="AA41" s="164"/>
      <c r="AB41" s="164"/>
      <c r="AC41" s="25"/>
      <c r="AD41" s="25"/>
      <c r="AE41" s="19">
        <f t="shared" si="7"/>
        <v>-107.36842105263077</v>
      </c>
      <c r="AF41" s="21">
        <f t="shared" si="8"/>
        <v>0.95526315789473715</v>
      </c>
      <c r="AG41" s="172"/>
    </row>
    <row r="42" spans="1:33">
      <c r="A42" s="192" t="s">
        <v>64</v>
      </c>
      <c r="B42" s="17" t="s">
        <v>48</v>
      </c>
      <c r="C42" s="177"/>
      <c r="D42" s="177"/>
      <c r="E42" s="38"/>
      <c r="F42" s="17"/>
      <c r="G42" s="17"/>
      <c r="H42" s="4"/>
      <c r="I42" s="30">
        <v>18</v>
      </c>
      <c r="J42" s="18">
        <v>2400</v>
      </c>
      <c r="K42" s="17">
        <f t="shared" si="0"/>
        <v>133.33333333333334</v>
      </c>
      <c r="L42" s="30">
        <v>18</v>
      </c>
      <c r="M42" s="18">
        <f>AVERAGE(M37:M41)</f>
        <v>2293.6696408940697</v>
      </c>
      <c r="N42" s="17">
        <f t="shared" si="2"/>
        <v>127.42609116078165</v>
      </c>
      <c r="O42" s="19">
        <f t="shared" si="3"/>
        <v>0</v>
      </c>
      <c r="P42" s="20">
        <f t="shared" si="4"/>
        <v>-5.9072421725516904</v>
      </c>
      <c r="Q42" s="21">
        <f t="shared" si="5"/>
        <v>0.95569568370586233</v>
      </c>
      <c r="R42" s="172"/>
      <c r="S42" s="28"/>
      <c r="T42" s="28"/>
      <c r="U42" s="17"/>
      <c r="V42" s="22"/>
      <c r="W42" s="17"/>
      <c r="X42" s="17"/>
      <c r="Y42" s="31">
        <f>SUM(Y37:Y41)</f>
        <v>0</v>
      </c>
      <c r="Z42" s="31">
        <f>SUM(Z37:Z41)</f>
        <v>0</v>
      </c>
      <c r="AA42" s="168"/>
      <c r="AB42" s="168"/>
      <c r="AC42" s="31">
        <v>5</v>
      </c>
      <c r="AD42" s="31">
        <f>SUM(AD37:AD41)</f>
        <v>0</v>
      </c>
      <c r="AE42" s="19">
        <f t="shared" si="7"/>
        <v>-106.33035910593026</v>
      </c>
      <c r="AF42" s="21">
        <f t="shared" si="8"/>
        <v>0.95569568370586244</v>
      </c>
      <c r="AG42" s="172"/>
    </row>
    <row r="43" spans="1:33" ht="15.75" customHeight="1">
      <c r="A43" s="184" t="s">
        <v>67</v>
      </c>
      <c r="B43" s="37" t="s">
        <v>111</v>
      </c>
      <c r="C43" s="173" t="s">
        <v>403</v>
      </c>
      <c r="D43" s="174"/>
      <c r="E43" s="37">
        <v>34.36</v>
      </c>
      <c r="F43" s="4">
        <v>2335</v>
      </c>
      <c r="G43" s="4">
        <v>80230.600000000006</v>
      </c>
      <c r="H43" s="22" t="s">
        <v>139</v>
      </c>
      <c r="I43" s="16">
        <v>10</v>
      </c>
      <c r="J43" s="18">
        <v>3000</v>
      </c>
      <c r="K43" s="17">
        <f t="shared" si="0"/>
        <v>300</v>
      </c>
      <c r="L43" s="16">
        <v>10</v>
      </c>
      <c r="M43" s="18">
        <f t="shared" ref="M43:M52" si="25">F43/V43*60</f>
        <v>2859.1836734693889</v>
      </c>
      <c r="N43" s="18">
        <f t="shared" si="2"/>
        <v>285.91836734693891</v>
      </c>
      <c r="O43" s="19">
        <f t="shared" si="3"/>
        <v>0</v>
      </c>
      <c r="P43" s="20">
        <f t="shared" si="4"/>
        <v>-14.081632653061092</v>
      </c>
      <c r="Q43" s="21">
        <f t="shared" si="5"/>
        <v>0.95306122448979635</v>
      </c>
      <c r="R43" s="187">
        <f>Q53</f>
        <v>0.95690265113883866</v>
      </c>
      <c r="S43" s="28">
        <v>0.20833333333333334</v>
      </c>
      <c r="T43" s="28">
        <v>0.24236111111111111</v>
      </c>
      <c r="U43" s="28"/>
      <c r="V43" s="22">
        <f t="shared" ref="V43:V52" si="26">(T43-S43)*24*60</f>
        <v>48.999999999999986</v>
      </c>
      <c r="W43" s="23"/>
      <c r="X43" s="23"/>
      <c r="Y43" s="26"/>
      <c r="Z43" s="26"/>
      <c r="AA43" s="175"/>
      <c r="AB43" s="176"/>
      <c r="AC43" s="25">
        <v>10</v>
      </c>
      <c r="AD43" s="25"/>
      <c r="AE43" s="19">
        <f t="shared" si="7"/>
        <v>-140.81632653061115</v>
      </c>
      <c r="AF43" s="21">
        <f t="shared" si="8"/>
        <v>0.95306122448979624</v>
      </c>
      <c r="AG43" s="187">
        <f>AF53</f>
        <v>0.95690265113883866</v>
      </c>
    </row>
    <row r="44" spans="1:33" ht="15.75" customHeight="1">
      <c r="A44" s="185" t="s">
        <v>67</v>
      </c>
      <c r="B44" s="37" t="s">
        <v>111</v>
      </c>
      <c r="C44" s="173" t="s">
        <v>114</v>
      </c>
      <c r="D44" s="174"/>
      <c r="E44" s="37">
        <v>35.119999999999997</v>
      </c>
      <c r="F44" s="4">
        <v>3100</v>
      </c>
      <c r="G44" s="4">
        <v>108871.99999999999</v>
      </c>
      <c r="H44" s="22">
        <v>2</v>
      </c>
      <c r="I44" s="16">
        <v>10</v>
      </c>
      <c r="J44" s="18">
        <v>3000</v>
      </c>
      <c r="K44" s="17">
        <f t="shared" si="0"/>
        <v>300</v>
      </c>
      <c r="L44" s="16">
        <v>10</v>
      </c>
      <c r="M44" s="18">
        <f t="shared" si="25"/>
        <v>2861.538461538461</v>
      </c>
      <c r="N44" s="18">
        <f t="shared" si="2"/>
        <v>286.15384615384608</v>
      </c>
      <c r="O44" s="19">
        <f t="shared" si="3"/>
        <v>0</v>
      </c>
      <c r="P44" s="20">
        <f t="shared" si="4"/>
        <v>-13.846153846153925</v>
      </c>
      <c r="Q44" s="21">
        <f t="shared" si="5"/>
        <v>0.95384615384615357</v>
      </c>
      <c r="R44" s="188"/>
      <c r="S44" s="28">
        <v>0.24652777777777779</v>
      </c>
      <c r="T44" s="28">
        <v>0.29166666666666669</v>
      </c>
      <c r="U44" s="4">
        <f t="shared" ref="U44:U52" si="27">(S44-T43)*24*60</f>
        <v>6.0000000000000187</v>
      </c>
      <c r="V44" s="22">
        <f t="shared" si="26"/>
        <v>65.000000000000014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7"/>
        <v>-138.46153846153902</v>
      </c>
      <c r="AF44" s="21">
        <f t="shared" si="8"/>
        <v>0.95384615384615368</v>
      </c>
      <c r="AG44" s="188"/>
    </row>
    <row r="45" spans="1:33" ht="15.75" customHeight="1">
      <c r="A45" s="185" t="s">
        <v>67</v>
      </c>
      <c r="B45" s="37" t="s">
        <v>111</v>
      </c>
      <c r="C45" s="173" t="s">
        <v>115</v>
      </c>
      <c r="D45" s="174"/>
      <c r="E45" s="37">
        <v>26.78</v>
      </c>
      <c r="F45" s="4">
        <v>2584</v>
      </c>
      <c r="G45" s="4">
        <v>69199.520000000004</v>
      </c>
      <c r="H45" s="22" t="s">
        <v>139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2871.1111111111127</v>
      </c>
      <c r="N45" s="18">
        <f t="shared" si="2"/>
        <v>287.11111111111126</v>
      </c>
      <c r="O45" s="19">
        <f t="shared" si="3"/>
        <v>0</v>
      </c>
      <c r="P45" s="20">
        <f t="shared" si="4"/>
        <v>-12.888888888888744</v>
      </c>
      <c r="Q45" s="21">
        <f t="shared" si="5"/>
        <v>0.95703703703703757</v>
      </c>
      <c r="R45" s="188"/>
      <c r="S45" s="28">
        <v>0.29722222222222222</v>
      </c>
      <c r="T45" s="28">
        <v>0.3347222222222222</v>
      </c>
      <c r="U45" s="4">
        <f t="shared" si="27"/>
        <v>7.9999999999999716</v>
      </c>
      <c r="V45" s="22">
        <f t="shared" si="26"/>
        <v>53.999999999999972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7"/>
        <v>-128.88888888888732</v>
      </c>
      <c r="AF45" s="21">
        <f t="shared" si="8"/>
        <v>0.95703703703703757</v>
      </c>
      <c r="AG45" s="188"/>
    </row>
    <row r="46" spans="1:33" ht="15.75" customHeight="1">
      <c r="A46" s="185" t="s">
        <v>67</v>
      </c>
      <c r="B46" s="37" t="s">
        <v>111</v>
      </c>
      <c r="C46" s="173" t="s">
        <v>117</v>
      </c>
      <c r="D46" s="174"/>
      <c r="E46" s="37">
        <v>44.03</v>
      </c>
      <c r="F46" s="4">
        <v>1391</v>
      </c>
      <c r="G46" s="4">
        <v>61245.73</v>
      </c>
      <c r="H46" s="22" t="s">
        <v>139</v>
      </c>
      <c r="I46" s="16">
        <v>10</v>
      </c>
      <c r="J46" s="18">
        <v>3000</v>
      </c>
      <c r="K46" s="17">
        <f t="shared" si="0"/>
        <v>300</v>
      </c>
      <c r="L46" s="16">
        <v>10</v>
      </c>
      <c r="M46" s="18">
        <f t="shared" si="25"/>
        <v>2877.9310344827609</v>
      </c>
      <c r="N46" s="18">
        <f t="shared" si="2"/>
        <v>287.7931034482761</v>
      </c>
      <c r="O46" s="19">
        <f t="shared" si="3"/>
        <v>0</v>
      </c>
      <c r="P46" s="20">
        <f t="shared" si="4"/>
        <v>-12.206896551723901</v>
      </c>
      <c r="Q46" s="21">
        <f t="shared" si="5"/>
        <v>0.95931034482758704</v>
      </c>
      <c r="R46" s="188"/>
      <c r="S46" s="28">
        <v>0.33819444444444441</v>
      </c>
      <c r="T46" s="28">
        <v>0.35833333333333328</v>
      </c>
      <c r="U46" s="4">
        <f t="shared" si="27"/>
        <v>4.9999999999999822</v>
      </c>
      <c r="V46" s="22">
        <f t="shared" si="26"/>
        <v>28.999999999999979</v>
      </c>
      <c r="W46" s="23"/>
      <c r="X46" s="23"/>
      <c r="Y46" s="26"/>
      <c r="Z46" s="26"/>
      <c r="AA46" s="175"/>
      <c r="AB46" s="176"/>
      <c r="AC46" s="25"/>
      <c r="AD46" s="25"/>
      <c r="AE46" s="19">
        <f t="shared" si="7"/>
        <v>-122.06896551723912</v>
      </c>
      <c r="AF46" s="21">
        <f t="shared" si="8"/>
        <v>0.95931034482758692</v>
      </c>
      <c r="AG46" s="188"/>
    </row>
    <row r="47" spans="1:33" ht="15.75" customHeight="1">
      <c r="A47" s="185" t="s">
        <v>67</v>
      </c>
      <c r="B47" s="37" t="s">
        <v>111</v>
      </c>
      <c r="C47" s="173" t="s">
        <v>112</v>
      </c>
      <c r="D47" s="174"/>
      <c r="E47" s="37">
        <v>21.13</v>
      </c>
      <c r="F47" s="4">
        <v>3000</v>
      </c>
      <c r="G47" s="4">
        <v>63390</v>
      </c>
      <c r="H47" s="22">
        <v>2</v>
      </c>
      <c r="I47" s="16">
        <v>10</v>
      </c>
      <c r="J47" s="18">
        <v>3000</v>
      </c>
      <c r="K47" s="17">
        <f t="shared" si="0"/>
        <v>300</v>
      </c>
      <c r="L47" s="16">
        <v>10</v>
      </c>
      <c r="M47" s="18">
        <f t="shared" si="25"/>
        <v>2857.1428571428564</v>
      </c>
      <c r="N47" s="18">
        <f t="shared" si="2"/>
        <v>285.71428571428567</v>
      </c>
      <c r="O47" s="19">
        <f t="shared" si="3"/>
        <v>0</v>
      </c>
      <c r="P47" s="20">
        <f t="shared" si="4"/>
        <v>-14.285714285714334</v>
      </c>
      <c r="Q47" s="21">
        <f t="shared" si="5"/>
        <v>0.95238095238095222</v>
      </c>
      <c r="R47" s="188"/>
      <c r="S47" s="28">
        <v>0.36180555555555549</v>
      </c>
      <c r="T47" s="28">
        <v>0.4055555555555555</v>
      </c>
      <c r="U47" s="4">
        <f t="shared" si="27"/>
        <v>4.9999999999999822</v>
      </c>
      <c r="V47" s="22">
        <f t="shared" si="26"/>
        <v>63.000000000000014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7"/>
        <v>-142.85714285714357</v>
      </c>
      <c r="AF47" s="21">
        <f t="shared" si="8"/>
        <v>0.95238095238095211</v>
      </c>
      <c r="AG47" s="188"/>
    </row>
    <row r="48" spans="1:33" ht="15.75" customHeight="1">
      <c r="A48" s="185" t="s">
        <v>67</v>
      </c>
      <c r="B48" s="37" t="s">
        <v>111</v>
      </c>
      <c r="C48" s="173" t="s">
        <v>113</v>
      </c>
      <c r="D48" s="174"/>
      <c r="E48" s="37">
        <v>27.17</v>
      </c>
      <c r="F48" s="4">
        <v>3900</v>
      </c>
      <c r="G48" s="4">
        <v>105963</v>
      </c>
      <c r="H48" s="22">
        <v>2</v>
      </c>
      <c r="I48" s="16">
        <v>10</v>
      </c>
      <c r="J48" s="18">
        <v>3000</v>
      </c>
      <c r="K48" s="17">
        <f t="shared" si="0"/>
        <v>300</v>
      </c>
      <c r="L48" s="16">
        <v>10</v>
      </c>
      <c r="M48" s="18">
        <f t="shared" si="25"/>
        <v>2853.6585365853648</v>
      </c>
      <c r="N48" s="18">
        <f t="shared" si="2"/>
        <v>285.36585365853648</v>
      </c>
      <c r="O48" s="19">
        <f t="shared" si="3"/>
        <v>0</v>
      </c>
      <c r="P48" s="20">
        <f t="shared" si="4"/>
        <v>-14.63414634146352</v>
      </c>
      <c r="Q48" s="21">
        <f t="shared" si="5"/>
        <v>0.95121951219512157</v>
      </c>
      <c r="R48" s="188"/>
      <c r="S48" s="28">
        <v>0.40902777777777771</v>
      </c>
      <c r="T48" s="28">
        <v>0.46597222222222218</v>
      </c>
      <c r="U48" s="4">
        <f t="shared" si="27"/>
        <v>4.9999999999999822</v>
      </c>
      <c r="V48" s="22">
        <f t="shared" si="26"/>
        <v>82.000000000000028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7"/>
        <v>-146.3414634146352</v>
      </c>
      <c r="AF48" s="21">
        <f t="shared" si="8"/>
        <v>0.95121951219512157</v>
      </c>
      <c r="AG48" s="188"/>
    </row>
    <row r="49" spans="1:33" ht="15.75" customHeight="1">
      <c r="A49" s="185" t="s">
        <v>67</v>
      </c>
      <c r="B49" s="37" t="s">
        <v>111</v>
      </c>
      <c r="C49" s="173" t="s">
        <v>116</v>
      </c>
      <c r="D49" s="174"/>
      <c r="E49" s="37">
        <v>35.869999999999997</v>
      </c>
      <c r="F49" s="4">
        <v>3623</v>
      </c>
      <c r="G49" s="4">
        <v>129957.01</v>
      </c>
      <c r="H49" s="22" t="s">
        <v>139</v>
      </c>
      <c r="I49" s="16">
        <v>9</v>
      </c>
      <c r="J49" s="18">
        <v>3000</v>
      </c>
      <c r="K49" s="17">
        <f t="shared" si="0"/>
        <v>333.33333333333331</v>
      </c>
      <c r="L49" s="16">
        <v>9</v>
      </c>
      <c r="M49" s="18">
        <f t="shared" si="25"/>
        <v>2860.263157894738</v>
      </c>
      <c r="N49" s="18">
        <f t="shared" si="2"/>
        <v>317.80701754385979</v>
      </c>
      <c r="O49" s="19">
        <f t="shared" si="3"/>
        <v>0</v>
      </c>
      <c r="P49" s="20">
        <f t="shared" si="4"/>
        <v>-15.526315789473529</v>
      </c>
      <c r="Q49" s="21">
        <f t="shared" si="5"/>
        <v>0.95342105263157939</v>
      </c>
      <c r="R49" s="188"/>
      <c r="S49" s="28">
        <v>0.47013888888888883</v>
      </c>
      <c r="T49" s="28">
        <v>0.52291666666666659</v>
      </c>
      <c r="U49" s="4">
        <f t="shared" si="27"/>
        <v>5.9999999999999787</v>
      </c>
      <c r="V49" s="22">
        <f t="shared" si="26"/>
        <v>75.999999999999972</v>
      </c>
      <c r="W49" s="23">
        <f>T49</f>
        <v>0.52291666666666659</v>
      </c>
      <c r="X49" s="23">
        <f>S50</f>
        <v>0.56249999999999989</v>
      </c>
      <c r="Y49" s="26"/>
      <c r="Z49" s="26"/>
      <c r="AA49" s="175"/>
      <c r="AB49" s="176"/>
      <c r="AC49" s="25"/>
      <c r="AD49" s="25"/>
      <c r="AE49" s="19">
        <f t="shared" si="7"/>
        <v>-139.73684210526199</v>
      </c>
      <c r="AF49" s="21">
        <f t="shared" si="8"/>
        <v>0.95342105263157939</v>
      </c>
      <c r="AG49" s="188"/>
    </row>
    <row r="50" spans="1:33" ht="15.75" customHeight="1">
      <c r="A50" s="185" t="s">
        <v>67</v>
      </c>
      <c r="B50" s="37" t="s">
        <v>111</v>
      </c>
      <c r="C50" s="173" t="s">
        <v>113</v>
      </c>
      <c r="D50" s="174"/>
      <c r="E50" s="37">
        <v>27.17</v>
      </c>
      <c r="F50" s="4">
        <v>2981</v>
      </c>
      <c r="G50" s="4">
        <v>80993.77</v>
      </c>
      <c r="H50" s="22" t="s">
        <v>139</v>
      </c>
      <c r="I50" s="16">
        <v>10</v>
      </c>
      <c r="J50" s="18">
        <v>3000</v>
      </c>
      <c r="K50" s="17">
        <f t="shared" si="0"/>
        <v>300</v>
      </c>
      <c r="L50" s="16">
        <v>10</v>
      </c>
      <c r="M50" s="18">
        <f t="shared" si="25"/>
        <v>2884.8387096774222</v>
      </c>
      <c r="N50" s="18">
        <f t="shared" si="2"/>
        <v>288.48387096774223</v>
      </c>
      <c r="O50" s="19">
        <f t="shared" si="3"/>
        <v>0</v>
      </c>
      <c r="P50" s="20">
        <f t="shared" si="4"/>
        <v>-11.516129032257766</v>
      </c>
      <c r="Q50" s="21">
        <f t="shared" si="5"/>
        <v>0.9616129032258075</v>
      </c>
      <c r="R50" s="188"/>
      <c r="S50" s="28">
        <v>0.56249999999999989</v>
      </c>
      <c r="T50" s="28">
        <v>0.6055555555555554</v>
      </c>
      <c r="U50" s="4">
        <f t="shared" si="27"/>
        <v>56.999999999999957</v>
      </c>
      <c r="V50" s="22">
        <f t="shared" si="26"/>
        <v>61.999999999999943</v>
      </c>
      <c r="W50" s="23"/>
      <c r="X50" s="23"/>
      <c r="Y50" s="26"/>
      <c r="Z50" s="26"/>
      <c r="AA50" s="175"/>
      <c r="AB50" s="176"/>
      <c r="AC50" s="25"/>
      <c r="AD50" s="25"/>
      <c r="AE50" s="19">
        <f t="shared" si="7"/>
        <v>-115.16129032257777</v>
      </c>
      <c r="AF50" s="21">
        <f t="shared" si="8"/>
        <v>0.96161290322580739</v>
      </c>
      <c r="AG50" s="188"/>
    </row>
    <row r="51" spans="1:33" ht="15.75" customHeight="1">
      <c r="A51" s="185" t="s">
        <v>67</v>
      </c>
      <c r="B51" s="37" t="s">
        <v>111</v>
      </c>
      <c r="C51" s="173" t="s">
        <v>114</v>
      </c>
      <c r="D51" s="174"/>
      <c r="E51" s="37">
        <v>35.119999999999997</v>
      </c>
      <c r="F51" s="4">
        <v>2245</v>
      </c>
      <c r="G51" s="4">
        <v>78844.399999999994</v>
      </c>
      <c r="H51" s="22" t="s">
        <v>139</v>
      </c>
      <c r="I51" s="16">
        <v>10</v>
      </c>
      <c r="J51" s="18">
        <v>3000</v>
      </c>
      <c r="K51" s="17">
        <f t="shared" si="0"/>
        <v>300</v>
      </c>
      <c r="L51" s="16">
        <v>10</v>
      </c>
      <c r="M51" s="18">
        <f t="shared" si="25"/>
        <v>2865.9574468085111</v>
      </c>
      <c r="N51" s="18">
        <f t="shared" si="2"/>
        <v>286.59574468085111</v>
      </c>
      <c r="O51" s="19">
        <f t="shared" si="3"/>
        <v>0</v>
      </c>
      <c r="P51" s="20">
        <f t="shared" si="4"/>
        <v>-13.404255319148888</v>
      </c>
      <c r="Q51" s="21">
        <f t="shared" si="5"/>
        <v>0.95531914893617043</v>
      </c>
      <c r="R51" s="188"/>
      <c r="S51" s="28">
        <v>0.61111111111111094</v>
      </c>
      <c r="T51" s="28">
        <v>0.64374999999999982</v>
      </c>
      <c r="U51" s="4">
        <f t="shared" si="27"/>
        <v>7.9999999999999716</v>
      </c>
      <c r="V51" s="22">
        <f t="shared" si="26"/>
        <v>46.999999999999993</v>
      </c>
      <c r="W51" s="23"/>
      <c r="X51" s="23"/>
      <c r="Y51" s="26"/>
      <c r="Z51" s="26"/>
      <c r="AA51" s="175"/>
      <c r="AB51" s="176"/>
      <c r="AC51" s="25"/>
      <c r="AD51" s="25"/>
      <c r="AE51" s="19">
        <f t="shared" si="7"/>
        <v>-134.04255319148888</v>
      </c>
      <c r="AF51" s="21">
        <f t="shared" si="8"/>
        <v>0.95531914893617043</v>
      </c>
      <c r="AG51" s="188"/>
    </row>
    <row r="52" spans="1:33" ht="15.75" customHeight="1">
      <c r="A52" s="185" t="s">
        <v>67</v>
      </c>
      <c r="B52" s="37" t="s">
        <v>111</v>
      </c>
      <c r="C52" s="173" t="s">
        <v>112</v>
      </c>
      <c r="D52" s="174"/>
      <c r="E52" s="37">
        <v>21.13</v>
      </c>
      <c r="F52" s="4">
        <v>2138</v>
      </c>
      <c r="G52" s="4">
        <v>45175.939999999995</v>
      </c>
      <c r="H52" s="22" t="s">
        <v>139</v>
      </c>
      <c r="I52" s="16">
        <v>10</v>
      </c>
      <c r="J52" s="18">
        <v>3000</v>
      </c>
      <c r="K52" s="17">
        <f t="shared" si="0"/>
        <v>300</v>
      </c>
      <c r="L52" s="16">
        <v>10</v>
      </c>
      <c r="M52" s="18">
        <f t="shared" si="25"/>
        <v>2915.4545454545455</v>
      </c>
      <c r="N52" s="18">
        <f t="shared" si="2"/>
        <v>291.54545454545456</v>
      </c>
      <c r="O52" s="19">
        <f t="shared" si="3"/>
        <v>0</v>
      </c>
      <c r="P52" s="20">
        <f t="shared" si="4"/>
        <v>-8.454545454545439</v>
      </c>
      <c r="Q52" s="21">
        <f t="shared" si="5"/>
        <v>0.97181818181818191</v>
      </c>
      <c r="R52" s="188"/>
      <c r="S52" s="28">
        <v>0.64861111111111092</v>
      </c>
      <c r="T52" s="28">
        <v>0.67916666666666647</v>
      </c>
      <c r="U52" s="4">
        <f t="shared" si="27"/>
        <v>6.9999999999999751</v>
      </c>
      <c r="V52" s="22">
        <f t="shared" si="26"/>
        <v>44</v>
      </c>
      <c r="W52" s="23"/>
      <c r="X52" s="23"/>
      <c r="Y52" s="26"/>
      <c r="Z52" s="26"/>
      <c r="AA52" s="175"/>
      <c r="AB52" s="176"/>
      <c r="AC52" s="25"/>
      <c r="AD52" s="25"/>
      <c r="AE52" s="19">
        <f t="shared" si="7"/>
        <v>-84.545454545454504</v>
      </c>
      <c r="AF52" s="21">
        <f t="shared" si="8"/>
        <v>0.9718181818181818</v>
      </c>
      <c r="AG52" s="188"/>
    </row>
    <row r="53" spans="1:33" ht="15.75" customHeight="1">
      <c r="A53" s="186" t="s">
        <v>67</v>
      </c>
      <c r="B53" s="37" t="s">
        <v>48</v>
      </c>
      <c r="C53" s="166"/>
      <c r="D53" s="167"/>
      <c r="E53" s="41"/>
      <c r="F53" s="4"/>
      <c r="G53" s="4"/>
      <c r="H53" s="4"/>
      <c r="I53" s="30">
        <v>9.9</v>
      </c>
      <c r="J53" s="18">
        <v>3000</v>
      </c>
      <c r="K53" s="17">
        <f t="shared" si="0"/>
        <v>303.030303030303</v>
      </c>
      <c r="L53" s="30">
        <v>9.9</v>
      </c>
      <c r="M53" s="18">
        <f>AVERAGE(M43:M52)</f>
        <v>2870.7079534165159</v>
      </c>
      <c r="N53" s="17">
        <f t="shared" si="2"/>
        <v>289.97050034510261</v>
      </c>
      <c r="O53" s="19">
        <f t="shared" si="3"/>
        <v>0</v>
      </c>
      <c r="P53" s="20">
        <f t="shared" si="4"/>
        <v>-13.059802685200395</v>
      </c>
      <c r="Q53" s="21">
        <f t="shared" si="5"/>
        <v>0.95690265113883866</v>
      </c>
      <c r="R53" s="189"/>
      <c r="S53" s="28"/>
      <c r="T53" s="28"/>
      <c r="U53" s="4"/>
      <c r="V53" s="22"/>
      <c r="W53" s="23"/>
      <c r="X53" s="23"/>
      <c r="Y53" s="31">
        <f>SUM(Y43:Y52)</f>
        <v>0</v>
      </c>
      <c r="Z53" s="31">
        <f>SUM(Z43:Z52)</f>
        <v>0</v>
      </c>
      <c r="AA53" s="180"/>
      <c r="AB53" s="181"/>
      <c r="AC53" s="31">
        <v>10</v>
      </c>
      <c r="AD53" s="31">
        <f>SUM(AD43:AD52)</f>
        <v>0</v>
      </c>
      <c r="AE53" s="19">
        <f t="shared" si="7"/>
        <v>-129.29204658348408</v>
      </c>
      <c r="AF53" s="21">
        <f t="shared" si="8"/>
        <v>0.95690265113883866</v>
      </c>
      <c r="AG53" s="189"/>
    </row>
    <row r="54" spans="1:33" ht="15.75" customHeight="1">
      <c r="A54" s="182" t="s">
        <v>70</v>
      </c>
      <c r="B54" s="37" t="s">
        <v>84</v>
      </c>
      <c r="C54" s="165" t="s">
        <v>118</v>
      </c>
      <c r="D54" s="165"/>
      <c r="E54" s="37">
        <v>46</v>
      </c>
      <c r="F54" s="42">
        <v>1427</v>
      </c>
      <c r="G54" s="4">
        <v>65642</v>
      </c>
      <c r="H54" s="22" t="s">
        <v>139</v>
      </c>
      <c r="I54" s="16">
        <v>17</v>
      </c>
      <c r="J54" s="18">
        <v>2000</v>
      </c>
      <c r="K54" s="17">
        <f t="shared" si="0"/>
        <v>117.64705882352941</v>
      </c>
      <c r="L54" s="16">
        <v>17</v>
      </c>
      <c r="M54" s="18">
        <f t="shared" ref="M54:M63" si="28">F54/V54*60</f>
        <v>1945.9090909090908</v>
      </c>
      <c r="N54" s="18">
        <f t="shared" si="2"/>
        <v>114.46524064171122</v>
      </c>
      <c r="O54" s="19">
        <f t="shared" si="3"/>
        <v>0</v>
      </c>
      <c r="P54" s="20">
        <f t="shared" si="4"/>
        <v>-3.181818181818187</v>
      </c>
      <c r="Q54" s="21">
        <f t="shared" si="5"/>
        <v>0.97295454545454541</v>
      </c>
      <c r="R54" s="172">
        <f>Q64</f>
        <v>0.93164146837076678</v>
      </c>
      <c r="S54" s="28">
        <v>0.20833333333333334</v>
      </c>
      <c r="T54" s="28">
        <v>0.2388888888888889</v>
      </c>
      <c r="U54" s="28"/>
      <c r="V54" s="22">
        <f t="shared" ref="V54:V63" si="29">(T54-S54)*24*60</f>
        <v>44</v>
      </c>
      <c r="W54" s="28"/>
      <c r="X54" s="28"/>
      <c r="Y54" s="28"/>
      <c r="Z54" s="28"/>
      <c r="AA54" s="164"/>
      <c r="AB54" s="164"/>
      <c r="AC54" s="25">
        <v>10</v>
      </c>
      <c r="AD54" s="25"/>
      <c r="AE54" s="19">
        <f t="shared" si="7"/>
        <v>-54.090909090909236</v>
      </c>
      <c r="AF54" s="21">
        <f t="shared" si="8"/>
        <v>0.97295454545454541</v>
      </c>
      <c r="AG54" s="172">
        <f>AF64</f>
        <v>0.93164146837076667</v>
      </c>
    </row>
    <row r="55" spans="1:33" ht="15.75" customHeight="1">
      <c r="A55" s="182" t="s">
        <v>70</v>
      </c>
      <c r="B55" s="37" t="s">
        <v>84</v>
      </c>
      <c r="C55" s="165" t="s">
        <v>119</v>
      </c>
      <c r="D55" s="165"/>
      <c r="E55" s="37">
        <v>46</v>
      </c>
      <c r="F55" s="42">
        <v>1478</v>
      </c>
      <c r="G55" s="4">
        <v>67988</v>
      </c>
      <c r="H55" s="22" t="s">
        <v>139</v>
      </c>
      <c r="I55" s="16">
        <v>17</v>
      </c>
      <c r="J55" s="18">
        <v>2000</v>
      </c>
      <c r="K55" s="17">
        <f t="shared" si="0"/>
        <v>117.64705882352941</v>
      </c>
      <c r="L55" s="16">
        <v>17</v>
      </c>
      <c r="M55" s="18">
        <f t="shared" si="28"/>
        <v>1927.8260869565217</v>
      </c>
      <c r="N55" s="18">
        <f t="shared" si="2"/>
        <v>113.40153452685422</v>
      </c>
      <c r="O55" s="19">
        <f t="shared" si="3"/>
        <v>0</v>
      </c>
      <c r="P55" s="20">
        <f t="shared" si="4"/>
        <v>-4.2455242966751854</v>
      </c>
      <c r="Q55" s="21">
        <f t="shared" si="5"/>
        <v>0.9639130434782609</v>
      </c>
      <c r="R55" s="172"/>
      <c r="S55" s="28">
        <v>0.24444444444444446</v>
      </c>
      <c r="T55" s="28">
        <v>0.27638888888888891</v>
      </c>
      <c r="U55" s="4">
        <f t="shared" ref="U55:U63" si="30">IF(S55=TIME(17,0,0),"",(S55-T54)*24*60)</f>
        <v>8.0000000000000107</v>
      </c>
      <c r="V55" s="22">
        <f t="shared" si="29"/>
        <v>46</v>
      </c>
      <c r="W55" s="23"/>
      <c r="X55" s="23"/>
      <c r="Y55" s="23"/>
      <c r="Z55" s="23"/>
      <c r="AA55" s="164"/>
      <c r="AB55" s="164"/>
      <c r="AC55" s="25"/>
      <c r="AD55" s="25"/>
      <c r="AE55" s="19">
        <f t="shared" si="7"/>
        <v>-72.173913043478251</v>
      </c>
      <c r="AF55" s="21">
        <f t="shared" si="8"/>
        <v>0.9639130434782609</v>
      </c>
      <c r="AG55" s="172"/>
    </row>
    <row r="56" spans="1:33" ht="15.75" customHeight="1">
      <c r="A56" s="182" t="s">
        <v>70</v>
      </c>
      <c r="B56" s="37" t="s">
        <v>78</v>
      </c>
      <c r="C56" s="173" t="s">
        <v>120</v>
      </c>
      <c r="D56" s="174"/>
      <c r="E56" s="37">
        <v>56.43</v>
      </c>
      <c r="F56" s="42">
        <v>1883</v>
      </c>
      <c r="G56" s="4">
        <v>106257.69</v>
      </c>
      <c r="H56" s="22" t="s">
        <v>139</v>
      </c>
      <c r="I56" s="16">
        <v>22</v>
      </c>
      <c r="J56" s="18">
        <v>2000</v>
      </c>
      <c r="K56" s="17">
        <f t="shared" si="0"/>
        <v>90.909090909090907</v>
      </c>
      <c r="L56" s="16">
        <v>22</v>
      </c>
      <c r="M56" s="18">
        <f t="shared" si="28"/>
        <v>1711.818181818182</v>
      </c>
      <c r="N56" s="18">
        <f t="shared" si="2"/>
        <v>77.809917355371908</v>
      </c>
      <c r="O56" s="19">
        <f t="shared" si="3"/>
        <v>0</v>
      </c>
      <c r="P56" s="20">
        <f t="shared" si="4"/>
        <v>-13.099173553718998</v>
      </c>
      <c r="Q56" s="21">
        <f t="shared" si="5"/>
        <v>0.85590909090909106</v>
      </c>
      <c r="R56" s="172"/>
      <c r="S56" s="28">
        <v>0.28055555555555556</v>
      </c>
      <c r="T56" s="28">
        <v>0.3263888888888889</v>
      </c>
      <c r="U56" s="4">
        <f t="shared" si="30"/>
        <v>5.9999999999999787</v>
      </c>
      <c r="V56" s="22">
        <f t="shared" si="29"/>
        <v>66</v>
      </c>
      <c r="W56" s="23"/>
      <c r="X56" s="23"/>
      <c r="Y56" s="26"/>
      <c r="Z56" s="26"/>
      <c r="AA56" s="164"/>
      <c r="AB56" s="164"/>
      <c r="AC56" s="25"/>
      <c r="AD56" s="25"/>
      <c r="AE56" s="19">
        <f t="shared" si="7"/>
        <v>-288.18181818181802</v>
      </c>
      <c r="AF56" s="21">
        <f t="shared" si="8"/>
        <v>0.85590909090909095</v>
      </c>
      <c r="AG56" s="172"/>
    </row>
    <row r="57" spans="1:33" ht="15.75" customHeight="1">
      <c r="A57" s="182" t="s">
        <v>70</v>
      </c>
      <c r="B57" s="37" t="s">
        <v>78</v>
      </c>
      <c r="C57" s="43" t="s">
        <v>121</v>
      </c>
      <c r="D57" s="44"/>
      <c r="E57" s="37">
        <v>51.75</v>
      </c>
      <c r="F57" s="42">
        <v>1636</v>
      </c>
      <c r="G57" s="4">
        <v>84663</v>
      </c>
      <c r="H57" s="22" t="s">
        <v>139</v>
      </c>
      <c r="I57" s="16">
        <v>25</v>
      </c>
      <c r="J57" s="18">
        <v>2000</v>
      </c>
      <c r="K57" s="17">
        <f t="shared" si="0"/>
        <v>80</v>
      </c>
      <c r="L57" s="16">
        <v>25</v>
      </c>
      <c r="M57" s="18">
        <f t="shared" si="28"/>
        <v>1663.7288135593212</v>
      </c>
      <c r="N57" s="18">
        <f t="shared" si="2"/>
        <v>66.549152542372852</v>
      </c>
      <c r="O57" s="19">
        <f t="shared" si="3"/>
        <v>0</v>
      </c>
      <c r="P57" s="20">
        <f t="shared" si="4"/>
        <v>-13.450847457627148</v>
      </c>
      <c r="Q57" s="21">
        <f t="shared" si="5"/>
        <v>0.83186440677966067</v>
      </c>
      <c r="R57" s="172"/>
      <c r="S57" s="28">
        <v>0.33194444444444443</v>
      </c>
      <c r="T57" s="28">
        <v>0.37291666666666667</v>
      </c>
      <c r="U57" s="4">
        <f t="shared" si="30"/>
        <v>7.9999999999999716</v>
      </c>
      <c r="V57" s="22">
        <f t="shared" si="29"/>
        <v>59.000000000000028</v>
      </c>
      <c r="W57" s="23"/>
      <c r="X57" s="23"/>
      <c r="Y57" s="26"/>
      <c r="Z57" s="26"/>
      <c r="AA57" s="164"/>
      <c r="AB57" s="164"/>
      <c r="AC57" s="25"/>
      <c r="AD57" s="25"/>
      <c r="AE57" s="19">
        <f t="shared" si="7"/>
        <v>-336.27118644067878</v>
      </c>
      <c r="AF57" s="21">
        <f t="shared" si="8"/>
        <v>0.83186440677966056</v>
      </c>
      <c r="AG57" s="172"/>
    </row>
    <row r="58" spans="1:33" ht="15.75" customHeight="1">
      <c r="A58" s="182" t="s">
        <v>70</v>
      </c>
      <c r="B58" s="37" t="s">
        <v>78</v>
      </c>
      <c r="C58" s="43" t="s">
        <v>122</v>
      </c>
      <c r="D58" s="44"/>
      <c r="E58" s="37">
        <v>54.09</v>
      </c>
      <c r="F58" s="42">
        <v>1528</v>
      </c>
      <c r="G58" s="4">
        <v>82649.52</v>
      </c>
      <c r="H58" s="22" t="s">
        <v>139</v>
      </c>
      <c r="I58" s="16">
        <v>19</v>
      </c>
      <c r="J58" s="18">
        <v>2000</v>
      </c>
      <c r="K58" s="17">
        <f t="shared" si="0"/>
        <v>105.26315789473684</v>
      </c>
      <c r="L58" s="16">
        <v>19</v>
      </c>
      <c r="M58" s="18">
        <f t="shared" si="28"/>
        <v>1833.6000000000006</v>
      </c>
      <c r="N58" s="18">
        <f t="shared" si="2"/>
        <v>96.505263157894774</v>
      </c>
      <c r="O58" s="19">
        <f t="shared" si="3"/>
        <v>0</v>
      </c>
      <c r="P58" s="20">
        <f t="shared" si="4"/>
        <v>-8.7578947368420614</v>
      </c>
      <c r="Q58" s="21">
        <f t="shared" si="5"/>
        <v>0.91680000000000039</v>
      </c>
      <c r="R58" s="172"/>
      <c r="S58" s="28">
        <v>0.37777777777777777</v>
      </c>
      <c r="T58" s="28">
        <v>0.41249999999999998</v>
      </c>
      <c r="U58" s="4">
        <f t="shared" si="30"/>
        <v>6.9999999999999751</v>
      </c>
      <c r="V58" s="22">
        <f t="shared" si="29"/>
        <v>49.999999999999986</v>
      </c>
      <c r="W58" s="23"/>
      <c r="X58" s="23"/>
      <c r="Y58" s="26"/>
      <c r="Z58" s="26"/>
      <c r="AA58" s="164"/>
      <c r="AB58" s="164"/>
      <c r="AC58" s="25"/>
      <c r="AD58" s="25"/>
      <c r="AE58" s="19">
        <f t="shared" si="7"/>
        <v>-166.39999999999941</v>
      </c>
      <c r="AF58" s="21">
        <f t="shared" si="8"/>
        <v>0.91680000000000028</v>
      </c>
      <c r="AG58" s="172"/>
    </row>
    <row r="59" spans="1:33" ht="15.75" customHeight="1">
      <c r="A59" s="182" t="s">
        <v>70</v>
      </c>
      <c r="B59" s="37" t="s">
        <v>78</v>
      </c>
      <c r="C59" s="173" t="s">
        <v>123</v>
      </c>
      <c r="D59" s="174"/>
      <c r="E59" s="37">
        <v>55.56</v>
      </c>
      <c r="F59" s="42">
        <v>1936</v>
      </c>
      <c r="G59" s="4">
        <v>107564.16</v>
      </c>
      <c r="H59" s="22" t="s">
        <v>139</v>
      </c>
      <c r="I59" s="16">
        <v>17</v>
      </c>
      <c r="J59" s="18">
        <v>2000</v>
      </c>
      <c r="K59" s="17">
        <f t="shared" si="0"/>
        <v>117.64705882352941</v>
      </c>
      <c r="L59" s="16">
        <v>17</v>
      </c>
      <c r="M59" s="18">
        <f t="shared" si="28"/>
        <v>1904.2622950819689</v>
      </c>
      <c r="N59" s="18">
        <f t="shared" si="2"/>
        <v>112.01542912246876</v>
      </c>
      <c r="O59" s="19">
        <f t="shared" si="3"/>
        <v>0</v>
      </c>
      <c r="P59" s="20">
        <f t="shared" si="4"/>
        <v>-5.6316297010606462</v>
      </c>
      <c r="Q59" s="21">
        <f t="shared" si="5"/>
        <v>0.95213114754098449</v>
      </c>
      <c r="R59" s="172"/>
      <c r="S59" s="28">
        <v>0.70833333333333337</v>
      </c>
      <c r="T59" s="28">
        <v>0.75069444444444444</v>
      </c>
      <c r="U59" s="4" t="str">
        <f t="shared" si="30"/>
        <v/>
      </c>
      <c r="V59" s="22">
        <f t="shared" si="29"/>
        <v>60.999999999999943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7"/>
        <v>-95.737704918031113</v>
      </c>
      <c r="AF59" s="21">
        <f t="shared" si="8"/>
        <v>0.95213114754098449</v>
      </c>
      <c r="AG59" s="172"/>
    </row>
    <row r="60" spans="1:33" ht="15.75" customHeight="1">
      <c r="A60" s="182" t="s">
        <v>70</v>
      </c>
      <c r="B60" s="37" t="s">
        <v>78</v>
      </c>
      <c r="C60" s="173" t="s">
        <v>124</v>
      </c>
      <c r="D60" s="174"/>
      <c r="E60" s="37">
        <v>55.32</v>
      </c>
      <c r="F60" s="42">
        <v>1371</v>
      </c>
      <c r="G60" s="4">
        <v>75843.72</v>
      </c>
      <c r="H60" s="22" t="s">
        <v>139</v>
      </c>
      <c r="I60" s="16">
        <v>15</v>
      </c>
      <c r="J60" s="18">
        <v>2000</v>
      </c>
      <c r="K60" s="17">
        <f t="shared" si="0"/>
        <v>133.33333333333334</v>
      </c>
      <c r="L60" s="16">
        <v>15</v>
      </c>
      <c r="M60" s="18">
        <f t="shared" si="28"/>
        <v>1913.0232558139533</v>
      </c>
      <c r="N60" s="18">
        <f t="shared" si="2"/>
        <v>127.53488372093021</v>
      </c>
      <c r="O60" s="19">
        <f t="shared" si="3"/>
        <v>0</v>
      </c>
      <c r="P60" s="20">
        <f t="shared" si="4"/>
        <v>-5.7984496124031324</v>
      </c>
      <c r="Q60" s="21">
        <f t="shared" si="5"/>
        <v>0.95651162790697652</v>
      </c>
      <c r="R60" s="172"/>
      <c r="S60" s="28">
        <v>0.75486111111111109</v>
      </c>
      <c r="T60" s="28">
        <v>0.78472222222222221</v>
      </c>
      <c r="U60" s="4">
        <f t="shared" si="30"/>
        <v>5.9999999999999787</v>
      </c>
      <c r="V60" s="22">
        <f t="shared" si="29"/>
        <v>43.000000000000007</v>
      </c>
      <c r="W60" s="23"/>
      <c r="X60" s="23"/>
      <c r="Y60" s="26"/>
      <c r="Z60" s="26"/>
      <c r="AA60" s="175"/>
      <c r="AB60" s="176"/>
      <c r="AC60" s="25"/>
      <c r="AD60" s="25"/>
      <c r="AE60" s="19">
        <f t="shared" si="7"/>
        <v>-86.976744186046744</v>
      </c>
      <c r="AF60" s="21">
        <f t="shared" si="8"/>
        <v>0.95651162790697664</v>
      </c>
      <c r="AG60" s="172"/>
    </row>
    <row r="61" spans="1:33" ht="15.75" customHeight="1">
      <c r="A61" s="182" t="s">
        <v>70</v>
      </c>
      <c r="B61" s="37" t="s">
        <v>78</v>
      </c>
      <c r="C61" s="173" t="s">
        <v>125</v>
      </c>
      <c r="D61" s="174"/>
      <c r="E61" s="37">
        <v>54.29</v>
      </c>
      <c r="F61" s="42">
        <v>700</v>
      </c>
      <c r="G61" s="4">
        <v>38003</v>
      </c>
      <c r="H61" s="22">
        <v>2</v>
      </c>
      <c r="I61" s="16">
        <v>20</v>
      </c>
      <c r="J61" s="18">
        <v>2000</v>
      </c>
      <c r="K61" s="17">
        <f t="shared" si="0"/>
        <v>100</v>
      </c>
      <c r="L61" s="16">
        <v>20</v>
      </c>
      <c r="M61" s="18">
        <f t="shared" si="28"/>
        <v>1909.0909090909158</v>
      </c>
      <c r="N61" s="18">
        <f t="shared" si="2"/>
        <v>95.454545454545794</v>
      </c>
      <c r="O61" s="19">
        <f t="shared" si="3"/>
        <v>0</v>
      </c>
      <c r="P61" s="20">
        <f t="shared" si="4"/>
        <v>-4.5454545454542057</v>
      </c>
      <c r="Q61" s="21">
        <f t="shared" si="5"/>
        <v>0.95454545454545792</v>
      </c>
      <c r="R61" s="172"/>
      <c r="S61" s="28">
        <v>0.7895833333333333</v>
      </c>
      <c r="T61" s="28">
        <v>0.80486111111111103</v>
      </c>
      <c r="U61" s="4">
        <f t="shared" si="30"/>
        <v>6.9999999999999751</v>
      </c>
      <c r="V61" s="22">
        <f t="shared" si="29"/>
        <v>21.999999999999922</v>
      </c>
      <c r="W61" s="23"/>
      <c r="X61" s="23"/>
      <c r="Y61" s="26"/>
      <c r="Z61" s="26"/>
      <c r="AA61" s="175"/>
      <c r="AB61" s="176"/>
      <c r="AC61" s="25"/>
      <c r="AD61" s="25"/>
      <c r="AE61" s="19">
        <f t="shared" si="7"/>
        <v>-90.909090909084171</v>
      </c>
      <c r="AF61" s="21">
        <f t="shared" si="8"/>
        <v>0.95454545454545792</v>
      </c>
      <c r="AG61" s="172"/>
    </row>
    <row r="62" spans="1:33">
      <c r="A62" s="182" t="s">
        <v>70</v>
      </c>
      <c r="B62" s="37" t="s">
        <v>78</v>
      </c>
      <c r="C62" s="173" t="s">
        <v>126</v>
      </c>
      <c r="D62" s="174"/>
      <c r="E62" s="37">
        <v>57.73</v>
      </c>
      <c r="F62" s="42">
        <v>1155</v>
      </c>
      <c r="G62" s="4">
        <v>66678.149999999994</v>
      </c>
      <c r="H62" s="22" t="s">
        <v>139</v>
      </c>
      <c r="I62" s="16">
        <v>16</v>
      </c>
      <c r="J62" s="18">
        <v>1500</v>
      </c>
      <c r="K62" s="17">
        <f t="shared" si="0"/>
        <v>93.75</v>
      </c>
      <c r="L62" s="16">
        <v>16</v>
      </c>
      <c r="M62" s="18">
        <f t="shared" si="28"/>
        <v>1443.7500000000005</v>
      </c>
      <c r="N62" s="18">
        <f t="shared" si="2"/>
        <v>90.234375000000028</v>
      </c>
      <c r="O62" s="19">
        <f t="shared" si="3"/>
        <v>0</v>
      </c>
      <c r="P62" s="20">
        <f t="shared" si="4"/>
        <v>-3.5156249999999716</v>
      </c>
      <c r="Q62" s="21">
        <f t="shared" si="5"/>
        <v>0.96250000000000036</v>
      </c>
      <c r="R62" s="172"/>
      <c r="S62" s="28">
        <v>0.81041666666666656</v>
      </c>
      <c r="T62" s="28">
        <v>0.84374999999999989</v>
      </c>
      <c r="U62" s="4">
        <f t="shared" si="30"/>
        <v>7.9999999999999716</v>
      </c>
      <c r="V62" s="22">
        <f t="shared" si="29"/>
        <v>47.999999999999986</v>
      </c>
      <c r="W62" s="23">
        <f>T62</f>
        <v>0.84374999999999989</v>
      </c>
      <c r="X62" s="23">
        <f>S63</f>
        <v>0.88333333333333319</v>
      </c>
      <c r="Y62" s="26"/>
      <c r="Z62" s="26"/>
      <c r="AA62" s="175"/>
      <c r="AB62" s="176"/>
      <c r="AC62" s="25"/>
      <c r="AD62" s="25"/>
      <c r="AE62" s="19">
        <f t="shared" si="7"/>
        <v>-56.249999999999545</v>
      </c>
      <c r="AF62" s="21">
        <f t="shared" si="8"/>
        <v>0.96250000000000036</v>
      </c>
      <c r="AG62" s="172"/>
    </row>
    <row r="63" spans="1:33">
      <c r="A63" s="182" t="s">
        <v>70</v>
      </c>
      <c r="B63" s="37" t="s">
        <v>78</v>
      </c>
      <c r="C63" s="173" t="s">
        <v>125</v>
      </c>
      <c r="D63" s="174"/>
      <c r="E63" s="37">
        <v>54.29</v>
      </c>
      <c r="F63" s="42">
        <v>957</v>
      </c>
      <c r="G63" s="4">
        <v>51955.53</v>
      </c>
      <c r="H63" s="22" t="s">
        <v>139</v>
      </c>
      <c r="I63" s="16">
        <v>20</v>
      </c>
      <c r="J63" s="18">
        <v>2000</v>
      </c>
      <c r="K63" s="17">
        <f t="shared" si="0"/>
        <v>100</v>
      </c>
      <c r="L63" s="16">
        <v>20</v>
      </c>
      <c r="M63" s="18">
        <f t="shared" si="28"/>
        <v>1913.9999999999966</v>
      </c>
      <c r="N63" s="18">
        <f t="shared" si="2"/>
        <v>95.699999999999832</v>
      </c>
      <c r="O63" s="19">
        <f t="shared" si="3"/>
        <v>0</v>
      </c>
      <c r="P63" s="20">
        <f t="shared" si="4"/>
        <v>-4.3000000000001677</v>
      </c>
      <c r="Q63" s="21">
        <f t="shared" si="5"/>
        <v>0.9569999999999983</v>
      </c>
      <c r="R63" s="172"/>
      <c r="S63" s="28">
        <v>0.88333333333333319</v>
      </c>
      <c r="T63" s="28">
        <v>0.90416666666666656</v>
      </c>
      <c r="U63" s="4">
        <f t="shared" si="30"/>
        <v>56.999999999999957</v>
      </c>
      <c r="V63" s="22">
        <f t="shared" si="29"/>
        <v>30.000000000000053</v>
      </c>
      <c r="W63" s="23"/>
      <c r="X63" s="23"/>
      <c r="Y63" s="26"/>
      <c r="Z63" s="26"/>
      <c r="AA63" s="175"/>
      <c r="AB63" s="176"/>
      <c r="AC63" s="25"/>
      <c r="AD63" s="25"/>
      <c r="AE63" s="19">
        <f t="shared" si="7"/>
        <v>-86.000000000003411</v>
      </c>
      <c r="AF63" s="21">
        <f t="shared" si="8"/>
        <v>0.9569999999999983</v>
      </c>
      <c r="AG63" s="172"/>
    </row>
    <row r="64" spans="1:33">
      <c r="A64" s="183" t="s">
        <v>70</v>
      </c>
      <c r="B64" s="37" t="s">
        <v>48</v>
      </c>
      <c r="C64" s="177"/>
      <c r="D64" s="177"/>
      <c r="E64" s="38"/>
      <c r="F64" s="17"/>
      <c r="G64" s="17"/>
      <c r="H64" s="4"/>
      <c r="I64" s="30">
        <v>18.8</v>
      </c>
      <c r="J64" s="18">
        <v>1950</v>
      </c>
      <c r="K64" s="17">
        <f t="shared" si="0"/>
        <v>103.72340425531914</v>
      </c>
      <c r="L64" s="30">
        <v>18.8</v>
      </c>
      <c r="M64" s="18">
        <f>AVERAGE(M54:M63)</f>
        <v>1816.700863322995</v>
      </c>
      <c r="N64" s="17">
        <f t="shared" si="2"/>
        <v>96.633024644840162</v>
      </c>
      <c r="O64" s="19">
        <f t="shared" si="3"/>
        <v>0</v>
      </c>
      <c r="P64" s="20">
        <f t="shared" si="4"/>
        <v>-7.0903796104789762</v>
      </c>
      <c r="Q64" s="21">
        <f t="shared" si="5"/>
        <v>0.93164146837076678</v>
      </c>
      <c r="R64" s="172"/>
      <c r="S64" s="28"/>
      <c r="T64" s="28"/>
      <c r="U64" s="4"/>
      <c r="V64" s="22"/>
      <c r="W64" s="17"/>
      <c r="X64" s="17"/>
      <c r="Y64" s="31">
        <f>SUM(Y54:Y63)</f>
        <v>0</v>
      </c>
      <c r="Z64" s="31">
        <f>SUM(Z54:Z63)</f>
        <v>0</v>
      </c>
      <c r="AA64" s="168"/>
      <c r="AB64" s="168"/>
      <c r="AC64" s="31">
        <v>10</v>
      </c>
      <c r="AD64" s="31">
        <f>SUM(AD54:AD63)</f>
        <v>0</v>
      </c>
      <c r="AE64" s="19">
        <f>M64-J64</f>
        <v>-133.29913667700498</v>
      </c>
      <c r="AF64" s="21">
        <f t="shared" si="8"/>
        <v>0.93164146837076667</v>
      </c>
      <c r="AG64" s="172"/>
    </row>
    <row r="65" spans="1:33" ht="15.75" customHeight="1">
      <c r="A65" s="178" t="s">
        <v>73</v>
      </c>
      <c r="B65" s="4" t="s">
        <v>84</v>
      </c>
      <c r="C65" s="165" t="s">
        <v>127</v>
      </c>
      <c r="D65" s="165"/>
      <c r="E65" s="37">
        <v>26.97</v>
      </c>
      <c r="F65" s="42">
        <v>2193</v>
      </c>
      <c r="G65" s="4">
        <v>59145.21</v>
      </c>
      <c r="H65" s="22" t="s">
        <v>139</v>
      </c>
      <c r="I65" s="16">
        <v>8</v>
      </c>
      <c r="J65" s="18">
        <v>1500</v>
      </c>
      <c r="K65" s="17">
        <f t="shared" si="0"/>
        <v>187.5</v>
      </c>
      <c r="L65" s="16">
        <v>8</v>
      </c>
      <c r="M65" s="18">
        <f t="shared" ref="M65:M69" si="31">F65/V65*60</f>
        <v>1430.2173913043473</v>
      </c>
      <c r="N65" s="17">
        <f t="shared" si="2"/>
        <v>178.77717391304341</v>
      </c>
      <c r="O65" s="19">
        <f t="shared" si="3"/>
        <v>0</v>
      </c>
      <c r="P65" s="20">
        <f t="shared" si="4"/>
        <v>-8.7228260869565872</v>
      </c>
      <c r="Q65" s="21">
        <f t="shared" si="5"/>
        <v>0.95347826086956489</v>
      </c>
      <c r="R65" s="172">
        <f>Q70</f>
        <v>0.96398409948013974</v>
      </c>
      <c r="S65" s="28">
        <v>0.20833333333333334</v>
      </c>
      <c r="T65" s="28">
        <v>0.27222222222222225</v>
      </c>
      <c r="U65" s="4"/>
      <c r="V65" s="22">
        <f t="shared" ref="V65:V69" si="32">(T65-S65)*24*60</f>
        <v>92.000000000000028</v>
      </c>
      <c r="W65" s="28"/>
      <c r="X65" s="28"/>
      <c r="Y65" s="28"/>
      <c r="Z65" s="28"/>
      <c r="AA65" s="164"/>
      <c r="AB65" s="164"/>
      <c r="AC65" s="25">
        <v>5</v>
      </c>
      <c r="AD65" s="25"/>
      <c r="AE65" s="19">
        <f t="shared" ref="AE65:AE77" si="33">M65-J65</f>
        <v>-69.782608695652698</v>
      </c>
      <c r="AF65" s="21">
        <f t="shared" si="8"/>
        <v>0.95347826086956489</v>
      </c>
      <c r="AG65" s="172">
        <f>AF70</f>
        <v>0.96398409948013974</v>
      </c>
    </row>
    <row r="66" spans="1:33" ht="15.75" customHeight="1">
      <c r="A66" s="178" t="s">
        <v>73</v>
      </c>
      <c r="B66" s="4" t="s">
        <v>84</v>
      </c>
      <c r="C66" s="165" t="s">
        <v>128</v>
      </c>
      <c r="D66" s="165"/>
      <c r="E66" s="37">
        <v>27.4</v>
      </c>
      <c r="F66" s="42">
        <v>1357</v>
      </c>
      <c r="G66" s="4">
        <v>37181.799999999996</v>
      </c>
      <c r="H66" s="22" t="s">
        <v>139</v>
      </c>
      <c r="I66" s="16">
        <v>10</v>
      </c>
      <c r="J66" s="18">
        <v>1500</v>
      </c>
      <c r="K66" s="17">
        <f t="shared" si="0"/>
        <v>150</v>
      </c>
      <c r="L66" s="16">
        <v>10</v>
      </c>
      <c r="M66" s="18">
        <f t="shared" si="31"/>
        <v>1428.4210526315801</v>
      </c>
      <c r="N66" s="17">
        <f t="shared" si="2"/>
        <v>142.842105263158</v>
      </c>
      <c r="O66" s="19">
        <f t="shared" si="3"/>
        <v>0</v>
      </c>
      <c r="P66" s="20">
        <f t="shared" si="4"/>
        <v>-7.1578947368419961</v>
      </c>
      <c r="Q66" s="21">
        <f t="shared" si="5"/>
        <v>0.95228070175438673</v>
      </c>
      <c r="R66" s="172"/>
      <c r="S66" s="28">
        <v>0.27569444444444446</v>
      </c>
      <c r="T66" s="28">
        <v>0.31527777777777777</v>
      </c>
      <c r="U66" s="4">
        <f t="shared" ref="U66:U69" si="34">(S66-T65)*24*60</f>
        <v>4.9999999999999822</v>
      </c>
      <c r="V66" s="22">
        <f t="shared" si="32"/>
        <v>56.999999999999957</v>
      </c>
      <c r="W66" s="4"/>
      <c r="X66" s="4"/>
      <c r="Y66" s="4"/>
      <c r="Z66" s="4"/>
      <c r="AA66" s="164"/>
      <c r="AB66" s="164"/>
      <c r="AC66" s="25"/>
      <c r="AD66" s="25"/>
      <c r="AE66" s="19">
        <f t="shared" si="33"/>
        <v>-71.578947368419904</v>
      </c>
      <c r="AF66" s="21">
        <f t="shared" si="8"/>
        <v>0.95228070175438673</v>
      </c>
      <c r="AG66" s="172"/>
    </row>
    <row r="67" spans="1:33" ht="15.75" customHeight="1">
      <c r="A67" s="178" t="s">
        <v>73</v>
      </c>
      <c r="B67" s="4" t="s">
        <v>111</v>
      </c>
      <c r="C67" s="165" t="s">
        <v>129</v>
      </c>
      <c r="D67" s="165"/>
      <c r="E67" s="37">
        <v>31</v>
      </c>
      <c r="F67" s="42">
        <v>693</v>
      </c>
      <c r="G67" s="4">
        <v>21483</v>
      </c>
      <c r="H67" s="22" t="s">
        <v>139</v>
      </c>
      <c r="I67" s="16">
        <v>13</v>
      </c>
      <c r="J67" s="18">
        <v>2000</v>
      </c>
      <c r="K67" s="17">
        <f t="shared" si="0"/>
        <v>153.84615384615384</v>
      </c>
      <c r="L67" s="16">
        <v>13</v>
      </c>
      <c r="M67" s="18">
        <f t="shared" si="31"/>
        <v>1979.9999999999991</v>
      </c>
      <c r="N67" s="17">
        <f t="shared" si="2"/>
        <v>152.30769230769224</v>
      </c>
      <c r="O67" s="19">
        <f t="shared" si="3"/>
        <v>0</v>
      </c>
      <c r="P67" s="20">
        <f t="shared" si="4"/>
        <v>-1.5384615384616041</v>
      </c>
      <c r="Q67" s="21">
        <f t="shared" si="5"/>
        <v>0.98999999999999955</v>
      </c>
      <c r="R67" s="172"/>
      <c r="S67" s="28">
        <v>0.32013888888888886</v>
      </c>
      <c r="T67" s="28">
        <v>0.3347222222222222</v>
      </c>
      <c r="U67" s="4">
        <f t="shared" si="34"/>
        <v>6.9999999999999751</v>
      </c>
      <c r="V67" s="22">
        <f t="shared" si="32"/>
        <v>21.000000000000007</v>
      </c>
      <c r="W67" s="4"/>
      <c r="X67" s="4"/>
      <c r="Y67" s="4"/>
      <c r="Z67" s="4"/>
      <c r="AA67" s="164"/>
      <c r="AB67" s="164"/>
      <c r="AC67" s="25"/>
      <c r="AD67" s="25"/>
      <c r="AE67" s="19">
        <f t="shared" si="33"/>
        <v>-20.000000000000909</v>
      </c>
      <c r="AF67" s="21">
        <f t="shared" si="8"/>
        <v>0.98999999999999955</v>
      </c>
      <c r="AG67" s="172"/>
    </row>
    <row r="68" spans="1:33" ht="15.75" customHeight="1">
      <c r="A68" s="178" t="s">
        <v>73</v>
      </c>
      <c r="B68" s="4" t="s">
        <v>111</v>
      </c>
      <c r="C68" s="165" t="s">
        <v>130</v>
      </c>
      <c r="D68" s="165"/>
      <c r="E68" s="37">
        <v>37.85</v>
      </c>
      <c r="F68" s="42">
        <v>2857</v>
      </c>
      <c r="G68" s="4">
        <v>108137.45</v>
      </c>
      <c r="H68" s="22" t="s">
        <v>139</v>
      </c>
      <c r="I68" s="16">
        <v>12</v>
      </c>
      <c r="J68" s="18">
        <v>2000</v>
      </c>
      <c r="K68" s="17">
        <f t="shared" si="0"/>
        <v>166.66666666666666</v>
      </c>
      <c r="L68" s="16">
        <v>12</v>
      </c>
      <c r="M68" s="18">
        <f t="shared" si="31"/>
        <v>1926.0674157303372</v>
      </c>
      <c r="N68" s="17">
        <f t="shared" si="2"/>
        <v>160.50561797752809</v>
      </c>
      <c r="O68" s="19">
        <f t="shared" si="3"/>
        <v>0</v>
      </c>
      <c r="P68" s="20">
        <f t="shared" si="4"/>
        <v>-6.1610486891385676</v>
      </c>
      <c r="Q68" s="21">
        <f t="shared" si="5"/>
        <v>0.96303370786516862</v>
      </c>
      <c r="R68" s="172"/>
      <c r="S68" s="28">
        <v>0.34027777777777773</v>
      </c>
      <c r="T68" s="28">
        <v>0.40208333333333329</v>
      </c>
      <c r="U68" s="4">
        <f t="shared" si="34"/>
        <v>7.9999999999999716</v>
      </c>
      <c r="V68" s="22">
        <f t="shared" si="32"/>
        <v>89</v>
      </c>
      <c r="W68" s="4"/>
      <c r="X68" s="4"/>
      <c r="Y68" s="4"/>
      <c r="Z68" s="4"/>
      <c r="AA68" s="164"/>
      <c r="AB68" s="164"/>
      <c r="AC68" s="25"/>
      <c r="AD68" s="25"/>
      <c r="AE68" s="19">
        <f t="shared" si="33"/>
        <v>-73.932584269662811</v>
      </c>
      <c r="AF68" s="21">
        <f t="shared" si="8"/>
        <v>0.96303370786516862</v>
      </c>
      <c r="AG68" s="172"/>
    </row>
    <row r="69" spans="1:33">
      <c r="A69" s="179" t="s">
        <v>73</v>
      </c>
      <c r="B69" s="4" t="s">
        <v>111</v>
      </c>
      <c r="C69" s="165" t="s">
        <v>131</v>
      </c>
      <c r="D69" s="165"/>
      <c r="E69" s="37">
        <v>34.36</v>
      </c>
      <c r="F69" s="42">
        <v>1773</v>
      </c>
      <c r="G69" s="4">
        <v>60920.28</v>
      </c>
      <c r="H69" s="22" t="s">
        <v>139</v>
      </c>
      <c r="I69" s="16">
        <v>10</v>
      </c>
      <c r="J69" s="18">
        <v>3000</v>
      </c>
      <c r="K69" s="17">
        <f t="shared" ref="K69:K77" si="35">J69/I69</f>
        <v>300</v>
      </c>
      <c r="L69" s="16">
        <v>10</v>
      </c>
      <c r="M69" s="18">
        <f t="shared" si="31"/>
        <v>2875.1351351351332</v>
      </c>
      <c r="N69" s="17">
        <f t="shared" ref="N69:N77" si="36">M69/L69</f>
        <v>287.51351351351332</v>
      </c>
      <c r="O69" s="19">
        <f t="shared" ref="O69:O77" si="37">L69-I69</f>
        <v>0</v>
      </c>
      <c r="P69" s="20">
        <f t="shared" ref="P69:P77" si="38">N69-K69</f>
        <v>-12.486486486486683</v>
      </c>
      <c r="Q69" s="21">
        <f t="shared" ref="Q69:Q77" si="39">N69/K69</f>
        <v>0.95837837837837769</v>
      </c>
      <c r="R69" s="172"/>
      <c r="S69" s="28">
        <v>0.4055555555555555</v>
      </c>
      <c r="T69" s="28">
        <v>0.43124999999999997</v>
      </c>
      <c r="U69" s="4">
        <f t="shared" si="34"/>
        <v>4.9999999999999822</v>
      </c>
      <c r="V69" s="22">
        <f t="shared" si="32"/>
        <v>37.000000000000028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33"/>
        <v>-124.86486486486683</v>
      </c>
      <c r="AF69" s="21">
        <f t="shared" ref="AF69:AF77" si="40">M69/J69</f>
        <v>0.95837837837837769</v>
      </c>
      <c r="AG69" s="172"/>
    </row>
    <row r="70" spans="1:33">
      <c r="A70" s="179" t="s">
        <v>73</v>
      </c>
      <c r="B70" s="37" t="s">
        <v>48</v>
      </c>
      <c r="C70" s="177"/>
      <c r="D70" s="177"/>
      <c r="E70" s="38"/>
      <c r="F70" s="17"/>
      <c r="G70" s="17"/>
      <c r="H70" s="4"/>
      <c r="I70" s="30">
        <v>10.6</v>
      </c>
      <c r="J70" s="18">
        <v>2000</v>
      </c>
      <c r="K70" s="17">
        <f t="shared" si="35"/>
        <v>188.67924528301887</v>
      </c>
      <c r="L70" s="30">
        <v>10.6</v>
      </c>
      <c r="M70" s="18">
        <f>AVERAGE(M65:M69)</f>
        <v>1927.9681989602796</v>
      </c>
      <c r="N70" s="17">
        <f t="shared" si="36"/>
        <v>181.88379235474335</v>
      </c>
      <c r="O70" s="19">
        <f t="shared" si="37"/>
        <v>0</v>
      </c>
      <c r="P70" s="20">
        <f t="shared" si="38"/>
        <v>-6.7954529282755232</v>
      </c>
      <c r="Q70" s="21">
        <f t="shared" si="39"/>
        <v>0.96398409948013974</v>
      </c>
      <c r="R70" s="172"/>
      <c r="S70" s="28"/>
      <c r="T70" s="28"/>
      <c r="U70" s="17"/>
      <c r="V70" s="22"/>
      <c r="W70" s="17"/>
      <c r="X70" s="17"/>
      <c r="Y70" s="31">
        <f>SUM(Y65:Y69)</f>
        <v>0</v>
      </c>
      <c r="Z70" s="31">
        <f>SUM(Z65:Z69)</f>
        <v>0</v>
      </c>
      <c r="AA70" s="168"/>
      <c r="AB70" s="168"/>
      <c r="AC70" s="31">
        <v>5</v>
      </c>
      <c r="AD70" s="31">
        <f>SUM(AD65:AD69)</f>
        <v>0</v>
      </c>
      <c r="AE70" s="19">
        <f t="shared" si="33"/>
        <v>-72.031801039720449</v>
      </c>
      <c r="AF70" s="21">
        <f t="shared" si="40"/>
        <v>0.96398409948013974</v>
      </c>
      <c r="AG70" s="172"/>
    </row>
    <row r="71" spans="1:33" ht="15.75" customHeight="1">
      <c r="A71" s="169" t="s">
        <v>75</v>
      </c>
      <c r="B71" s="4" t="s">
        <v>100</v>
      </c>
      <c r="C71" s="165" t="s">
        <v>133</v>
      </c>
      <c r="D71" s="165"/>
      <c r="E71" s="37">
        <v>20.2</v>
      </c>
      <c r="F71" s="4">
        <v>2025</v>
      </c>
      <c r="G71" s="4">
        <v>40905</v>
      </c>
      <c r="H71" s="22" t="s">
        <v>139</v>
      </c>
      <c r="I71" s="16">
        <v>19</v>
      </c>
      <c r="J71" s="18">
        <v>2400</v>
      </c>
      <c r="K71" s="17">
        <f t="shared" si="35"/>
        <v>126.31578947368421</v>
      </c>
      <c r="L71" s="16">
        <v>19</v>
      </c>
      <c r="M71" s="18">
        <f t="shared" ref="M71:M76" si="41">F71/V71*60</f>
        <v>2292.4528301886789</v>
      </c>
      <c r="N71" s="17">
        <f t="shared" si="36"/>
        <v>120.65541211519363</v>
      </c>
      <c r="O71" s="19">
        <f t="shared" si="37"/>
        <v>0</v>
      </c>
      <c r="P71" s="20">
        <f t="shared" si="38"/>
        <v>-5.6603773584905781</v>
      </c>
      <c r="Q71" s="21">
        <f t="shared" si="39"/>
        <v>0.95518867924528295</v>
      </c>
      <c r="R71" s="172">
        <f>Q77</f>
        <v>0.95729771525918683</v>
      </c>
      <c r="S71" s="28">
        <v>0.125</v>
      </c>
      <c r="T71" s="28">
        <v>0.16180555555555556</v>
      </c>
      <c r="U71" s="28"/>
      <c r="V71" s="22">
        <f t="shared" ref="V71:V76" si="42">(T71-S71)*24*60</f>
        <v>53.000000000000014</v>
      </c>
      <c r="W71" s="23">
        <f>T71</f>
        <v>0.16180555555555556</v>
      </c>
      <c r="X71" s="23">
        <f>S72</f>
        <v>0.18124999999999999</v>
      </c>
      <c r="Y71" s="23"/>
      <c r="Z71" s="23"/>
      <c r="AA71" s="164"/>
      <c r="AB71" s="164"/>
      <c r="AC71" s="25">
        <v>6</v>
      </c>
      <c r="AD71" s="25"/>
      <c r="AE71" s="19">
        <f t="shared" si="33"/>
        <v>-107.54716981132106</v>
      </c>
      <c r="AF71" s="21">
        <f t="shared" si="40"/>
        <v>0.95518867924528295</v>
      </c>
      <c r="AG71" s="172">
        <f>AF77</f>
        <v>0.95729771525918694</v>
      </c>
    </row>
    <row r="72" spans="1:33" ht="15.75" customHeight="1">
      <c r="A72" s="170" t="s">
        <v>75</v>
      </c>
      <c r="B72" s="4" t="s">
        <v>100</v>
      </c>
      <c r="C72" s="165" t="s">
        <v>109</v>
      </c>
      <c r="D72" s="165"/>
      <c r="E72" s="37">
        <v>24.45</v>
      </c>
      <c r="F72" s="4">
        <v>2451</v>
      </c>
      <c r="G72" s="4">
        <v>59926.95</v>
      </c>
      <c r="H72" s="22" t="s">
        <v>139</v>
      </c>
      <c r="I72" s="16">
        <v>20</v>
      </c>
      <c r="J72" s="18">
        <v>2400</v>
      </c>
      <c r="K72" s="17">
        <f t="shared" si="35"/>
        <v>120</v>
      </c>
      <c r="L72" s="16">
        <v>20</v>
      </c>
      <c r="M72" s="18">
        <f t="shared" si="41"/>
        <v>2297.8124999999995</v>
      </c>
      <c r="N72" s="17">
        <f t="shared" si="36"/>
        <v>114.89062499999997</v>
      </c>
      <c r="O72" s="19">
        <f t="shared" si="37"/>
        <v>0</v>
      </c>
      <c r="P72" s="20">
        <f t="shared" si="38"/>
        <v>-5.1093750000000284</v>
      </c>
      <c r="Q72" s="21">
        <f t="shared" si="39"/>
        <v>0.95742187499999976</v>
      </c>
      <c r="R72" s="172"/>
      <c r="S72" s="28">
        <v>0.18124999999999999</v>
      </c>
      <c r="T72" s="28">
        <v>0.22569444444444445</v>
      </c>
      <c r="U72" s="4">
        <f t="shared" ref="U72:U76" si="43">(S72-T71)*24*60</f>
        <v>27.999999999999979</v>
      </c>
      <c r="V72" s="22">
        <f t="shared" si="42"/>
        <v>64.000000000000014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33"/>
        <v>-102.18750000000045</v>
      </c>
      <c r="AF72" s="21">
        <f t="shared" si="40"/>
        <v>0.95742187499999976</v>
      </c>
      <c r="AG72" s="172"/>
    </row>
    <row r="73" spans="1:33" ht="15.75" customHeight="1">
      <c r="A73" s="170" t="s">
        <v>75</v>
      </c>
      <c r="B73" s="4" t="s">
        <v>100</v>
      </c>
      <c r="C73" s="165" t="s">
        <v>136</v>
      </c>
      <c r="D73" s="165"/>
      <c r="E73" s="37">
        <v>24.43</v>
      </c>
      <c r="F73" s="4">
        <v>6090</v>
      </c>
      <c r="G73" s="4">
        <v>148778.70000000001</v>
      </c>
      <c r="H73" s="22" t="s">
        <v>139</v>
      </c>
      <c r="I73" s="16">
        <v>14</v>
      </c>
      <c r="J73" s="18">
        <v>2400</v>
      </c>
      <c r="K73" s="17">
        <f t="shared" si="35"/>
        <v>171.42857142857142</v>
      </c>
      <c r="L73" s="16">
        <v>14</v>
      </c>
      <c r="M73" s="18">
        <f t="shared" si="41"/>
        <v>2283.75</v>
      </c>
      <c r="N73" s="17">
        <f t="shared" si="36"/>
        <v>163.125</v>
      </c>
      <c r="O73" s="19">
        <f t="shared" si="37"/>
        <v>0</v>
      </c>
      <c r="P73" s="20">
        <f t="shared" si="38"/>
        <v>-8.3035714285714164</v>
      </c>
      <c r="Q73" s="21">
        <f t="shared" si="39"/>
        <v>0.95156250000000009</v>
      </c>
      <c r="R73" s="172"/>
      <c r="S73" s="28">
        <v>0.22986111111111113</v>
      </c>
      <c r="T73" s="28">
        <v>0.34097222222222223</v>
      </c>
      <c r="U73" s="4">
        <f t="shared" si="43"/>
        <v>6.0000000000000187</v>
      </c>
      <c r="V73" s="22">
        <f t="shared" si="42"/>
        <v>160</v>
      </c>
      <c r="W73" s="23"/>
      <c r="X73" s="23"/>
      <c r="Y73" s="23"/>
      <c r="Z73" s="23"/>
      <c r="AA73" s="164"/>
      <c r="AB73" s="164"/>
      <c r="AC73" s="25"/>
      <c r="AD73" s="25"/>
      <c r="AE73" s="19">
        <f t="shared" si="33"/>
        <v>-116.25</v>
      </c>
      <c r="AF73" s="21">
        <f t="shared" si="40"/>
        <v>0.95156249999999998</v>
      </c>
      <c r="AG73" s="172"/>
    </row>
    <row r="74" spans="1:33" ht="15.75" customHeight="1">
      <c r="A74" s="170" t="s">
        <v>75</v>
      </c>
      <c r="B74" s="4" t="s">
        <v>100</v>
      </c>
      <c r="C74" s="165" t="s">
        <v>138</v>
      </c>
      <c r="D74" s="165"/>
      <c r="E74" s="37">
        <v>22.69</v>
      </c>
      <c r="F74" s="4">
        <v>1120</v>
      </c>
      <c r="G74" s="4">
        <v>25412.800000000003</v>
      </c>
      <c r="H74" s="22" t="s">
        <v>139</v>
      </c>
      <c r="I74" s="16">
        <v>15</v>
      </c>
      <c r="J74" s="18">
        <v>2400</v>
      </c>
      <c r="K74" s="17">
        <f t="shared" si="35"/>
        <v>160</v>
      </c>
      <c r="L74" s="16">
        <v>15</v>
      </c>
      <c r="M74" s="18">
        <f t="shared" si="41"/>
        <v>2317.2413793103465</v>
      </c>
      <c r="N74" s="17">
        <f t="shared" si="36"/>
        <v>154.48275862068976</v>
      </c>
      <c r="O74" s="19">
        <f t="shared" si="37"/>
        <v>0</v>
      </c>
      <c r="P74" s="20">
        <f t="shared" si="38"/>
        <v>-5.5172413793102351</v>
      </c>
      <c r="Q74" s="21">
        <f t="shared" si="39"/>
        <v>0.96551724137931105</v>
      </c>
      <c r="R74" s="172"/>
      <c r="S74" s="28">
        <v>0.34513888888888888</v>
      </c>
      <c r="T74" s="28">
        <v>0.36527777777777776</v>
      </c>
      <c r="U74" s="4">
        <f t="shared" si="43"/>
        <v>5.9999999999999787</v>
      </c>
      <c r="V74" s="22">
        <f t="shared" si="42"/>
        <v>28.999999999999979</v>
      </c>
      <c r="W74" s="23"/>
      <c r="X74" s="23"/>
      <c r="Y74" s="23"/>
      <c r="Z74" s="23"/>
      <c r="AA74" s="164"/>
      <c r="AB74" s="164"/>
      <c r="AC74" s="25"/>
      <c r="AD74" s="25"/>
      <c r="AE74" s="19">
        <f t="shared" si="33"/>
        <v>-82.758620689653526</v>
      </c>
      <c r="AF74" s="21">
        <f t="shared" si="40"/>
        <v>0.96551724137931105</v>
      </c>
      <c r="AG74" s="172"/>
    </row>
    <row r="75" spans="1:33" ht="15.75" customHeight="1">
      <c r="A75" s="170" t="s">
        <v>75</v>
      </c>
      <c r="B75" s="4" t="s">
        <v>100</v>
      </c>
      <c r="C75" s="165" t="s">
        <v>135</v>
      </c>
      <c r="D75" s="165"/>
      <c r="E75" s="37">
        <v>19.02</v>
      </c>
      <c r="F75" s="4">
        <v>5300</v>
      </c>
      <c r="G75" s="4">
        <v>100806</v>
      </c>
      <c r="H75" s="22">
        <v>2</v>
      </c>
      <c r="I75" s="16">
        <v>15</v>
      </c>
      <c r="J75" s="18">
        <v>2400</v>
      </c>
      <c r="K75" s="17">
        <f t="shared" si="35"/>
        <v>160</v>
      </c>
      <c r="L75" s="16">
        <v>15</v>
      </c>
      <c r="M75" s="18">
        <f t="shared" si="41"/>
        <v>2287.7697841726617</v>
      </c>
      <c r="N75" s="17">
        <f t="shared" si="36"/>
        <v>152.5179856115108</v>
      </c>
      <c r="O75" s="19">
        <f t="shared" si="37"/>
        <v>0</v>
      </c>
      <c r="P75" s="20">
        <f t="shared" si="38"/>
        <v>-7.4820143884892047</v>
      </c>
      <c r="Q75" s="21">
        <f t="shared" si="39"/>
        <v>0.95323741007194251</v>
      </c>
      <c r="R75" s="172"/>
      <c r="S75" s="28">
        <v>0.37013888888888885</v>
      </c>
      <c r="T75" s="28">
        <v>0.46666666666666662</v>
      </c>
      <c r="U75" s="4">
        <f t="shared" si="43"/>
        <v>6.9999999999999751</v>
      </c>
      <c r="V75" s="22">
        <f t="shared" si="42"/>
        <v>139</v>
      </c>
      <c r="W75" s="23">
        <f>T75</f>
        <v>0.46666666666666662</v>
      </c>
      <c r="X75" s="23">
        <f>S76</f>
        <v>0.50694444444444442</v>
      </c>
      <c r="Y75" s="23"/>
      <c r="Z75" s="23"/>
      <c r="AA75" s="164"/>
      <c r="AB75" s="164"/>
      <c r="AC75" s="25"/>
      <c r="AD75" s="25"/>
      <c r="AE75" s="19">
        <f t="shared" si="33"/>
        <v>-112.23021582733827</v>
      </c>
      <c r="AF75" s="21">
        <f t="shared" si="40"/>
        <v>0.9532374100719424</v>
      </c>
      <c r="AG75" s="172"/>
    </row>
    <row r="76" spans="1:33" ht="15.75" customHeight="1">
      <c r="A76" s="170" t="s">
        <v>75</v>
      </c>
      <c r="B76" s="4" t="s">
        <v>100</v>
      </c>
      <c r="C76" s="165" t="s">
        <v>135</v>
      </c>
      <c r="D76" s="165"/>
      <c r="E76" s="37">
        <v>19.02</v>
      </c>
      <c r="F76" s="4">
        <v>3805</v>
      </c>
      <c r="G76" s="4">
        <v>72371.099999999991</v>
      </c>
      <c r="H76" s="22" t="s">
        <v>139</v>
      </c>
      <c r="I76" s="16">
        <v>15</v>
      </c>
      <c r="J76" s="18">
        <v>2400</v>
      </c>
      <c r="K76" s="17">
        <f t="shared" si="35"/>
        <v>160</v>
      </c>
      <c r="L76" s="16">
        <v>15</v>
      </c>
      <c r="M76" s="18">
        <f t="shared" si="41"/>
        <v>2306.0606060606069</v>
      </c>
      <c r="N76" s="17">
        <f t="shared" si="36"/>
        <v>153.73737373737379</v>
      </c>
      <c r="O76" s="19">
        <f t="shared" si="37"/>
        <v>0</v>
      </c>
      <c r="P76" s="20">
        <f t="shared" si="38"/>
        <v>-6.2626262626262132</v>
      </c>
      <c r="Q76" s="21">
        <f t="shared" si="39"/>
        <v>0.96085858585858619</v>
      </c>
      <c r="R76" s="172"/>
      <c r="S76" s="28">
        <v>0.50694444444444442</v>
      </c>
      <c r="T76" s="28">
        <v>0.5756944444444444</v>
      </c>
      <c r="U76" s="4">
        <f t="shared" si="43"/>
        <v>58.000000000000036</v>
      </c>
      <c r="V76" s="22">
        <f t="shared" si="42"/>
        <v>98.999999999999972</v>
      </c>
      <c r="W76" s="23"/>
      <c r="X76" s="23"/>
      <c r="Y76" s="23"/>
      <c r="Z76" s="23"/>
      <c r="AA76" s="164"/>
      <c r="AB76" s="164"/>
      <c r="AC76" s="25"/>
      <c r="AD76" s="25"/>
      <c r="AE76" s="19">
        <f t="shared" si="33"/>
        <v>-93.939393939393085</v>
      </c>
      <c r="AF76" s="21">
        <f t="shared" si="40"/>
        <v>0.96085858585858619</v>
      </c>
      <c r="AG76" s="172"/>
    </row>
    <row r="77" spans="1:33" ht="16.5" customHeight="1">
      <c r="A77" s="171" t="s">
        <v>75</v>
      </c>
      <c r="B77" s="37" t="s">
        <v>48</v>
      </c>
      <c r="C77" s="166"/>
      <c r="D77" s="167"/>
      <c r="E77" s="38"/>
      <c r="F77" s="17"/>
      <c r="G77" s="17"/>
      <c r="H77" s="4"/>
      <c r="I77" s="30">
        <v>16.333333333333332</v>
      </c>
      <c r="J77" s="18">
        <v>2400</v>
      </c>
      <c r="K77" s="17">
        <f t="shared" si="35"/>
        <v>146.9387755102041</v>
      </c>
      <c r="L77" s="30">
        <v>16.333333333333332</v>
      </c>
      <c r="M77" s="18">
        <f>AVERAGE(M71:M76)</f>
        <v>2297.5145166220486</v>
      </c>
      <c r="N77" s="17">
        <f t="shared" si="36"/>
        <v>140.66415407890094</v>
      </c>
      <c r="O77" s="19">
        <f t="shared" si="37"/>
        <v>0</v>
      </c>
      <c r="P77" s="20">
        <f t="shared" si="38"/>
        <v>-6.2746214313031601</v>
      </c>
      <c r="Q77" s="21">
        <f t="shared" si="39"/>
        <v>0.95729771525918683</v>
      </c>
      <c r="R77" s="172"/>
      <c r="S77" s="28"/>
      <c r="T77" s="28"/>
      <c r="U77" s="17"/>
      <c r="V77" s="22"/>
      <c r="W77" s="17"/>
      <c r="X77" s="17"/>
      <c r="Y77" s="31">
        <f>SUM(Y71:Y76)</f>
        <v>0</v>
      </c>
      <c r="Z77" s="31">
        <f>SUM(Z71:Z76)</f>
        <v>0</v>
      </c>
      <c r="AA77" s="168"/>
      <c r="AB77" s="168"/>
      <c r="AC77" s="31">
        <v>6</v>
      </c>
      <c r="AD77" s="31">
        <f>SUM(AD71:AD76)</f>
        <v>0</v>
      </c>
      <c r="AE77" s="19">
        <f t="shared" si="33"/>
        <v>-102.48548337795137</v>
      </c>
      <c r="AF77" s="21">
        <f t="shared" si="40"/>
        <v>0.95729771525918694</v>
      </c>
      <c r="AG77" s="172"/>
    </row>
    <row r="78" spans="1:33">
      <c r="D78" s="33"/>
      <c r="E78" s="33"/>
    </row>
  </sheetData>
  <mergeCells count="206"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G11:AG13"/>
    <mergeCell ref="C12:D12"/>
    <mergeCell ref="AA12:AB12"/>
    <mergeCell ref="C13:D13"/>
    <mergeCell ref="AA13:AB13"/>
    <mergeCell ref="A14:A21"/>
    <mergeCell ref="C14:D14"/>
    <mergeCell ref="R14:R21"/>
    <mergeCell ref="AA14:AB14"/>
    <mergeCell ref="AG14:AG21"/>
    <mergeCell ref="C18:D18"/>
    <mergeCell ref="AA18:AB18"/>
    <mergeCell ref="C19:D19"/>
    <mergeCell ref="AA19:AB19"/>
    <mergeCell ref="AA20:AB20"/>
    <mergeCell ref="C21:D21"/>
    <mergeCell ref="AA21:AB21"/>
    <mergeCell ref="C15:D15"/>
    <mergeCell ref="AA15:AB15"/>
    <mergeCell ref="C16:D16"/>
    <mergeCell ref="AA16:AB16"/>
    <mergeCell ref="C17:D17"/>
    <mergeCell ref="AA17:AB17"/>
    <mergeCell ref="A11:A13"/>
    <mergeCell ref="A22:A28"/>
    <mergeCell ref="C22:D22"/>
    <mergeCell ref="R22:R28"/>
    <mergeCell ref="AA22:AB22"/>
    <mergeCell ref="AG22:AG28"/>
    <mergeCell ref="C23:D23"/>
    <mergeCell ref="AA23:AB23"/>
    <mergeCell ref="C24:D24"/>
    <mergeCell ref="AA24:AB24"/>
    <mergeCell ref="C25:D25"/>
    <mergeCell ref="AG29:AG36"/>
    <mergeCell ref="C30:D30"/>
    <mergeCell ref="AA30:AB30"/>
    <mergeCell ref="C31:D31"/>
    <mergeCell ref="AA31:AB31"/>
    <mergeCell ref="C32:D32"/>
    <mergeCell ref="AA25:AB25"/>
    <mergeCell ref="C26:D26"/>
    <mergeCell ref="AA26:AB26"/>
    <mergeCell ref="C27:D27"/>
    <mergeCell ref="AA27:AB27"/>
    <mergeCell ref="C28:D28"/>
    <mergeCell ref="AA28:AB28"/>
    <mergeCell ref="C36:D36"/>
    <mergeCell ref="AA36:AB36"/>
    <mergeCell ref="A37:A42"/>
    <mergeCell ref="C37:D37"/>
    <mergeCell ref="R37:R42"/>
    <mergeCell ref="AA37:AB37"/>
    <mergeCell ref="AA42:AB42"/>
    <mergeCell ref="AA32:AB32"/>
    <mergeCell ref="C33:D33"/>
    <mergeCell ref="AA33:AB33"/>
    <mergeCell ref="C34:D34"/>
    <mergeCell ref="AA34:AB34"/>
    <mergeCell ref="C35:D35"/>
    <mergeCell ref="AA35:AB35"/>
    <mergeCell ref="A29:A36"/>
    <mergeCell ref="C29:D29"/>
    <mergeCell ref="R29:R36"/>
    <mergeCell ref="AA29:AB29"/>
    <mergeCell ref="AG43:AG53"/>
    <mergeCell ref="C44:D44"/>
    <mergeCell ref="AA44:AB44"/>
    <mergeCell ref="C45:D45"/>
    <mergeCell ref="AA45:AB45"/>
    <mergeCell ref="C46:D46"/>
    <mergeCell ref="AG37:AG42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54:A64"/>
    <mergeCell ref="C54:D54"/>
    <mergeCell ref="R54:R64"/>
    <mergeCell ref="AA54:AB54"/>
    <mergeCell ref="AA60:AB60"/>
    <mergeCell ref="C61:D61"/>
    <mergeCell ref="AA61:AB61"/>
    <mergeCell ref="C62:D62"/>
    <mergeCell ref="A43:A53"/>
    <mergeCell ref="C43:D43"/>
    <mergeCell ref="AA47:AB47"/>
    <mergeCell ref="C48:D48"/>
    <mergeCell ref="AA48:AB48"/>
    <mergeCell ref="C49:D49"/>
    <mergeCell ref="AA49:AB49"/>
    <mergeCell ref="R43:R53"/>
    <mergeCell ref="AA43:AB43"/>
    <mergeCell ref="C53:D53"/>
    <mergeCell ref="AA53:AB53"/>
    <mergeCell ref="AG54:AG64"/>
    <mergeCell ref="C55:D55"/>
    <mergeCell ref="AA55:AB55"/>
    <mergeCell ref="C56:D56"/>
    <mergeCell ref="AA56:AB56"/>
    <mergeCell ref="AA57:AB57"/>
    <mergeCell ref="AA58:AB58"/>
    <mergeCell ref="C59:D59"/>
    <mergeCell ref="AA59:AB59"/>
    <mergeCell ref="C60:D60"/>
    <mergeCell ref="AA62:AB62"/>
    <mergeCell ref="C63:D63"/>
    <mergeCell ref="AA63:AB63"/>
    <mergeCell ref="C64:D64"/>
    <mergeCell ref="AA64:AB64"/>
    <mergeCell ref="AG71:AG77"/>
    <mergeCell ref="C72:D72"/>
    <mergeCell ref="AA72:AB72"/>
    <mergeCell ref="C73:D73"/>
    <mergeCell ref="AA73:AB73"/>
    <mergeCell ref="C74:D74"/>
    <mergeCell ref="AG65:AG70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  <mergeCell ref="AA74:AB74"/>
    <mergeCell ref="C75:D75"/>
    <mergeCell ref="AA75:AB75"/>
    <mergeCell ref="C76:D76"/>
    <mergeCell ref="AA76:AB76"/>
    <mergeCell ref="C77:D77"/>
    <mergeCell ref="AA77:AB77"/>
    <mergeCell ref="A71:A77"/>
    <mergeCell ref="C71:D71"/>
    <mergeCell ref="R71:R77"/>
    <mergeCell ref="AA71:AB71"/>
    <mergeCell ref="A65:A70"/>
    <mergeCell ref="C65:D65"/>
    <mergeCell ref="R65:R70"/>
    <mergeCell ref="AA65:AB65"/>
    <mergeCell ref="AA70:AB70"/>
  </mergeCells>
  <phoneticPr fontId="3" type="noConversion"/>
  <conditionalFormatting sqref="O5:O77">
    <cfRule type="cellIs" dxfId="98" priority="1" operator="greaterThan">
      <formula>0</formula>
    </cfRule>
  </conditionalFormatting>
  <conditionalFormatting sqref="P5:P77">
    <cfRule type="cellIs" dxfId="97" priority="4" operator="lessThan">
      <formula>0</formula>
    </cfRule>
  </conditionalFormatting>
  <conditionalFormatting sqref="Q5:Q77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R5:R11 AG5:AG11">
    <cfRule type="cellIs" dxfId="94" priority="86" operator="lessThan">
      <formula>0.8</formula>
    </cfRule>
  </conditionalFormatting>
  <conditionalFormatting sqref="AE5:AE77">
    <cfRule type="cellIs" dxfId="93" priority="22" operator="lessThan">
      <formula>0</formula>
    </cfRule>
  </conditionalFormatting>
  <conditionalFormatting sqref="AF5:AF77">
    <cfRule type="cellIs" dxfId="92" priority="21" operator="lessThan">
      <formula>0.8</formula>
    </cfRule>
    <cfRule type="cellIs" dxfId="91" priority="20" operator="greaterThan">
      <formula>1</formula>
    </cfRule>
  </conditionalFormatting>
  <conditionalFormatting sqref="AG14:AG68 R14:R77">
    <cfRule type="cellIs" dxfId="90" priority="5" operator="lessThan">
      <formula>0.8</formula>
    </cfRule>
  </conditionalFormatting>
  <dataValidations count="1">
    <dataValidation type="list" allowBlank="1" showInputMessage="1" showErrorMessage="1" sqref="AB10 AA5:AB9 AB69 AA10:AA69 AB12:AB65 AA70:AB77" xr:uid="{00000000-0002-0000-2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Q32"/>
  <sheetViews>
    <sheetView zoomScale="85" zoomScaleNormal="85" workbookViewId="0">
      <selection activeCell="I7" sqref="I7:J7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820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821</v>
      </c>
      <c r="C3" s="153" t="str">
        <f>TEXT('0209 4度C'!A2,"yyyy.mm.ddaaaa")</f>
        <v>2026.02.09星期一</v>
      </c>
      <c r="D3" s="154"/>
      <c r="E3" s="47" t="s">
        <v>822</v>
      </c>
      <c r="F3" s="155">
        <f>'0209 4度C'!D1</f>
        <v>156085</v>
      </c>
      <c r="G3" s="156"/>
      <c r="H3" s="47" t="s">
        <v>823</v>
      </c>
      <c r="I3" s="157">
        <f>'0209 4度C'!F1</f>
        <v>5399101.4900000002</v>
      </c>
      <c r="J3" s="158"/>
      <c r="K3" s="48"/>
      <c r="L3" s="49"/>
      <c r="M3" s="49"/>
      <c r="N3" s="49"/>
    </row>
    <row r="4" spans="2:17" ht="28.5" customHeight="1">
      <c r="B4" s="159" t="s">
        <v>824</v>
      </c>
      <c r="C4" s="145" t="s">
        <v>825</v>
      </c>
      <c r="D4" s="146"/>
      <c r="E4" s="162" t="s">
        <v>826</v>
      </c>
      <c r="F4" s="163"/>
      <c r="G4" s="162" t="s">
        <v>827</v>
      </c>
      <c r="H4" s="163"/>
      <c r="I4" s="162" t="s">
        <v>828</v>
      </c>
      <c r="J4" s="163"/>
      <c r="K4" s="143" t="s">
        <v>829</v>
      </c>
      <c r="L4" s="144"/>
      <c r="M4" s="144" t="s">
        <v>830</v>
      </c>
      <c r="N4" s="144"/>
    </row>
    <row r="5" spans="2:17" ht="28.5" customHeight="1">
      <c r="B5" s="160"/>
      <c r="C5" s="145" t="s">
        <v>831</v>
      </c>
      <c r="D5" s="146"/>
      <c r="E5" s="145" t="s">
        <v>832</v>
      </c>
      <c r="F5" s="146"/>
      <c r="G5" s="147" t="s">
        <v>833</v>
      </c>
      <c r="H5" s="148"/>
      <c r="I5" s="149" t="s">
        <v>834</v>
      </c>
      <c r="J5" s="150"/>
      <c r="K5" s="50" t="s">
        <v>835</v>
      </c>
      <c r="L5" s="51" t="s">
        <v>836</v>
      </c>
      <c r="M5" s="50" t="s">
        <v>837</v>
      </c>
      <c r="N5" s="51" t="s">
        <v>838</v>
      </c>
    </row>
    <row r="6" spans="2:17" ht="28.5" customHeight="1">
      <c r="B6" s="160"/>
      <c r="C6" s="145" t="s">
        <v>158</v>
      </c>
      <c r="D6" s="146"/>
      <c r="E6" s="137">
        <f>AVERAGE(D13:M13)</f>
        <v>143.74352506709215</v>
      </c>
      <c r="F6" s="138">
        <f>AVERAGE(D31:O31,D13:J13)</f>
        <v>146.77335890592241</v>
      </c>
      <c r="G6" s="139">
        <f>AVERAGE(D13:J13)</f>
        <v>146.77335890592241</v>
      </c>
      <c r="H6" s="140"/>
      <c r="I6" s="139">
        <f>AVERAGE(K13:M13)</f>
        <v>136.67391277648821</v>
      </c>
      <c r="J6" s="140"/>
      <c r="K6" s="141">
        <f>'0209 4度C'!Y2</f>
        <v>0</v>
      </c>
      <c r="L6" s="126">
        <f>'0209 4度C'!Z2</f>
        <v>0</v>
      </c>
      <c r="M6" s="142">
        <f>'0209 4度C'!AC2</f>
        <v>59</v>
      </c>
      <c r="N6" s="126">
        <f>'0209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137.64748253440604</v>
      </c>
      <c r="F7" s="130">
        <f>AVERAGE(D32:O32,D14:J14)</f>
        <v>140.57643984497619</v>
      </c>
      <c r="G7" s="131">
        <f>AVERAGE(D14:J14)</f>
        <v>140.57643984497619</v>
      </c>
      <c r="H7" s="132"/>
      <c r="I7" s="131">
        <f>AVERAGE(K14:M14)</f>
        <v>130.81324880974222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0.95702136931169779</v>
      </c>
      <c r="F8" s="134">
        <f>AVERAGE(D15:J15,D33:O33)</f>
        <v>0.9570118268694765</v>
      </c>
      <c r="G8" s="135">
        <f>AVERAGE(D15:J15)</f>
        <v>0.9570118268694765</v>
      </c>
      <c r="H8" s="136"/>
      <c r="I8" s="135">
        <f>AVERAGE(K15:M15)</f>
        <v>0.95704363501021394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839</v>
      </c>
      <c r="N9" s="49"/>
      <c r="O9" s="49"/>
      <c r="P9" s="49"/>
      <c r="Q9" s="49"/>
    </row>
    <row r="10" spans="2:17" ht="30" customHeight="1">
      <c r="B10" s="109" t="s">
        <v>840</v>
      </c>
      <c r="C10" s="110"/>
      <c r="D10" s="111" t="s">
        <v>841</v>
      </c>
      <c r="E10" s="112"/>
      <c r="F10" s="112"/>
      <c r="G10" s="112"/>
      <c r="H10" s="112"/>
      <c r="I10" s="112"/>
      <c r="J10" s="113"/>
      <c r="K10" s="114" t="s">
        <v>842</v>
      </c>
      <c r="L10" s="115"/>
      <c r="M10" s="116"/>
      <c r="P10" s="55"/>
      <c r="Q10" s="55"/>
    </row>
    <row r="11" spans="2:17" ht="17.25" customHeight="1">
      <c r="B11" s="117" t="s">
        <v>843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844</v>
      </c>
      <c r="C13" s="62" t="s">
        <v>845</v>
      </c>
      <c r="D13" s="63">
        <f>SUMIFS('0209 4度C'!$K:$K,'0209 4度C'!$A:$A,"新豐6線",'0209 4度C'!$B:$B,"平均")</f>
        <v>113.63636363636363</v>
      </c>
      <c r="E13" s="64">
        <f>SUMIFS('0209 4度C'!$K:$K,'0209 4度C'!$A:$A,"新豐2線",'0209 4度C'!$B:$B,"平均")</f>
        <v>83.333333333333329</v>
      </c>
      <c r="F13" s="65">
        <f>SUMIFS('0209 4度C'!$K:$K,'0209 4度C'!$A:$A,"新豐5線",'0209 4度C'!$B:$B,"平均")</f>
        <v>109.24369747899159</v>
      </c>
      <c r="G13" s="65">
        <f>SUMIFS('0209 4度C'!$K:$K,'0209 4度C'!$A:$A,"新豐7線",'0209 4度C'!$B:$B,"平均")</f>
        <v>125</v>
      </c>
      <c r="H13" s="65">
        <f>SUMIFS('0209 4度C'!$K:$K,'0209 4度C'!$A:$A,"新豐3線",'0209 4度C'!$B:$B,"平均")</f>
        <v>303.79746835443041</v>
      </c>
      <c r="I13" s="65">
        <f>SUMIFS('0209 4度C'!$K:$K,'0209 4度C'!$A:$A,"新豐1線",'0209 4度C'!$B:$B,"平均")</f>
        <v>103.72340425531914</v>
      </c>
      <c r="J13" s="66">
        <f>SUMIFS('0209 4度C'!$K:$K,'0209 4度C'!$A:$A,"新豐10線",'0209 4度C'!$B:$B,"平均")</f>
        <v>188.67924528301887</v>
      </c>
      <c r="K13" s="67">
        <f>SUMIFS('0209 4度C'!$K:$K,'0209 4度C'!$A:$A,"新豐8線",'0209 4度C'!$B:$B,"平均")</f>
        <v>132.11009174311926</v>
      </c>
      <c r="L13" s="68">
        <f>SUMIFS('0209 4度C'!$K:$K,'0209 4度C'!$A:$A,"新豐9線",'0209 4度C'!$B:$B,"平均")</f>
        <v>133.33333333333334</v>
      </c>
      <c r="M13" s="66">
        <f>SUMIFS('0209 4度C'!$K:$K,'0209 4度C'!$A:$A,"新豐4線",'0209 4度C'!$B:$B,"平均")</f>
        <v>144.57831325301203</v>
      </c>
    </row>
    <row r="14" spans="2:17" ht="39.6" customHeight="1">
      <c r="B14" s="122"/>
      <c r="C14" s="69" t="s">
        <v>846</v>
      </c>
      <c r="D14" s="70">
        <f>SUMIFS('0209 4度C'!$N:$N,'0209 4度C'!$A:$A,"新豐6線",'0209 4度C'!$B:$B,"平均")</f>
        <v>109.89137022397878</v>
      </c>
      <c r="E14" s="71">
        <f>SUMIFS('0209 4度C'!$N:$N,'0209 4度C'!$A:$A,"新豐2線",'0209 4度C'!$B:$B,"平均")</f>
        <v>79.653679653679632</v>
      </c>
      <c r="F14" s="71">
        <f>SUMIFS('0209 4度C'!$N:$N,'0209 4度C'!$A:$A,"新豐5線",'0209 4度C'!$B:$B,"平均")</f>
        <v>104.75772625212311</v>
      </c>
      <c r="G14" s="71">
        <f>SUMIFS('0209 4度C'!$N:$N,'0209 4度C'!$A:$A,"新豐7線",'0209 4度C'!$B:$B,"平均")</f>
        <v>119.46202595045445</v>
      </c>
      <c r="H14" s="71">
        <f>SUMIFS('0209 4度C'!$N:$N,'0209 4度C'!$A:$A,"新豐3線",'0209 4度C'!$B:$B,"平均")</f>
        <v>290.92582239717785</v>
      </c>
      <c r="I14" s="71">
        <f>SUMIFS('0209 4度C'!$N:$N,'0209 4度C'!$A:$A,"新豐1線",'0209 4度C'!$B:$B,"平均")</f>
        <v>97.535893949045544</v>
      </c>
      <c r="J14" s="72">
        <f>SUMIFS('0209 4度C'!$N:$N,'0209 4度C'!$A:$A,"新豐10線",'0209 4度C'!$B:$B,"平均")</f>
        <v>181.80856048837407</v>
      </c>
      <c r="K14" s="73">
        <f>SUMIFS('0209 4度C'!$N:$N,'0209 4度C'!$A:$A,"新豐8線",'0209 4度C'!$B:$B,"平均")</f>
        <v>126.17172966147365</v>
      </c>
      <c r="L14" s="74">
        <f>SUMIFS('0209 4度C'!$N:$N,'0209 4度C'!$A:$A,"新豐9線",'0209 4度C'!$B:$B,"平均")</f>
        <v>127.53238443719253</v>
      </c>
      <c r="M14" s="72">
        <f>SUMIFS('0209 4度C'!$N:$N,'0209 4度C'!$A:$A,"新豐4線",'0209 4度C'!$B:$B,"平均")</f>
        <v>138.73563233056046</v>
      </c>
    </row>
    <row r="15" spans="2:17" ht="40.15" customHeight="1">
      <c r="B15" s="123"/>
      <c r="C15" s="75" t="s">
        <v>847</v>
      </c>
      <c r="D15" s="76">
        <f t="shared" ref="D15:M15" si="0">D14/D13</f>
        <v>0.96704405797101334</v>
      </c>
      <c r="E15" s="77">
        <f t="shared" si="0"/>
        <v>0.95584415584415561</v>
      </c>
      <c r="F15" s="77">
        <f t="shared" si="0"/>
        <v>0.95893610953866537</v>
      </c>
      <c r="G15" s="77">
        <f t="shared" si="0"/>
        <v>0.95569620760363561</v>
      </c>
      <c r="H15" s="77">
        <f t="shared" si="0"/>
        <v>0.95763083205737698</v>
      </c>
      <c r="I15" s="77">
        <f t="shared" si="0"/>
        <v>0.94034605448310582</v>
      </c>
      <c r="J15" s="78">
        <f t="shared" si="0"/>
        <v>0.96358537058838256</v>
      </c>
      <c r="K15" s="76">
        <f t="shared" si="0"/>
        <v>0.95504989813198815</v>
      </c>
      <c r="L15" s="77">
        <f t="shared" si="0"/>
        <v>0.95649288327894388</v>
      </c>
      <c r="M15" s="78">
        <f t="shared" si="0"/>
        <v>0.95958812361971002</v>
      </c>
    </row>
    <row r="16" spans="2:17" ht="17.25" customHeight="1">
      <c r="B16" s="124" t="s">
        <v>848</v>
      </c>
      <c r="C16" s="79" t="s">
        <v>849</v>
      </c>
      <c r="D16" s="80">
        <f>VLOOKUP("新豐6線",'0209 4度C'!$A:$T,19,0)</f>
        <v>0.70833333333333337</v>
      </c>
      <c r="E16" s="81">
        <f>VLOOKUP("新豐2線",'0209 4度C'!$A:$T,19,0)</f>
        <v>0.20833333333333334</v>
      </c>
      <c r="F16" s="81">
        <f>VLOOKUP("新豐5線",'0209 4度C'!$A:$T,19,0)</f>
        <v>0.20833333333333334</v>
      </c>
      <c r="G16" s="81">
        <f>VLOOKUP("新豐7線",'0209 4度C'!$A:$T,19,0)</f>
        <v>0.20833333333333334</v>
      </c>
      <c r="H16" s="81">
        <f>VLOOKUP("新豐3線",'0209 4度C'!$A:$T,19,0)</f>
        <v>8.3333333333333329E-2</v>
      </c>
      <c r="I16" s="81">
        <f>VLOOKUP("新豐1線",'0209 4度C'!$A:$T,19,0)</f>
        <v>0.20833333333333334</v>
      </c>
      <c r="J16" s="82">
        <f>VLOOKUP("新豐10線",'0209 4度C'!$A:$T,19,0)</f>
        <v>0.20833333333333334</v>
      </c>
      <c r="K16" s="83">
        <f>VLOOKUP("新豐8線",'0209 4度C'!$A:$T,19,0)</f>
        <v>8.3333333333333329E-2</v>
      </c>
      <c r="L16" s="84">
        <f>VLOOKUP("新豐9線",'0209 4度C'!$A:$T,19,0)</f>
        <v>8.3333333333333329E-2</v>
      </c>
      <c r="M16" s="85">
        <f>VLOOKUP("新豐4線",'0209 4度C'!$A:$T,19,0)</f>
        <v>8.3333333333333329E-2</v>
      </c>
    </row>
    <row r="17" spans="2:13" ht="17.25" customHeight="1">
      <c r="B17" s="125"/>
      <c r="C17" s="79" t="s">
        <v>850</v>
      </c>
      <c r="D17" s="83">
        <f>LOOKUP(2,1/(('0209 4度C'!$A:$A="新豐6線")*('0209 4度C'!$T:$T&lt;&gt;"")),'0209 4度C'!$T:$T)</f>
        <v>0.8534722222222223</v>
      </c>
      <c r="E17" s="81">
        <f>LOOKUP(2,1/(('0209 4度C'!$A:$A="新豐2線")*('0209 4度C'!$T:$T&lt;&gt;"")),'0209 4度C'!$T:$T)</f>
        <v>0.46319444444444446</v>
      </c>
      <c r="F17" s="81">
        <f>LOOKUP(2,1/(('0209 4度C'!$A:$A="新豐5線")*('0209 4度C'!$T:$T&lt;&gt;"")),'0209 4度C'!$T:$T)</f>
        <v>0.91666666666666663</v>
      </c>
      <c r="G17" s="81">
        <f>LOOKUP(2,1/(('0209 4度C'!$A:$A="新豐7線")*('0209 4度C'!$T:$T&lt;&gt;"")),'0209 4度C'!$T:$T)</f>
        <v>0.92291666666666672</v>
      </c>
      <c r="H17" s="81">
        <f>LOOKUP(2,1/(('0209 4度C'!$A:$A="新豐3線")*('0209 4度C'!$T:$T&lt;&gt;"")),'0209 4度C'!$T:$T)</f>
        <v>0.58333333333333315</v>
      </c>
      <c r="I17" s="81">
        <f>LOOKUP(2,1/(('0209 4度C'!$A:$A="新豐1線")*('0209 4度C'!$T:$T&lt;&gt;"")),'0209 4度C'!$T:$T)</f>
        <v>0.90833333333333321</v>
      </c>
      <c r="J17" s="82">
        <f>LOOKUP(2,1/(('0209 4度C'!$A:$A="新豐10線")*('0209 4度C'!$T:$T&lt;&gt;"")),'0209 4度C'!$T:$T)</f>
        <v>0.44236111111111109</v>
      </c>
      <c r="K17" s="80">
        <f>LOOKUP(2,1/(('0209 4度C'!$A:$A="新豐8線")*('0209 4度C'!$T:$T&lt;&gt;"")),'0209 4度C'!$T:$T)</f>
        <v>0.61111111111111105</v>
      </c>
      <c r="L17" s="81">
        <f>LOOKUP(2,1/(('0209 4度C'!$A:$A="新豐9線")*('0209 4度C'!$T:$T&lt;&gt;"")),'0209 4度C'!$T:$T)</f>
        <v>0.48680555555555549</v>
      </c>
      <c r="M17" s="82">
        <f>LOOKUP(2,1/(('0209 4度C'!$A:$A="新豐4線")*('0209 4度C'!$T:$T&lt;&gt;"")),'0209 4度C'!$T:$T)</f>
        <v>0.50138888888888888</v>
      </c>
    </row>
    <row r="18" spans="2:13" ht="17.25" customHeight="1">
      <c r="B18" s="103" t="s">
        <v>851</v>
      </c>
      <c r="C18" s="86" t="s">
        <v>852</v>
      </c>
      <c r="D18" s="87">
        <f>SUMIFS('0209 4度C'!$Y:$Y,'0209 4度C'!$A:$A,"新豐6線",'0209 4度C'!$B:$B,"平均")</f>
        <v>0</v>
      </c>
      <c r="E18" s="88">
        <f>SUMIFS('0209 4度C'!$Y:$Y,'0209 4度C'!$A:$A,"新豐2線",'0209 4度C'!$B:$B,"平均")</f>
        <v>0</v>
      </c>
      <c r="F18" s="88">
        <f>SUMIFS('0209 4度C'!$Y:$Y,'0209 4度C'!$A:$A,"新豐5線",'0209 4度C'!$B:$B,"平均")</f>
        <v>0</v>
      </c>
      <c r="G18" s="88">
        <f>SUMIFS('0209 4度C'!$Y:$Y,'0209 4度C'!$A:$A,"新豐7線",'0209 4度C'!$B:$B,"平均")</f>
        <v>0</v>
      </c>
      <c r="H18" s="88">
        <f>SUMIFS('0209 4度C'!$Y:$Y,'0209 4度C'!$A:$A,"新豐3線",'0209 4度C'!$B:$B,"平均")</f>
        <v>0</v>
      </c>
      <c r="I18" s="88">
        <f>SUMIFS('0209 4度C'!$Y:$Y,'0209 4度C'!$A:$A,"新豐1線",'0209 4度C'!$B:$B,"平均")</f>
        <v>0</v>
      </c>
      <c r="J18" s="89">
        <f>SUMIFS('0209 4度C'!$Y:$Y,'0209 4度C'!$A:$A,"新豐10線",'0209 4度C'!$B:$B,"平均")</f>
        <v>0</v>
      </c>
      <c r="K18" s="90">
        <f>SUMIFS('0209 4度C'!$Y:$Y,'0209 4度C'!$A:$A,"新豐8線",'0209 4度C'!$B:$B,"平均")</f>
        <v>0</v>
      </c>
      <c r="L18" s="88">
        <f>SUMIFS('0209 4度C'!$Y:$Y,'0209 4度C'!$A:$A,"新豐9線",'0209 4度C'!$B:$B,"平均")</f>
        <v>0</v>
      </c>
      <c r="M18" s="89">
        <f>SUMIFS('0209 4度C'!$Y:$Y,'0209 4度C'!$A:$A,"新豐4線",'0209 4度C'!$B:$B,"平均")</f>
        <v>0</v>
      </c>
    </row>
    <row r="19" spans="2:13" ht="17.25" customHeight="1">
      <c r="B19" s="104"/>
      <c r="C19" s="86" t="s">
        <v>853</v>
      </c>
      <c r="D19" s="87">
        <f>SUMIFS('0209 4度C'!$Z:$Z,'0209 4度C'!$A:$A,"新豐6線",'0209 4度C'!$B:$B,"平均")</f>
        <v>0</v>
      </c>
      <c r="E19" s="88">
        <f>SUMIFS('0209 4度C'!$Z:$Z,'0209 4度C'!$A:$A,"新豐2線",'0209 4度C'!$B:$B,"平均")</f>
        <v>0</v>
      </c>
      <c r="F19" s="88">
        <f>SUMIFS('0209 4度C'!$Z:$Z,'0209 4度C'!$A:$A,"新豐5線",'0209 4度C'!$B:$B,"平均")</f>
        <v>0</v>
      </c>
      <c r="G19" s="88">
        <f>SUMIFS('0209 4度C'!$Z:$Z,'0209 4度C'!$A:$A,"新豐7線",'0209 4度C'!$B:$B,"平均")</f>
        <v>0</v>
      </c>
      <c r="H19" s="88">
        <f>SUMIFS('0209 4度C'!$Z:$Z,'0209 4度C'!$A:$A,"新豐3線",'0209 4度C'!$B:$B,"平均")</f>
        <v>0</v>
      </c>
      <c r="I19" s="88">
        <f>SUMIFS('0209 4度C'!$Z:$Z,'0209 4度C'!$A:$A,"新豐1線",'0209 4度C'!$B:$B,"平均")</f>
        <v>0</v>
      </c>
      <c r="J19" s="89">
        <f>SUMIFS('0209 4度C'!$Z:$Z,'0209 4度C'!$A:$A,"新豐10線",'0209 4度C'!$B:$B,"平均")</f>
        <v>0</v>
      </c>
      <c r="K19" s="90">
        <f>SUMIFS('0209 4度C'!$Z:$Z,'0209 4度C'!$A:$A,"新豐8線",'0209 4度C'!$B:$B,"平均")</f>
        <v>0</v>
      </c>
      <c r="L19" s="88">
        <f>SUMIFS('0209 4度C'!$Z:$Z,'0209 4度C'!$A:$A,"新豐9線",'0209 4度C'!$B:$B,"平均")</f>
        <v>0</v>
      </c>
      <c r="M19" s="89">
        <f>SUMIFS('0209 4度C'!$Z:$Z,'0209 4度C'!$A:$A,"新豐4線",'0209 4度C'!$B:$B,"平均")</f>
        <v>0</v>
      </c>
    </row>
    <row r="20" spans="2:13" ht="17.25" customHeight="1">
      <c r="B20" s="103" t="s">
        <v>854</v>
      </c>
      <c r="C20" s="86" t="s">
        <v>42</v>
      </c>
      <c r="D20" s="87">
        <f>SUMIFS('0209 4度C'!$AC:$AC,'0209 4度C'!$A:$A,"新豐6線",'0209 4度C'!$B:$B,"平均")</f>
        <v>5</v>
      </c>
      <c r="E20" s="88">
        <f>SUMIFS('0209 4度C'!$AC:$AC,'0209 4度C'!$A:$A,"新豐2線",'0209 4度C'!$B:$B,"平均")</f>
        <v>2</v>
      </c>
      <c r="F20" s="88">
        <f>SUMIFS('0209 4度C'!$AC:$AC,'0209 4度C'!$A:$A,"新豐5線",'0209 4度C'!$B:$B,"平均")</f>
        <v>7</v>
      </c>
      <c r="G20" s="88">
        <f>SUMIFS('0209 4度C'!$AC:$AC,'0209 4度C'!$A:$A,"新豐7線",'0209 4度C'!$B:$B,"平均")</f>
        <v>6</v>
      </c>
      <c r="H20" s="88">
        <f>SUMIFS('0209 4度C'!$AC:$AC,'0209 4度C'!$A:$A,"新豐3線",'0209 4度C'!$B:$B,"平均")</f>
        <v>8</v>
      </c>
      <c r="I20" s="88">
        <f>SUMIFS('0209 4度C'!$AC:$AC,'0209 4度C'!$A:$A,"新豐1線",'0209 4度C'!$B:$B,"平均")</f>
        <v>10</v>
      </c>
      <c r="J20" s="89">
        <f>SUMIFS('0209 4度C'!$AC:$AC,'0209 4度C'!$A:$A,"新豐10線",'0209 4度C'!$B:$B,"平均")</f>
        <v>5</v>
      </c>
      <c r="K20" s="90">
        <f>SUMIFS('0209 4度C'!$AC:$AC,'0209 4度C'!$A:$A,"新豐8線",'0209 4度C'!$B:$B,"平均")</f>
        <v>6</v>
      </c>
      <c r="L20" s="88">
        <f>SUMIFS('0209 4度C'!$AC:$AC,'0209 4度C'!$A:$A,"新豐9線",'0209 4度C'!$B:$B,"平均")</f>
        <v>5</v>
      </c>
      <c r="M20" s="89">
        <f>SUMIFS('0209 4度C'!$AC:$AC,'0209 4度C'!$A:$A,"新豐4線",'0209 4度C'!$B:$B,"平均")</f>
        <v>5</v>
      </c>
    </row>
    <row r="21" spans="2:13" ht="17.25" customHeight="1">
      <c r="B21" s="104"/>
      <c r="C21" s="86" t="s">
        <v>855</v>
      </c>
      <c r="D21" s="87">
        <f>SUMIFS('0209 4度C'!$AD:$AD,'0209 4度C'!$A:$A,"新豐6線",'0209 4度C'!$B:$B,"平均")</f>
        <v>0</v>
      </c>
      <c r="E21" s="88">
        <f>SUMIFS('0209 4度C'!$AD:$AD,'0209 4度C'!$A:$A,"新豐2線",'0209 4度C'!$B:$B,"平均")</f>
        <v>0</v>
      </c>
      <c r="F21" s="88">
        <f>SUMIFS('0209 4度C'!$AD:$AD,'0209 4度C'!$A:$A,"新豐5線",'0209 4度C'!$B:$B,"平均")</f>
        <v>0</v>
      </c>
      <c r="G21" s="88">
        <f>SUMIFS('0209 4度C'!$AD:$AD,'0209 4度C'!$A:$A,"新豐7線",'0209 4度C'!$B:$B,"平均")</f>
        <v>0</v>
      </c>
      <c r="H21" s="88">
        <f>SUMIFS('0209 4度C'!$AD:$AD,'0209 4度C'!$A:$A,"新豐3線",'0209 4度C'!$B:$B,"平均")</f>
        <v>0</v>
      </c>
      <c r="I21" s="88">
        <f>SUMIFS('0209 4度C'!$AD:$AD,'0209 4度C'!$A:$A,"新豐1線",'0209 4度C'!$B:$B,"平均")</f>
        <v>0</v>
      </c>
      <c r="J21" s="89">
        <f>SUMIFS('0209 4度C'!$AD:$AD,'0209 4度C'!$A:$A,"新豐10線",'0209 4度C'!$B:$B,"平均")</f>
        <v>0</v>
      </c>
      <c r="K21" s="90">
        <f>SUMIFS('0209 4度C'!$AD:$AD,'0209 4度C'!$A:$A,"新豐8線",'0209 4度C'!$B:$B,"平均")</f>
        <v>0</v>
      </c>
      <c r="L21" s="88">
        <f>SUMIFS('0209 4度C'!$AD:$AD,'0209 4度C'!$A:$A,"新豐9線",'0209 4度C'!$B:$B,"平均")</f>
        <v>0</v>
      </c>
      <c r="M21" s="89">
        <f>SUMIFS('0209 4度C'!$AD:$AD,'0209 4度C'!$A:$A,"新豐4線",'0209 4度C'!$B:$B,"平均")</f>
        <v>0</v>
      </c>
    </row>
    <row r="22" spans="2:13" ht="17.25" customHeight="1">
      <c r="B22" s="105" t="s">
        <v>856</v>
      </c>
      <c r="C22" s="106"/>
      <c r="D22" s="91">
        <f>SUMIFS('0209 4度C'!$I:$I,'0209 4度C'!$A:$A,"新豐6線",'0209 4度C'!$B:$B,"平均")</f>
        <v>17.600000000000001</v>
      </c>
      <c r="E22" s="92">
        <f>SUMIFS('0209 4度C'!$I:$I,'0209 4度C'!$A:$A,"新豐2線",'0209 4度C'!$B:$B,"平均")</f>
        <v>18</v>
      </c>
      <c r="F22" s="92">
        <f>SUMIFS('0209 4度C'!$I:$I,'0209 4度C'!$A:$A,"新豐5線",'0209 4度C'!$B:$B,"平均")</f>
        <v>17</v>
      </c>
      <c r="G22" s="92">
        <f>SUMIFS('0209 4度C'!$I:$I,'0209 4度C'!$A:$A,"新豐7線",'0209 4度C'!$B:$B,"平均")</f>
        <v>15.333333333333334</v>
      </c>
      <c r="H22" s="92">
        <f>SUMIFS('0209 4度C'!$I:$I,'0209 4度C'!$A:$A,"新豐3線",'0209 4度C'!$B:$B,"平均")</f>
        <v>9.875</v>
      </c>
      <c r="I22" s="92">
        <f>SUMIFS('0209 4度C'!$I:$I,'0209 4度C'!$A:$A,"新豐1線",'0209 4度C'!$B:$B,"平均")</f>
        <v>18.8</v>
      </c>
      <c r="J22" s="93">
        <f>SUMIFS('0209 4度C'!$I:$I,'0209 4度C'!$A:$A,"新豐10線",'0209 4度C'!$B:$B,"平均")</f>
        <v>10.6</v>
      </c>
      <c r="K22" s="91">
        <f>SUMIFS('0209 4度C'!$I:$I,'0209 4度C'!$A:$A,"新豐8線",'0209 4度C'!$B:$B,"平均")</f>
        <v>18.166666666666668</v>
      </c>
      <c r="L22" s="92">
        <f>SUMIFS('0209 4度C'!$I:$I,'0209 4度C'!$A:$A,"新豐9線",'0209 4度C'!$B:$B,"平均")</f>
        <v>18</v>
      </c>
      <c r="M22" s="93">
        <f>SUMIFS('0209 4度C'!$I:$I,'0209 4度C'!$A:$A,"新豐4線",'0209 4度C'!$B:$B,"平均")</f>
        <v>16.600000000000001</v>
      </c>
    </row>
    <row r="23" spans="2:13" ht="17.25" customHeight="1">
      <c r="B23" s="105" t="s">
        <v>857</v>
      </c>
      <c r="C23" s="106"/>
      <c r="D23" s="94" t="s">
        <v>191</v>
      </c>
      <c r="E23" s="95" t="s">
        <v>192</v>
      </c>
      <c r="F23" s="95" t="s">
        <v>858</v>
      </c>
      <c r="G23" s="95" t="s">
        <v>858</v>
      </c>
      <c r="H23" s="95" t="s">
        <v>194</v>
      </c>
      <c r="I23" s="95" t="s">
        <v>191</v>
      </c>
      <c r="J23" s="96" t="s">
        <v>194</v>
      </c>
      <c r="K23" s="94" t="s">
        <v>859</v>
      </c>
      <c r="L23" s="95" t="s">
        <v>859</v>
      </c>
      <c r="M23" s="96" t="s">
        <v>859</v>
      </c>
    </row>
    <row r="24" spans="2:13" ht="17.25" customHeight="1">
      <c r="B24" s="105" t="s">
        <v>860</v>
      </c>
      <c r="C24" s="106"/>
      <c r="D24" s="94"/>
      <c r="E24" s="95"/>
      <c r="F24" s="95" t="s">
        <v>861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862</v>
      </c>
      <c r="C25" s="108"/>
      <c r="D25" s="97"/>
      <c r="E25" s="98" t="s">
        <v>863</v>
      </c>
      <c r="F25" s="101" t="s">
        <v>864</v>
      </c>
      <c r="G25" s="102"/>
      <c r="H25" s="98" t="s">
        <v>865</v>
      </c>
      <c r="I25" s="98" t="s">
        <v>866</v>
      </c>
      <c r="J25" s="99" t="s">
        <v>867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8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工作表13">
    <pageSetUpPr fitToPage="1"/>
  </sheetPr>
  <dimension ref="A1:AG74"/>
  <sheetViews>
    <sheetView zoomScale="80" zoomScaleNormal="80" workbookViewId="0">
      <pane ySplit="4" topLeftCell="A5" activePane="bottomLeft" state="frozen"/>
      <selection activeCell="I7" sqref="I7:J7"/>
      <selection pane="bottomLeft" activeCell="I7" sqref="I7:J7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868</v>
      </c>
      <c r="B1" s="1"/>
      <c r="C1" s="2" t="s">
        <v>869</v>
      </c>
      <c r="D1" s="3">
        <f>SUM(F5:F73)</f>
        <v>156085</v>
      </c>
      <c r="E1" s="4" t="s">
        <v>870</v>
      </c>
      <c r="F1" s="1">
        <f>SUM(G5:G73)</f>
        <v>5399101.4900000002</v>
      </c>
      <c r="G1" s="1" t="s">
        <v>871</v>
      </c>
      <c r="H1" s="5">
        <f>L10+L13+L50+L61+L21+L67+L35+L41+L28+L73</f>
        <v>159.97500000000002</v>
      </c>
      <c r="I1" s="214" t="s">
        <v>872</v>
      </c>
      <c r="J1" s="214"/>
      <c r="K1" s="214"/>
      <c r="L1" s="214" t="s">
        <v>873</v>
      </c>
      <c r="M1" s="214"/>
      <c r="N1" s="214"/>
      <c r="O1" s="214" t="s">
        <v>874</v>
      </c>
      <c r="P1" s="214"/>
      <c r="Q1" s="214"/>
      <c r="R1" s="214"/>
      <c r="S1" s="214" t="s">
        <v>875</v>
      </c>
      <c r="T1" s="214"/>
      <c r="U1" s="214"/>
      <c r="V1" s="214"/>
      <c r="W1" s="214"/>
      <c r="X1" s="214"/>
      <c r="Y1" s="6" t="s">
        <v>876</v>
      </c>
      <c r="Z1" s="7" t="s">
        <v>877</v>
      </c>
      <c r="AA1" s="215" t="s">
        <v>878</v>
      </c>
      <c r="AB1" s="215"/>
      <c r="AC1" s="8" t="s">
        <v>876</v>
      </c>
      <c r="AD1" s="7" t="s">
        <v>879</v>
      </c>
      <c r="AE1" s="214" t="s">
        <v>880</v>
      </c>
      <c r="AF1" s="216"/>
      <c r="AG1" s="216"/>
    </row>
    <row r="2" spans="1:33" ht="26.25" customHeight="1">
      <c r="A2" s="35">
        <v>46062</v>
      </c>
      <c r="B2" s="36" t="s">
        <v>254</v>
      </c>
      <c r="C2" s="2" t="s">
        <v>844</v>
      </c>
      <c r="D2" s="10">
        <f>AVERAGE(N10,N13,N50,N61,N21,N67,N28,N35,N41,N73)</f>
        <v>137.64748253440604</v>
      </c>
      <c r="E2" s="11" t="s">
        <v>14</v>
      </c>
      <c r="F2" s="12">
        <f>F1/D1</f>
        <v>34.590777396931159</v>
      </c>
      <c r="G2" s="1" t="s">
        <v>881</v>
      </c>
      <c r="H2" s="13">
        <f>COUNT(H5:H73)</f>
        <v>5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SUM(Y10+Y13+Y21+Y28+Y35+Y41+Y50+Y61+Y67+Y73)</f>
        <v>0</v>
      </c>
      <c r="Z2" s="14">
        <f>SUM(Z10+Z13+Z21+Z28+Z35+Z41+Z50+Z61+Z67+Z73)</f>
        <v>0</v>
      </c>
      <c r="AA2" s="215"/>
      <c r="AB2" s="215"/>
      <c r="AC2" s="14">
        <f>SUM(AC10+AC13+AC21+AC28+AC35+AC41+AC50+AC61+AC67+AC73)</f>
        <v>59</v>
      </c>
      <c r="AD2" s="14">
        <f>SUM(AD10+AD13+AD21+AD28+AD35+AD41+AD50+AD61+AD67+AD73)</f>
        <v>0</v>
      </c>
      <c r="AE2" s="216"/>
      <c r="AF2" s="216"/>
      <c r="AG2" s="216"/>
    </row>
    <row r="3" spans="1:33" ht="40.5" customHeight="1">
      <c r="A3" s="164" t="s">
        <v>882</v>
      </c>
      <c r="B3" s="164" t="s">
        <v>883</v>
      </c>
      <c r="C3" s="164" t="s">
        <v>884</v>
      </c>
      <c r="D3" s="164"/>
      <c r="E3" s="212" t="s">
        <v>885</v>
      </c>
      <c r="F3" s="164" t="s">
        <v>886</v>
      </c>
      <c r="G3" s="212" t="s">
        <v>887</v>
      </c>
      <c r="H3" s="206" t="s">
        <v>888</v>
      </c>
      <c r="I3" s="204" t="s">
        <v>889</v>
      </c>
      <c r="J3" s="201" t="s">
        <v>890</v>
      </c>
      <c r="K3" s="211" t="s">
        <v>844</v>
      </c>
      <c r="L3" s="204" t="s">
        <v>889</v>
      </c>
      <c r="M3" s="201" t="s">
        <v>890</v>
      </c>
      <c r="N3" s="211" t="s">
        <v>844</v>
      </c>
      <c r="O3" s="204" t="s">
        <v>889</v>
      </c>
      <c r="P3" s="211" t="s">
        <v>844</v>
      </c>
      <c r="Q3" s="202" t="s">
        <v>891</v>
      </c>
      <c r="R3" s="182" t="s">
        <v>892</v>
      </c>
      <c r="S3" s="164" t="s">
        <v>30</v>
      </c>
      <c r="T3" s="164"/>
      <c r="U3" s="206" t="s">
        <v>31</v>
      </c>
      <c r="V3" s="206" t="s">
        <v>893</v>
      </c>
      <c r="W3" s="164" t="s">
        <v>894</v>
      </c>
      <c r="X3" s="164"/>
      <c r="Y3" s="207" t="s">
        <v>895</v>
      </c>
      <c r="Z3" s="168"/>
      <c r="AA3" s="208" t="s">
        <v>896</v>
      </c>
      <c r="AB3" s="209"/>
      <c r="AC3" s="207" t="s">
        <v>897</v>
      </c>
      <c r="AD3" s="168"/>
      <c r="AE3" s="201" t="s">
        <v>890</v>
      </c>
      <c r="AF3" s="202" t="s">
        <v>891</v>
      </c>
      <c r="AG3" s="182" t="s">
        <v>892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898</v>
      </c>
      <c r="X4" s="4" t="s">
        <v>899</v>
      </c>
      <c r="Y4" s="15" t="s">
        <v>852</v>
      </c>
      <c r="Z4" s="15" t="s">
        <v>853</v>
      </c>
      <c r="AA4" s="210"/>
      <c r="AB4" s="209"/>
      <c r="AC4" s="15" t="s">
        <v>900</v>
      </c>
      <c r="AD4" s="15" t="s">
        <v>901</v>
      </c>
      <c r="AE4" s="201"/>
      <c r="AF4" s="202"/>
      <c r="AG4" s="182"/>
    </row>
    <row r="5" spans="1:33">
      <c r="A5" s="203" t="s">
        <v>902</v>
      </c>
      <c r="B5" s="37" t="s">
        <v>78</v>
      </c>
      <c r="C5" s="205" t="s">
        <v>79</v>
      </c>
      <c r="D5" s="205"/>
      <c r="E5" s="37">
        <v>50.67</v>
      </c>
      <c r="F5" s="4">
        <v>1442</v>
      </c>
      <c r="G5" s="4">
        <f t="shared" ref="G5:G9" si="0">E5*F5</f>
        <v>73066.14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9" si="2">F5/V5*60</f>
        <v>1922.6666666666667</v>
      </c>
      <c r="N5" s="17">
        <f t="shared" ref="N5:N68" si="3">M5/L5</f>
        <v>113.09803921568628</v>
      </c>
      <c r="O5" s="19">
        <f t="shared" ref="O5:O68" si="4">L5-I5</f>
        <v>0</v>
      </c>
      <c r="P5" s="20">
        <f t="shared" ref="P5:P68" si="5">N5-K5</f>
        <v>-4.5490196078431211</v>
      </c>
      <c r="Q5" s="21">
        <f t="shared" ref="Q5:Q68" si="6">N5/K5</f>
        <v>0.96133333333333348</v>
      </c>
      <c r="R5" s="172">
        <f>Q10</f>
        <v>0.96704405797101334</v>
      </c>
      <c r="S5" s="28">
        <v>0.70833333333333337</v>
      </c>
      <c r="T5" s="28">
        <v>0.73958333333333337</v>
      </c>
      <c r="U5" s="4"/>
      <c r="V5" s="22">
        <f t="shared" ref="V5:V9" si="7">(T5-S5)*24*60</f>
        <v>45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60" si="8">M5-J5</f>
        <v>-77.333333333333258</v>
      </c>
      <c r="AF5" s="21">
        <f t="shared" ref="AF5:AF68" si="9">M5/J5</f>
        <v>0.96133333333333337</v>
      </c>
      <c r="AG5" s="172">
        <f>AF10</f>
        <v>0.96704405797101334</v>
      </c>
    </row>
    <row r="6" spans="1:33">
      <c r="A6" s="204" t="s">
        <v>903</v>
      </c>
      <c r="B6" s="37" t="s">
        <v>78</v>
      </c>
      <c r="C6" s="205" t="s">
        <v>80</v>
      </c>
      <c r="D6" s="205"/>
      <c r="E6" s="37">
        <v>54.09</v>
      </c>
      <c r="F6" s="4">
        <v>1288</v>
      </c>
      <c r="G6" s="4">
        <f t="shared" si="0"/>
        <v>69667.92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1931.9999999999993</v>
      </c>
      <c r="N6" s="17">
        <f t="shared" si="3"/>
        <v>101.68421052631575</v>
      </c>
      <c r="O6" s="19">
        <f t="shared" si="4"/>
        <v>0</v>
      </c>
      <c r="P6" s="20">
        <f t="shared" si="5"/>
        <v>-3.5789473684210833</v>
      </c>
      <c r="Q6" s="21">
        <f t="shared" si="6"/>
        <v>0.96599999999999975</v>
      </c>
      <c r="R6" s="172"/>
      <c r="S6" s="28">
        <v>0.74444444444444446</v>
      </c>
      <c r="T6" s="28">
        <v>0.77222222222222225</v>
      </c>
      <c r="U6" s="4">
        <f t="shared" ref="U6:U9" si="10">IF(S6=TIME(17,0,0),"",(S6-T5)*24*60)</f>
        <v>6.9999999999999751</v>
      </c>
      <c r="V6" s="22">
        <f t="shared" si="7"/>
        <v>40.000000000000014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-68.000000000000682</v>
      </c>
      <c r="AF6" s="21">
        <f t="shared" si="9"/>
        <v>0.96599999999999964</v>
      </c>
      <c r="AG6" s="172"/>
    </row>
    <row r="7" spans="1:33">
      <c r="A7" s="204" t="s">
        <v>903</v>
      </c>
      <c r="B7" s="37" t="s">
        <v>78</v>
      </c>
      <c r="C7" s="196" t="s">
        <v>81</v>
      </c>
      <c r="D7" s="197"/>
      <c r="E7" s="37">
        <v>50.29</v>
      </c>
      <c r="F7" s="4">
        <v>820</v>
      </c>
      <c r="G7" s="4">
        <f t="shared" si="0"/>
        <v>41237.800000000003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1967.9999999999943</v>
      </c>
      <c r="N7" s="17">
        <f t="shared" si="3"/>
        <v>122.99999999999964</v>
      </c>
      <c r="O7" s="19">
        <f t="shared" si="4"/>
        <v>0</v>
      </c>
      <c r="P7" s="20">
        <f t="shared" si="5"/>
        <v>-2.0000000000003553</v>
      </c>
      <c r="Q7" s="21">
        <f t="shared" si="6"/>
        <v>0.98399999999999721</v>
      </c>
      <c r="R7" s="172"/>
      <c r="S7" s="28">
        <v>0.77708333333333335</v>
      </c>
      <c r="T7" s="28">
        <v>0.79444444444444451</v>
      </c>
      <c r="U7" s="4">
        <f t="shared" si="10"/>
        <v>6.9999999999999751</v>
      </c>
      <c r="V7" s="22">
        <f t="shared" si="7"/>
        <v>25.000000000000071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-32.000000000005684</v>
      </c>
      <c r="AF7" s="21">
        <f t="shared" si="9"/>
        <v>0.98399999999999721</v>
      </c>
      <c r="AG7" s="172"/>
    </row>
    <row r="8" spans="1:33">
      <c r="A8" s="204" t="s">
        <v>903</v>
      </c>
      <c r="B8" s="37" t="s">
        <v>78</v>
      </c>
      <c r="C8" s="196" t="s">
        <v>82</v>
      </c>
      <c r="D8" s="197"/>
      <c r="E8" s="37">
        <v>57.3</v>
      </c>
      <c r="F8" s="4">
        <v>1489</v>
      </c>
      <c r="G8" s="4">
        <f t="shared" si="0"/>
        <v>85319.7</v>
      </c>
      <c r="H8" s="22" t="s">
        <v>139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1942.1739130434783</v>
      </c>
      <c r="N8" s="17">
        <f t="shared" si="3"/>
        <v>129.47826086956522</v>
      </c>
      <c r="O8" s="19">
        <f t="shared" si="4"/>
        <v>0</v>
      </c>
      <c r="P8" s="20">
        <f t="shared" si="5"/>
        <v>-3.8550724637681242</v>
      </c>
      <c r="Q8" s="21">
        <f t="shared" si="6"/>
        <v>0.97108695652173904</v>
      </c>
      <c r="R8" s="172"/>
      <c r="S8" s="28">
        <v>0.8</v>
      </c>
      <c r="T8" s="28">
        <v>0.83194444444444449</v>
      </c>
      <c r="U8" s="4">
        <f t="shared" si="10"/>
        <v>7.9999999999999716</v>
      </c>
      <c r="V8" s="22">
        <f t="shared" si="7"/>
        <v>46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-57.826086956521749</v>
      </c>
      <c r="AF8" s="21">
        <f t="shared" si="9"/>
        <v>0.97108695652173915</v>
      </c>
      <c r="AG8" s="172"/>
    </row>
    <row r="9" spans="1:33">
      <c r="A9" s="204" t="s">
        <v>903</v>
      </c>
      <c r="B9" s="37" t="s">
        <v>78</v>
      </c>
      <c r="C9" s="196" t="s">
        <v>83</v>
      </c>
      <c r="D9" s="197"/>
      <c r="E9" s="37">
        <v>50.67</v>
      </c>
      <c r="F9" s="4">
        <v>794</v>
      </c>
      <c r="G9" s="4">
        <f t="shared" si="0"/>
        <v>40231.980000000003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1905.5999999999945</v>
      </c>
      <c r="N9" s="17">
        <f t="shared" si="3"/>
        <v>90.742857142856877</v>
      </c>
      <c r="O9" s="19">
        <f t="shared" si="4"/>
        <v>0</v>
      </c>
      <c r="P9" s="20">
        <f t="shared" si="5"/>
        <v>-4.4952380952383635</v>
      </c>
      <c r="Q9" s="21">
        <f t="shared" si="6"/>
        <v>0.9527999999999972</v>
      </c>
      <c r="R9" s="172"/>
      <c r="S9" s="28">
        <v>0.83611111111111114</v>
      </c>
      <c r="T9" s="28">
        <v>0.8534722222222223</v>
      </c>
      <c r="U9" s="4">
        <f t="shared" si="10"/>
        <v>5.9999999999999787</v>
      </c>
      <c r="V9" s="22">
        <f t="shared" si="7"/>
        <v>25.000000000000071</v>
      </c>
      <c r="W9" s="23"/>
      <c r="X9" s="23"/>
      <c r="Y9" s="26"/>
      <c r="Z9" s="26"/>
      <c r="AA9" s="175"/>
      <c r="AB9" s="176"/>
      <c r="AC9" s="25"/>
      <c r="AD9" s="27"/>
      <c r="AE9" s="19">
        <f t="shared" si="8"/>
        <v>-94.400000000005548</v>
      </c>
      <c r="AF9" s="21">
        <f t="shared" si="9"/>
        <v>0.9527999999999972</v>
      </c>
      <c r="AG9" s="172"/>
    </row>
    <row r="10" spans="1:33">
      <c r="A10" s="204" t="s">
        <v>903</v>
      </c>
      <c r="B10" s="37" t="s">
        <v>904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1"/>
        <v>113.63636363636363</v>
      </c>
      <c r="L10" s="30">
        <v>17.600000000000001</v>
      </c>
      <c r="M10" s="18">
        <f>AVERAGE(M5:M9)</f>
        <v>1934.0881159420267</v>
      </c>
      <c r="N10" s="17">
        <f t="shared" si="3"/>
        <v>109.89137022397878</v>
      </c>
      <c r="O10" s="19">
        <f t="shared" si="4"/>
        <v>0</v>
      </c>
      <c r="P10" s="20">
        <f t="shared" si="5"/>
        <v>-3.7449934123848436</v>
      </c>
      <c r="Q10" s="21">
        <f t="shared" si="6"/>
        <v>0.96704405797101334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8"/>
        <v>-65.911884057973339</v>
      </c>
      <c r="AF10" s="21">
        <f t="shared" si="9"/>
        <v>0.96704405797101334</v>
      </c>
      <c r="AG10" s="172"/>
    </row>
    <row r="11" spans="1:33" ht="15.75" customHeight="1">
      <c r="A11" s="200" t="s">
        <v>905</v>
      </c>
      <c r="B11" s="37" t="s">
        <v>84</v>
      </c>
      <c r="C11" s="196" t="s">
        <v>85</v>
      </c>
      <c r="D11" s="197"/>
      <c r="E11" s="37">
        <v>39.619999999999997</v>
      </c>
      <c r="F11" s="4">
        <v>3350</v>
      </c>
      <c r="G11" s="4">
        <f t="shared" ref="G11:G12" si="11">E11*F11</f>
        <v>132727</v>
      </c>
      <c r="H11" s="22" t="s">
        <v>139</v>
      </c>
      <c r="I11" s="16">
        <v>19</v>
      </c>
      <c r="J11" s="18">
        <v>1500</v>
      </c>
      <c r="K11" s="17">
        <f t="shared" si="1"/>
        <v>78.94736842105263</v>
      </c>
      <c r="L11" s="16">
        <v>19</v>
      </c>
      <c r="M11" s="18">
        <f t="shared" ref="M11:M12" si="12">F11/V11*60</f>
        <v>1435.7142857142853</v>
      </c>
      <c r="N11" s="17">
        <f t="shared" si="3"/>
        <v>75.56390977443607</v>
      </c>
      <c r="O11" s="19">
        <f t="shared" si="4"/>
        <v>0</v>
      </c>
      <c r="P11" s="20">
        <f t="shared" si="5"/>
        <v>-3.3834586466165604</v>
      </c>
      <c r="Q11" s="21">
        <f t="shared" si="6"/>
        <v>0.95714285714285685</v>
      </c>
      <c r="R11" s="172">
        <f>Q13</f>
        <v>0.95584415584415561</v>
      </c>
      <c r="S11" s="28">
        <v>0.20833333333333334</v>
      </c>
      <c r="T11" s="28">
        <v>0.30555555555555558</v>
      </c>
      <c r="U11" s="4"/>
      <c r="V11" s="22">
        <f t="shared" ref="V11:V12" si="13">(T11-S11)*24*60</f>
        <v>140.00000000000003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8"/>
        <v>-64.285714285714675</v>
      </c>
      <c r="AF11" s="21">
        <f t="shared" si="9"/>
        <v>0.95714285714285685</v>
      </c>
      <c r="AG11" s="172">
        <f>AF13</f>
        <v>0.95584415584415561</v>
      </c>
    </row>
    <row r="12" spans="1:33" ht="15.75" customHeight="1">
      <c r="A12" s="200" t="s">
        <v>905</v>
      </c>
      <c r="B12" s="37" t="s">
        <v>84</v>
      </c>
      <c r="C12" s="196" t="s">
        <v>86</v>
      </c>
      <c r="D12" s="197"/>
      <c r="E12" s="37">
        <v>39.799999999999997</v>
      </c>
      <c r="F12" s="4">
        <v>5250</v>
      </c>
      <c r="G12" s="4">
        <f t="shared" si="11"/>
        <v>208949.99999999997</v>
      </c>
      <c r="H12" s="22" t="s">
        <v>139</v>
      </c>
      <c r="I12" s="16">
        <v>17</v>
      </c>
      <c r="J12" s="18">
        <v>1500</v>
      </c>
      <c r="K12" s="17">
        <f t="shared" si="1"/>
        <v>88.235294117647058</v>
      </c>
      <c r="L12" s="16">
        <v>17</v>
      </c>
      <c r="M12" s="18">
        <f t="shared" si="12"/>
        <v>1431.8181818181815</v>
      </c>
      <c r="N12" s="17">
        <f t="shared" si="3"/>
        <v>84.224598930481264</v>
      </c>
      <c r="O12" s="19">
        <f t="shared" si="4"/>
        <v>0</v>
      </c>
      <c r="P12" s="20">
        <f t="shared" si="5"/>
        <v>-4.0106951871657941</v>
      </c>
      <c r="Q12" s="21">
        <f t="shared" si="6"/>
        <v>0.95454545454545436</v>
      </c>
      <c r="R12" s="172"/>
      <c r="S12" s="28">
        <v>0.31041666666666667</v>
      </c>
      <c r="T12" s="28">
        <v>0.46319444444444446</v>
      </c>
      <c r="U12" s="4">
        <f t="shared" ref="U12" si="14">IF(S12=TIME(17,0,0),"",(S12-T11)*24*60)</f>
        <v>6.9999999999999751</v>
      </c>
      <c r="V12" s="22">
        <f t="shared" si="13"/>
        <v>220.00000000000003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8"/>
        <v>-68.181818181818471</v>
      </c>
      <c r="AF12" s="21">
        <f t="shared" si="9"/>
        <v>0.95454545454545436</v>
      </c>
      <c r="AG12" s="172"/>
    </row>
    <row r="13" spans="1:33" ht="16.5" customHeight="1">
      <c r="A13" s="200" t="s">
        <v>905</v>
      </c>
      <c r="B13" s="37" t="s">
        <v>904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1"/>
        <v>83.333333333333329</v>
      </c>
      <c r="L13" s="30">
        <v>18</v>
      </c>
      <c r="M13" s="18">
        <f>AVERAGE(M11:M12)</f>
        <v>1433.7662337662334</v>
      </c>
      <c r="N13" s="17">
        <f t="shared" si="3"/>
        <v>79.653679653679632</v>
      </c>
      <c r="O13" s="19">
        <f t="shared" si="4"/>
        <v>0</v>
      </c>
      <c r="P13" s="20">
        <f t="shared" si="5"/>
        <v>-3.6796536796536969</v>
      </c>
      <c r="Q13" s="21">
        <f t="shared" si="6"/>
        <v>0.95584415584415561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8"/>
        <v>-66.233766233766573</v>
      </c>
      <c r="AF13" s="21">
        <f t="shared" si="9"/>
        <v>0.95584415584415561</v>
      </c>
      <c r="AG13" s="172"/>
    </row>
    <row r="14" spans="1:33" ht="16.5" customHeight="1">
      <c r="A14" s="198" t="s">
        <v>906</v>
      </c>
      <c r="B14" s="4" t="s">
        <v>87</v>
      </c>
      <c r="C14" s="190" t="s">
        <v>88</v>
      </c>
      <c r="D14" s="190"/>
      <c r="E14" s="37">
        <v>41</v>
      </c>
      <c r="F14" s="4">
        <v>2620</v>
      </c>
      <c r="G14" s="4">
        <f t="shared" ref="G14:G20" si="15">E14*F14</f>
        <v>107420</v>
      </c>
      <c r="H14" s="22" t="s">
        <v>139</v>
      </c>
      <c r="I14" s="16">
        <v>26</v>
      </c>
      <c r="J14" s="18">
        <v>1500</v>
      </c>
      <c r="K14" s="17">
        <f t="shared" si="1"/>
        <v>57.692307692307693</v>
      </c>
      <c r="L14" s="16">
        <v>26</v>
      </c>
      <c r="M14" s="18">
        <f t="shared" ref="M14:M20" si="16">F14/V14*60</f>
        <v>1429.0909090909095</v>
      </c>
      <c r="N14" s="17">
        <f t="shared" si="3"/>
        <v>54.965034965034981</v>
      </c>
      <c r="O14" s="19">
        <f t="shared" si="4"/>
        <v>0</v>
      </c>
      <c r="P14" s="20">
        <f t="shared" si="5"/>
        <v>-2.7272727272727124</v>
      </c>
      <c r="Q14" s="21">
        <f t="shared" si="6"/>
        <v>0.95272727272727298</v>
      </c>
      <c r="R14" s="172">
        <f>Q21</f>
        <v>0.95893610953866537</v>
      </c>
      <c r="S14" s="28">
        <v>0.20833333333333334</v>
      </c>
      <c r="T14" s="28">
        <v>0.28472222222222221</v>
      </c>
      <c r="U14" s="4"/>
      <c r="V14" s="22">
        <f t="shared" ref="V14:V20" si="17">(T14-S14)*24*60</f>
        <v>109.99999999999997</v>
      </c>
      <c r="W14" s="28"/>
      <c r="X14" s="28"/>
      <c r="Y14" s="28"/>
      <c r="Z14" s="28"/>
      <c r="AA14" s="164"/>
      <c r="AB14" s="164"/>
      <c r="AC14" s="25">
        <v>7</v>
      </c>
      <c r="AD14" s="25"/>
      <c r="AE14" s="19">
        <f t="shared" si="8"/>
        <v>-70.909090909090537</v>
      </c>
      <c r="AF14" s="21">
        <f t="shared" si="9"/>
        <v>0.95272727272727298</v>
      </c>
      <c r="AG14" s="172">
        <f>AF21</f>
        <v>0.95893610953866537</v>
      </c>
    </row>
    <row r="15" spans="1:33" ht="16.5" customHeight="1">
      <c r="A15" s="199" t="s">
        <v>906</v>
      </c>
      <c r="B15" s="4" t="s">
        <v>89</v>
      </c>
      <c r="C15" s="190" t="s">
        <v>90</v>
      </c>
      <c r="D15" s="190"/>
      <c r="E15" s="37">
        <v>72.400000000000006</v>
      </c>
      <c r="F15" s="4">
        <v>816</v>
      </c>
      <c r="G15" s="4">
        <f t="shared" si="15"/>
        <v>59078.400000000001</v>
      </c>
      <c r="H15" s="22" t="s">
        <v>139</v>
      </c>
      <c r="I15" s="16">
        <v>18</v>
      </c>
      <c r="J15" s="18">
        <v>1500</v>
      </c>
      <c r="K15" s="17">
        <f t="shared" si="1"/>
        <v>83.333333333333329</v>
      </c>
      <c r="L15" s="16">
        <v>18</v>
      </c>
      <c r="M15" s="18">
        <f t="shared" si="16"/>
        <v>1439.9999999999982</v>
      </c>
      <c r="N15" s="17">
        <f t="shared" si="3"/>
        <v>79.999999999999901</v>
      </c>
      <c r="O15" s="19">
        <f t="shared" si="4"/>
        <v>0</v>
      </c>
      <c r="P15" s="20">
        <f t="shared" si="5"/>
        <v>-3.3333333333334281</v>
      </c>
      <c r="Q15" s="21">
        <f t="shared" si="6"/>
        <v>0.95999999999999885</v>
      </c>
      <c r="R15" s="172"/>
      <c r="S15" s="28">
        <v>0.2895833333333333</v>
      </c>
      <c r="T15" s="28">
        <v>0.31319444444444444</v>
      </c>
      <c r="U15" s="4">
        <f t="shared" ref="U15:U20" si="18">IF(S15=TIME(17,0,0),"",(S15-T14)*24*60)</f>
        <v>6.9999999999999751</v>
      </c>
      <c r="V15" s="22">
        <f t="shared" si="17"/>
        <v>34.000000000000043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8"/>
        <v>-60.000000000001819</v>
      </c>
      <c r="AF15" s="21">
        <f t="shared" si="9"/>
        <v>0.95999999999999874</v>
      </c>
      <c r="AG15" s="172"/>
    </row>
    <row r="16" spans="1:33" ht="16.5" customHeight="1">
      <c r="A16" s="199" t="s">
        <v>906</v>
      </c>
      <c r="B16" s="4" t="s">
        <v>78</v>
      </c>
      <c r="C16" s="190" t="s">
        <v>91</v>
      </c>
      <c r="D16" s="190"/>
      <c r="E16" s="37">
        <v>50.98</v>
      </c>
      <c r="F16" s="4">
        <v>1000</v>
      </c>
      <c r="G16" s="4">
        <f t="shared" si="15"/>
        <v>50980</v>
      </c>
      <c r="H16" s="22">
        <v>2</v>
      </c>
      <c r="I16" s="16">
        <v>16</v>
      </c>
      <c r="J16" s="18">
        <v>2000</v>
      </c>
      <c r="K16" s="17">
        <f t="shared" si="1"/>
        <v>125</v>
      </c>
      <c r="L16" s="16">
        <v>16</v>
      </c>
      <c r="M16" s="18">
        <f t="shared" si="16"/>
        <v>1935.483870967739</v>
      </c>
      <c r="N16" s="17">
        <f t="shared" si="3"/>
        <v>120.96774193548369</v>
      </c>
      <c r="O16" s="19">
        <f t="shared" si="4"/>
        <v>0</v>
      </c>
      <c r="P16" s="20">
        <f t="shared" si="5"/>
        <v>-4.0322580645163129</v>
      </c>
      <c r="Q16" s="21">
        <f t="shared" si="6"/>
        <v>0.96774193548386944</v>
      </c>
      <c r="R16" s="172"/>
      <c r="S16" s="28">
        <v>0.70833333333333337</v>
      </c>
      <c r="T16" s="28">
        <v>0.72986111111111118</v>
      </c>
      <c r="U16" s="4" t="str">
        <f t="shared" si="18"/>
        <v/>
      </c>
      <c r="V16" s="22">
        <f t="shared" si="17"/>
        <v>31.00000000000005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-64.516129032261006</v>
      </c>
      <c r="AF16" s="21">
        <f t="shared" si="9"/>
        <v>0.96774193548386944</v>
      </c>
      <c r="AG16" s="172"/>
    </row>
    <row r="17" spans="1:33" ht="16.5" customHeight="1">
      <c r="A17" s="199" t="s">
        <v>906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f t="shared" si="15"/>
        <v>40736</v>
      </c>
      <c r="H17" s="22">
        <v>2</v>
      </c>
      <c r="I17" s="16">
        <v>15</v>
      </c>
      <c r="J17" s="18">
        <v>2000</v>
      </c>
      <c r="K17" s="17">
        <f t="shared" si="1"/>
        <v>133.33333333333334</v>
      </c>
      <c r="L17" s="16">
        <v>15</v>
      </c>
      <c r="M17" s="18">
        <f t="shared" si="16"/>
        <v>1919.9999999999945</v>
      </c>
      <c r="N17" s="17">
        <f t="shared" si="3"/>
        <v>127.99999999999963</v>
      </c>
      <c r="O17" s="19">
        <f t="shared" si="4"/>
        <v>0</v>
      </c>
      <c r="P17" s="20">
        <f t="shared" si="5"/>
        <v>-5.3333333333337123</v>
      </c>
      <c r="Q17" s="21">
        <f t="shared" si="6"/>
        <v>0.95999999999999719</v>
      </c>
      <c r="R17" s="172"/>
      <c r="S17" s="28">
        <v>0.73402777777777783</v>
      </c>
      <c r="T17" s="28">
        <v>0.75138888888888899</v>
      </c>
      <c r="U17" s="4">
        <f t="shared" si="18"/>
        <v>5.9999999999999787</v>
      </c>
      <c r="V17" s="22">
        <f t="shared" si="17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-80.000000000005457</v>
      </c>
      <c r="AF17" s="21">
        <f t="shared" si="9"/>
        <v>0.9599999999999973</v>
      </c>
      <c r="AG17" s="172"/>
    </row>
    <row r="18" spans="1:33" ht="16.5" customHeight="1">
      <c r="A18" s="199" t="s">
        <v>906</v>
      </c>
      <c r="B18" s="4" t="s">
        <v>78</v>
      </c>
      <c r="C18" s="190" t="s">
        <v>93</v>
      </c>
      <c r="D18" s="190"/>
      <c r="E18" s="37">
        <v>50.67</v>
      </c>
      <c r="F18" s="4">
        <v>1664</v>
      </c>
      <c r="G18" s="4">
        <f t="shared" si="15"/>
        <v>84314.880000000005</v>
      </c>
      <c r="H18" s="22" t="s">
        <v>139</v>
      </c>
      <c r="I18" s="16">
        <v>15</v>
      </c>
      <c r="J18" s="18">
        <v>2000</v>
      </c>
      <c r="K18" s="17">
        <f t="shared" si="1"/>
        <v>133.33333333333334</v>
      </c>
      <c r="L18" s="16">
        <v>15</v>
      </c>
      <c r="M18" s="18">
        <f t="shared" si="16"/>
        <v>1920.0000000000009</v>
      </c>
      <c r="N18" s="17">
        <f t="shared" si="3"/>
        <v>128.00000000000006</v>
      </c>
      <c r="O18" s="19">
        <f t="shared" si="4"/>
        <v>0</v>
      </c>
      <c r="P18" s="20">
        <f t="shared" si="5"/>
        <v>-5.333333333333286</v>
      </c>
      <c r="Q18" s="21">
        <f t="shared" si="6"/>
        <v>0.96000000000000041</v>
      </c>
      <c r="R18" s="172"/>
      <c r="S18" s="28">
        <v>0.75625000000000009</v>
      </c>
      <c r="T18" s="28">
        <v>0.79236111111111118</v>
      </c>
      <c r="U18" s="4">
        <f t="shared" si="18"/>
        <v>6.9999999999999751</v>
      </c>
      <c r="V18" s="22">
        <f t="shared" si="17"/>
        <v>51.999999999999972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-79.999999999999091</v>
      </c>
      <c r="AF18" s="21">
        <f t="shared" si="9"/>
        <v>0.96000000000000041</v>
      </c>
      <c r="AG18" s="172"/>
    </row>
    <row r="19" spans="1:33" ht="16.5" customHeight="1">
      <c r="A19" s="199" t="s">
        <v>906</v>
      </c>
      <c r="B19" s="4" t="s">
        <v>78</v>
      </c>
      <c r="C19" s="217" t="s">
        <v>94</v>
      </c>
      <c r="D19" s="218"/>
      <c r="E19" s="37">
        <v>57.3</v>
      </c>
      <c r="F19" s="4">
        <v>1972</v>
      </c>
      <c r="G19" s="4">
        <f t="shared" si="15"/>
        <v>112995.59999999999</v>
      </c>
      <c r="H19" s="22" t="s">
        <v>139</v>
      </c>
      <c r="I19" s="16">
        <v>13</v>
      </c>
      <c r="J19" s="18">
        <v>2000</v>
      </c>
      <c r="K19" s="17">
        <f t="shared" si="1"/>
        <v>153.84615384615384</v>
      </c>
      <c r="L19" s="16">
        <v>13</v>
      </c>
      <c r="M19" s="18">
        <f t="shared" si="16"/>
        <v>1908.3870967741955</v>
      </c>
      <c r="N19" s="17">
        <f t="shared" si="3"/>
        <v>146.79900744416889</v>
      </c>
      <c r="O19" s="19">
        <f t="shared" si="4"/>
        <v>0</v>
      </c>
      <c r="P19" s="20">
        <f t="shared" si="5"/>
        <v>-7.0471464019849464</v>
      </c>
      <c r="Q19" s="21">
        <f t="shared" si="6"/>
        <v>0.9541935483870978</v>
      </c>
      <c r="R19" s="172"/>
      <c r="S19" s="28">
        <v>0.79791666666666672</v>
      </c>
      <c r="T19" s="28">
        <v>0.84097222222222223</v>
      </c>
      <c r="U19" s="4">
        <f t="shared" si="18"/>
        <v>7.9999999999999716</v>
      </c>
      <c r="V19" s="22">
        <f t="shared" si="17"/>
        <v>61.999999999999943</v>
      </c>
      <c r="W19" s="23">
        <f>T19</f>
        <v>0.84097222222222223</v>
      </c>
      <c r="X19" s="23">
        <f>S20</f>
        <v>0.87986111111111109</v>
      </c>
      <c r="Y19" s="26"/>
      <c r="Z19" s="26"/>
      <c r="AA19" s="175"/>
      <c r="AB19" s="176"/>
      <c r="AC19" s="25"/>
      <c r="AD19" s="25"/>
      <c r="AE19" s="19">
        <f t="shared" si="8"/>
        <v>-91.61290322580453</v>
      </c>
      <c r="AF19" s="21">
        <f t="shared" si="9"/>
        <v>0.95419354838709769</v>
      </c>
      <c r="AG19" s="172"/>
    </row>
    <row r="20" spans="1:33" ht="16.5" customHeight="1">
      <c r="A20" s="199" t="s">
        <v>906</v>
      </c>
      <c r="B20" s="4" t="s">
        <v>78</v>
      </c>
      <c r="C20" s="39" t="s">
        <v>91</v>
      </c>
      <c r="D20" s="40"/>
      <c r="E20" s="37">
        <v>50.98</v>
      </c>
      <c r="F20" s="4">
        <v>1690</v>
      </c>
      <c r="G20" s="4">
        <f t="shared" si="15"/>
        <v>86156.2</v>
      </c>
      <c r="H20" s="22" t="s">
        <v>139</v>
      </c>
      <c r="I20" s="16">
        <v>16</v>
      </c>
      <c r="J20" s="18">
        <v>2000</v>
      </c>
      <c r="K20" s="17">
        <f t="shared" si="1"/>
        <v>125</v>
      </c>
      <c r="L20" s="16">
        <v>16</v>
      </c>
      <c r="M20" s="18">
        <f t="shared" si="16"/>
        <v>1913.2075471698124</v>
      </c>
      <c r="N20" s="17">
        <f t="shared" si="3"/>
        <v>119.57547169811328</v>
      </c>
      <c r="O20" s="19">
        <f t="shared" si="4"/>
        <v>0</v>
      </c>
      <c r="P20" s="20">
        <f t="shared" si="5"/>
        <v>-5.4245283018867241</v>
      </c>
      <c r="Q20" s="21">
        <f t="shared" si="6"/>
        <v>0.95660377358490623</v>
      </c>
      <c r="R20" s="172"/>
      <c r="S20" s="28">
        <v>0.87986111111111109</v>
      </c>
      <c r="T20" s="28">
        <v>0.91666666666666663</v>
      </c>
      <c r="U20" s="4">
        <f t="shared" si="18"/>
        <v>55.999999999999957</v>
      </c>
      <c r="V20" s="22">
        <f t="shared" si="17"/>
        <v>52.999999999999972</v>
      </c>
      <c r="W20" s="23"/>
      <c r="X20" s="23"/>
      <c r="Y20" s="26"/>
      <c r="Z20" s="26"/>
      <c r="AA20" s="175"/>
      <c r="AB20" s="176"/>
      <c r="AC20" s="25"/>
      <c r="AD20" s="25"/>
      <c r="AE20" s="19">
        <f t="shared" si="8"/>
        <v>-86.792452830187585</v>
      </c>
      <c r="AF20" s="21">
        <f t="shared" si="9"/>
        <v>0.95660377358490623</v>
      </c>
      <c r="AG20" s="172"/>
    </row>
    <row r="21" spans="1:33" ht="16.5" customHeight="1">
      <c r="A21" s="199" t="s">
        <v>906</v>
      </c>
      <c r="B21" s="37" t="s">
        <v>904</v>
      </c>
      <c r="C21" s="177"/>
      <c r="D21" s="177"/>
      <c r="E21" s="38"/>
      <c r="F21" s="17"/>
      <c r="G21" s="17"/>
      <c r="H21" s="4"/>
      <c r="I21" s="30">
        <v>17</v>
      </c>
      <c r="J21" s="18">
        <v>1857.1428571428571</v>
      </c>
      <c r="K21" s="17">
        <f t="shared" si="1"/>
        <v>109.24369747899159</v>
      </c>
      <c r="L21" s="30">
        <v>17</v>
      </c>
      <c r="M21" s="18">
        <f>AVERAGE(M14:M20)</f>
        <v>1780.8813462860928</v>
      </c>
      <c r="N21" s="17">
        <f t="shared" si="3"/>
        <v>104.75772625212311</v>
      </c>
      <c r="O21" s="19">
        <f t="shared" si="4"/>
        <v>0</v>
      </c>
      <c r="P21" s="20">
        <f t="shared" si="5"/>
        <v>-4.4859712268684859</v>
      </c>
      <c r="Q21" s="21">
        <f t="shared" si="6"/>
        <v>0.95893610953866537</v>
      </c>
      <c r="R21" s="172"/>
      <c r="S21" s="28"/>
      <c r="T21" s="28"/>
      <c r="U21" s="4"/>
      <c r="V21" s="22"/>
      <c r="W21" s="17"/>
      <c r="X21" s="17"/>
      <c r="Y21" s="31">
        <f>SUM(Y14:Y20)</f>
        <v>0</v>
      </c>
      <c r="Z21" s="31">
        <f>SUM(Z14:Z20)</f>
        <v>0</v>
      </c>
      <c r="AA21" s="168"/>
      <c r="AB21" s="168"/>
      <c r="AC21" s="31">
        <v>7</v>
      </c>
      <c r="AD21" s="31">
        <f>SUM(AD14:AD20)</f>
        <v>0</v>
      </c>
      <c r="AE21" s="19">
        <f t="shared" si="8"/>
        <v>-76.261510856764289</v>
      </c>
      <c r="AF21" s="21">
        <f t="shared" si="9"/>
        <v>0.95893610953866537</v>
      </c>
      <c r="AG21" s="172"/>
    </row>
    <row r="22" spans="1:33" ht="15.75" customHeight="1">
      <c r="A22" s="194" t="s">
        <v>907</v>
      </c>
      <c r="B22" s="37" t="s">
        <v>78</v>
      </c>
      <c r="C22" s="190" t="s">
        <v>95</v>
      </c>
      <c r="D22" s="190"/>
      <c r="E22" s="37">
        <v>57.73</v>
      </c>
      <c r="F22" s="4">
        <v>2608</v>
      </c>
      <c r="G22" s="4">
        <f t="shared" ref="G22:G27" si="19">E22*F22</f>
        <v>150559.84</v>
      </c>
      <c r="H22" s="22" t="s">
        <v>139</v>
      </c>
      <c r="I22" s="16">
        <v>14</v>
      </c>
      <c r="J22" s="18">
        <v>2000</v>
      </c>
      <c r="K22" s="17">
        <f t="shared" si="1"/>
        <v>142.85714285714286</v>
      </c>
      <c r="L22" s="16">
        <v>14</v>
      </c>
      <c r="M22" s="18">
        <f t="shared" ref="M22:M27" si="20">F22/V22*60</f>
        <v>1908.2926829268297</v>
      </c>
      <c r="N22" s="17">
        <f t="shared" si="3"/>
        <v>136.30662020905928</v>
      </c>
      <c r="O22" s="19">
        <f t="shared" si="4"/>
        <v>0</v>
      </c>
      <c r="P22" s="20">
        <f t="shared" si="5"/>
        <v>-6.5505226480835859</v>
      </c>
      <c r="Q22" s="21">
        <f t="shared" si="6"/>
        <v>0.95414634146341493</v>
      </c>
      <c r="R22" s="172">
        <f>Q28</f>
        <v>0.95569620760363561</v>
      </c>
      <c r="S22" s="28">
        <v>0.20833333333333334</v>
      </c>
      <c r="T22" s="28">
        <v>0.26527777777777778</v>
      </c>
      <c r="U22" s="4"/>
      <c r="V22" s="22">
        <f t="shared" ref="V22:V27" si="21">(T22-S22)*24*60</f>
        <v>81.999999999999986</v>
      </c>
      <c r="W22" s="28"/>
      <c r="X22" s="28"/>
      <c r="Y22" s="28"/>
      <c r="Z22" s="28"/>
      <c r="AA22" s="164"/>
      <c r="AB22" s="164"/>
      <c r="AC22" s="25">
        <v>6</v>
      </c>
      <c r="AD22" s="25"/>
      <c r="AE22" s="19">
        <f t="shared" si="8"/>
        <v>-91.707317073170316</v>
      </c>
      <c r="AF22" s="21">
        <f t="shared" si="9"/>
        <v>0.95414634146341482</v>
      </c>
      <c r="AG22" s="172">
        <f>AF28</f>
        <v>0.95569620760363561</v>
      </c>
    </row>
    <row r="23" spans="1:33" ht="15.75" customHeight="1">
      <c r="A23" s="195" t="s">
        <v>907</v>
      </c>
      <c r="B23" s="37" t="s">
        <v>78</v>
      </c>
      <c r="C23" s="190" t="s">
        <v>96</v>
      </c>
      <c r="D23" s="190"/>
      <c r="E23" s="37">
        <v>53.68</v>
      </c>
      <c r="F23" s="4">
        <v>1658</v>
      </c>
      <c r="G23" s="4">
        <f t="shared" si="19"/>
        <v>89001.44</v>
      </c>
      <c r="H23" s="22" t="s">
        <v>139</v>
      </c>
      <c r="I23" s="16">
        <v>16</v>
      </c>
      <c r="J23" s="18">
        <v>2000</v>
      </c>
      <c r="K23" s="17">
        <f t="shared" si="1"/>
        <v>125</v>
      </c>
      <c r="L23" s="16">
        <v>16</v>
      </c>
      <c r="M23" s="18">
        <f t="shared" si="20"/>
        <v>1913.076923076924</v>
      </c>
      <c r="N23" s="17">
        <f t="shared" si="3"/>
        <v>119.56730769230775</v>
      </c>
      <c r="O23" s="19">
        <f t="shared" si="4"/>
        <v>0</v>
      </c>
      <c r="P23" s="20">
        <f t="shared" si="5"/>
        <v>-5.4326923076922498</v>
      </c>
      <c r="Q23" s="21">
        <f t="shared" si="6"/>
        <v>0.956538461538462</v>
      </c>
      <c r="R23" s="172"/>
      <c r="S23" s="28">
        <v>0.26874999999999999</v>
      </c>
      <c r="T23" s="28">
        <v>0.30486111111111108</v>
      </c>
      <c r="U23" s="4">
        <f t="shared" ref="U23:U27" si="22">IF(S23=TIME(17,0,0),"",(S23-T22)*24*60)</f>
        <v>4.9999999999999822</v>
      </c>
      <c r="V23" s="22">
        <f t="shared" si="21"/>
        <v>51.999999999999972</v>
      </c>
      <c r="W23" s="23"/>
      <c r="X23" s="4"/>
      <c r="Y23" s="4"/>
      <c r="Z23" s="4"/>
      <c r="AA23" s="164"/>
      <c r="AB23" s="164"/>
      <c r="AC23" s="25"/>
      <c r="AD23" s="25"/>
      <c r="AE23" s="19">
        <f t="shared" si="8"/>
        <v>-86.923076923075996</v>
      </c>
      <c r="AF23" s="21">
        <f t="shared" si="9"/>
        <v>0.956538461538462</v>
      </c>
      <c r="AG23" s="172"/>
    </row>
    <row r="24" spans="1:33" ht="15.75" customHeight="1">
      <c r="A24" s="195" t="s">
        <v>907</v>
      </c>
      <c r="B24" s="37" t="s">
        <v>78</v>
      </c>
      <c r="C24" s="190" t="s">
        <v>97</v>
      </c>
      <c r="D24" s="190"/>
      <c r="E24" s="37">
        <v>50.49</v>
      </c>
      <c r="F24" s="4">
        <v>2148</v>
      </c>
      <c r="G24" s="4">
        <f t="shared" si="19"/>
        <v>108452.52</v>
      </c>
      <c r="H24" s="22" t="s">
        <v>139</v>
      </c>
      <c r="I24" s="16">
        <v>15</v>
      </c>
      <c r="J24" s="18">
        <v>2000</v>
      </c>
      <c r="K24" s="17">
        <f t="shared" si="1"/>
        <v>133.33333333333334</v>
      </c>
      <c r="L24" s="16">
        <v>15</v>
      </c>
      <c r="M24" s="18">
        <f t="shared" si="20"/>
        <v>1923.5820895522363</v>
      </c>
      <c r="N24" s="17">
        <f t="shared" si="3"/>
        <v>128.23880597014909</v>
      </c>
      <c r="O24" s="19">
        <f t="shared" si="4"/>
        <v>0</v>
      </c>
      <c r="P24" s="20">
        <f t="shared" si="5"/>
        <v>-5.0945273631842554</v>
      </c>
      <c r="Q24" s="21">
        <f t="shared" si="6"/>
        <v>0.9617910447761181</v>
      </c>
      <c r="R24" s="172"/>
      <c r="S24" s="28">
        <v>0.70833333333333337</v>
      </c>
      <c r="T24" s="28">
        <v>0.7548611111111112</v>
      </c>
      <c r="U24" s="4" t="str">
        <f t="shared" si="22"/>
        <v/>
      </c>
      <c r="V24" s="22">
        <f t="shared" si="21"/>
        <v>67.000000000000085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-76.417910447763688</v>
      </c>
      <c r="AF24" s="21">
        <f t="shared" si="9"/>
        <v>0.96179104477611821</v>
      </c>
      <c r="AG24" s="172"/>
    </row>
    <row r="25" spans="1:33" ht="15.75" customHeight="1">
      <c r="A25" s="195" t="s">
        <v>907</v>
      </c>
      <c r="B25" s="37" t="s">
        <v>78</v>
      </c>
      <c r="C25" s="190" t="s">
        <v>98</v>
      </c>
      <c r="D25" s="190"/>
      <c r="E25" s="37">
        <v>50.67</v>
      </c>
      <c r="F25" s="4">
        <v>985</v>
      </c>
      <c r="G25" s="4">
        <f t="shared" si="19"/>
        <v>49909.950000000004</v>
      </c>
      <c r="H25" s="22" t="s">
        <v>139</v>
      </c>
      <c r="I25" s="16">
        <v>16</v>
      </c>
      <c r="J25" s="18">
        <v>2000</v>
      </c>
      <c r="K25" s="17">
        <f t="shared" si="1"/>
        <v>125</v>
      </c>
      <c r="L25" s="16">
        <v>16</v>
      </c>
      <c r="M25" s="18">
        <f t="shared" si="20"/>
        <v>1906.4516129032227</v>
      </c>
      <c r="N25" s="17">
        <f t="shared" si="3"/>
        <v>119.15322580645142</v>
      </c>
      <c r="O25" s="19">
        <f t="shared" si="4"/>
        <v>0</v>
      </c>
      <c r="P25" s="20">
        <f t="shared" si="5"/>
        <v>-5.8467741935485833</v>
      </c>
      <c r="Q25" s="21">
        <f t="shared" si="6"/>
        <v>0.95322580645161137</v>
      </c>
      <c r="R25" s="172"/>
      <c r="S25" s="28">
        <v>0.7597222222222223</v>
      </c>
      <c r="T25" s="28">
        <v>0.78125000000000011</v>
      </c>
      <c r="U25" s="4">
        <f t="shared" si="22"/>
        <v>6.9999999999999751</v>
      </c>
      <c r="V25" s="22">
        <f t="shared" si="21"/>
        <v>31.00000000000005</v>
      </c>
      <c r="W25" s="23"/>
      <c r="X25" s="4"/>
      <c r="Y25" s="4"/>
      <c r="Z25" s="4"/>
      <c r="AA25" s="164"/>
      <c r="AB25" s="164"/>
      <c r="AC25" s="25"/>
      <c r="AD25" s="25"/>
      <c r="AE25" s="19">
        <f t="shared" si="8"/>
        <v>-93.548387096777333</v>
      </c>
      <c r="AF25" s="21">
        <f t="shared" si="9"/>
        <v>0.95322580645161137</v>
      </c>
      <c r="AG25" s="172"/>
    </row>
    <row r="26" spans="1:33" ht="15.75" customHeight="1">
      <c r="A26" s="195" t="s">
        <v>907</v>
      </c>
      <c r="B26" s="37" t="s">
        <v>78</v>
      </c>
      <c r="C26" s="190" t="s">
        <v>99</v>
      </c>
      <c r="D26" s="190"/>
      <c r="E26" s="37">
        <v>53.68</v>
      </c>
      <c r="F26" s="4">
        <v>1980</v>
      </c>
      <c r="G26" s="4">
        <f t="shared" si="19"/>
        <v>106286.39999999999</v>
      </c>
      <c r="H26" s="22" t="s">
        <v>139</v>
      </c>
      <c r="I26" s="16">
        <v>16</v>
      </c>
      <c r="J26" s="18">
        <v>1500</v>
      </c>
      <c r="K26" s="17">
        <f t="shared" si="1"/>
        <v>93.75</v>
      </c>
      <c r="L26" s="16">
        <v>16</v>
      </c>
      <c r="M26" s="18">
        <f t="shared" si="20"/>
        <v>1431.3253012048187</v>
      </c>
      <c r="N26" s="17">
        <f t="shared" si="3"/>
        <v>89.457831325301171</v>
      </c>
      <c r="O26" s="19">
        <f t="shared" si="4"/>
        <v>0</v>
      </c>
      <c r="P26" s="20">
        <f t="shared" si="5"/>
        <v>-4.2921686746988286</v>
      </c>
      <c r="Q26" s="21">
        <f t="shared" si="6"/>
        <v>0.95421686746987922</v>
      </c>
      <c r="R26" s="172"/>
      <c r="S26" s="28">
        <v>0.78680555555555565</v>
      </c>
      <c r="T26" s="28">
        <v>0.84444444444444455</v>
      </c>
      <c r="U26" s="4">
        <f t="shared" si="22"/>
        <v>7.9999999999999716</v>
      </c>
      <c r="V26" s="22">
        <f t="shared" si="21"/>
        <v>83.000000000000028</v>
      </c>
      <c r="W26" s="23">
        <f>T26</f>
        <v>0.84444444444444455</v>
      </c>
      <c r="X26" s="23">
        <f>S27</f>
        <v>0.88541666666666674</v>
      </c>
      <c r="Y26" s="4"/>
      <c r="Z26" s="4"/>
      <c r="AA26" s="164"/>
      <c r="AB26" s="164"/>
      <c r="AC26" s="25"/>
      <c r="AD26" s="25"/>
      <c r="AE26" s="19">
        <f t="shared" si="8"/>
        <v>-68.674698795181257</v>
      </c>
      <c r="AF26" s="21">
        <f t="shared" si="9"/>
        <v>0.95421686746987922</v>
      </c>
      <c r="AG26" s="172"/>
    </row>
    <row r="27" spans="1:33" ht="15.75" customHeight="1">
      <c r="A27" s="195" t="s">
        <v>907</v>
      </c>
      <c r="B27" s="37" t="s">
        <v>78</v>
      </c>
      <c r="C27" s="190" t="s">
        <v>92</v>
      </c>
      <c r="D27" s="190"/>
      <c r="E27" s="37">
        <v>50.92</v>
      </c>
      <c r="F27" s="4">
        <v>1717</v>
      </c>
      <c r="G27" s="4">
        <f t="shared" si="19"/>
        <v>87429.64</v>
      </c>
      <c r="H27" s="22" t="s">
        <v>139</v>
      </c>
      <c r="I27" s="16">
        <v>15</v>
      </c>
      <c r="J27" s="18">
        <v>2000</v>
      </c>
      <c r="K27" s="17">
        <f t="shared" si="1"/>
        <v>133.33333333333334</v>
      </c>
      <c r="L27" s="16">
        <v>15</v>
      </c>
      <c r="M27" s="18">
        <f t="shared" si="20"/>
        <v>1907.7777777777787</v>
      </c>
      <c r="N27" s="17">
        <f t="shared" si="3"/>
        <v>127.18518518518525</v>
      </c>
      <c r="O27" s="19">
        <f t="shared" si="4"/>
        <v>0</v>
      </c>
      <c r="P27" s="20">
        <f t="shared" si="5"/>
        <v>-6.1481481481480955</v>
      </c>
      <c r="Q27" s="21">
        <f t="shared" si="6"/>
        <v>0.95388888888888934</v>
      </c>
      <c r="R27" s="172"/>
      <c r="S27" s="28">
        <v>0.88541666666666674</v>
      </c>
      <c r="T27" s="28">
        <v>0.92291666666666672</v>
      </c>
      <c r="U27" s="4">
        <f t="shared" si="22"/>
        <v>58.99999999999995</v>
      </c>
      <c r="V27" s="22">
        <f t="shared" si="21"/>
        <v>53.999999999999972</v>
      </c>
      <c r="W27" s="23"/>
      <c r="X27" s="28"/>
      <c r="Y27" s="28"/>
      <c r="Z27" s="28"/>
      <c r="AA27" s="164"/>
      <c r="AB27" s="164"/>
      <c r="AC27" s="25"/>
      <c r="AD27" s="25"/>
      <c r="AE27" s="19">
        <f t="shared" si="8"/>
        <v>-92.222222222221262</v>
      </c>
      <c r="AF27" s="21">
        <f t="shared" si="9"/>
        <v>0.95388888888888934</v>
      </c>
      <c r="AG27" s="172"/>
    </row>
    <row r="28" spans="1:33" ht="15.75" customHeight="1">
      <c r="A28" s="195" t="s">
        <v>907</v>
      </c>
      <c r="B28" s="37" t="s">
        <v>904</v>
      </c>
      <c r="C28" s="177"/>
      <c r="D28" s="177"/>
      <c r="E28" s="38"/>
      <c r="F28" s="4"/>
      <c r="G28" s="4"/>
      <c r="H28" s="4"/>
      <c r="I28" s="30">
        <v>15.333333333333334</v>
      </c>
      <c r="J28" s="18">
        <v>1916.6666666666667</v>
      </c>
      <c r="K28" s="17">
        <f t="shared" si="1"/>
        <v>125</v>
      </c>
      <c r="L28" s="30">
        <v>15.333333333333334</v>
      </c>
      <c r="M28" s="18">
        <f>AVERAGE(M22:M27)</f>
        <v>1831.7510645736349</v>
      </c>
      <c r="N28" s="17">
        <f t="shared" si="3"/>
        <v>119.46202595045445</v>
      </c>
      <c r="O28" s="19">
        <f t="shared" si="4"/>
        <v>0</v>
      </c>
      <c r="P28" s="20">
        <f t="shared" si="5"/>
        <v>-5.5379740495455536</v>
      </c>
      <c r="Q28" s="21">
        <f t="shared" si="6"/>
        <v>0.95569620760363561</v>
      </c>
      <c r="R28" s="172"/>
      <c r="S28" s="28"/>
      <c r="T28" s="28"/>
      <c r="U28" s="17"/>
      <c r="V28" s="22"/>
      <c r="W28" s="17"/>
      <c r="X28" s="17"/>
      <c r="Y28" s="31">
        <f>SUM(Y22:Y27)</f>
        <v>0</v>
      </c>
      <c r="Z28" s="31">
        <f>SUM(Z22:Z27)</f>
        <v>0</v>
      </c>
      <c r="AA28" s="168"/>
      <c r="AB28" s="168"/>
      <c r="AC28" s="31">
        <v>6</v>
      </c>
      <c r="AD28" s="31">
        <f>SUM(AD22:AD27)</f>
        <v>0</v>
      </c>
      <c r="AE28" s="19">
        <f t="shared" si="8"/>
        <v>-84.915602093031794</v>
      </c>
      <c r="AF28" s="21">
        <f t="shared" si="9"/>
        <v>0.95569620760363561</v>
      </c>
      <c r="AG28" s="172"/>
    </row>
    <row r="29" spans="1:33" ht="15.75" customHeight="1">
      <c r="A29" s="193" t="s">
        <v>908</v>
      </c>
      <c r="B29" s="37" t="s">
        <v>100</v>
      </c>
      <c r="C29" s="190" t="s">
        <v>101</v>
      </c>
      <c r="D29" s="190"/>
      <c r="E29" s="37">
        <v>31.29</v>
      </c>
      <c r="F29" s="4">
        <v>5600</v>
      </c>
      <c r="G29" s="4">
        <f t="shared" ref="G29:G34" si="23">E29*F29</f>
        <v>175224</v>
      </c>
      <c r="H29" s="22">
        <v>2</v>
      </c>
      <c r="I29" s="16">
        <v>18</v>
      </c>
      <c r="J29" s="18">
        <v>2400</v>
      </c>
      <c r="K29" s="17">
        <f t="shared" si="1"/>
        <v>133.33333333333334</v>
      </c>
      <c r="L29" s="16">
        <v>18</v>
      </c>
      <c r="M29" s="18">
        <f t="shared" ref="M29:M34" si="24">F29/V29*60</f>
        <v>2285.7142857142858</v>
      </c>
      <c r="N29" s="17">
        <f t="shared" si="3"/>
        <v>126.98412698412699</v>
      </c>
      <c r="O29" s="19">
        <f t="shared" si="4"/>
        <v>0</v>
      </c>
      <c r="P29" s="20">
        <f t="shared" si="5"/>
        <v>-6.3492063492063551</v>
      </c>
      <c r="Q29" s="21">
        <f t="shared" si="6"/>
        <v>0.95238095238095233</v>
      </c>
      <c r="R29" s="172">
        <f>Q35</f>
        <v>0.95504989813198815</v>
      </c>
      <c r="S29" s="28">
        <v>8.3333333333333329E-2</v>
      </c>
      <c r="T29" s="28">
        <v>0.18541666666666667</v>
      </c>
      <c r="U29" s="4"/>
      <c r="V29" s="22">
        <f t="shared" ref="V29:V34" si="25">(T29-S29)*24*60</f>
        <v>147</v>
      </c>
      <c r="W29" s="23">
        <f>T29</f>
        <v>0.18541666666666667</v>
      </c>
      <c r="X29" s="23">
        <f>S30</f>
        <v>0.20625000000000002</v>
      </c>
      <c r="Y29" s="23"/>
      <c r="Z29" s="23"/>
      <c r="AA29" s="164"/>
      <c r="AB29" s="164"/>
      <c r="AC29" s="25">
        <v>6</v>
      </c>
      <c r="AD29" s="25"/>
      <c r="AE29" s="19">
        <f t="shared" si="8"/>
        <v>-114.28571428571422</v>
      </c>
      <c r="AF29" s="21">
        <f t="shared" si="9"/>
        <v>0.95238095238095244</v>
      </c>
      <c r="AG29" s="172">
        <f>AF35</f>
        <v>0.95504989813198804</v>
      </c>
    </row>
    <row r="30" spans="1:33" ht="15.75" customHeight="1">
      <c r="A30" s="193" t="s">
        <v>908</v>
      </c>
      <c r="B30" s="37" t="s">
        <v>100</v>
      </c>
      <c r="C30" s="190" t="s">
        <v>102</v>
      </c>
      <c r="D30" s="190"/>
      <c r="E30" s="37">
        <v>26.2</v>
      </c>
      <c r="F30" s="4">
        <v>4817</v>
      </c>
      <c r="G30" s="4">
        <f t="shared" si="23"/>
        <v>126205.4</v>
      </c>
      <c r="H30" s="22" t="s">
        <v>139</v>
      </c>
      <c r="I30" s="16">
        <v>20</v>
      </c>
      <c r="J30" s="18">
        <v>2400</v>
      </c>
      <c r="K30" s="17">
        <f t="shared" si="1"/>
        <v>120</v>
      </c>
      <c r="L30" s="16">
        <v>20</v>
      </c>
      <c r="M30" s="18">
        <f t="shared" si="24"/>
        <v>2293.8095238095243</v>
      </c>
      <c r="N30" s="17">
        <f t="shared" si="3"/>
        <v>114.69047619047622</v>
      </c>
      <c r="O30" s="19">
        <f t="shared" si="4"/>
        <v>0</v>
      </c>
      <c r="P30" s="20">
        <f t="shared" si="5"/>
        <v>-5.3095238095237818</v>
      </c>
      <c r="Q30" s="21">
        <f t="shared" si="6"/>
        <v>0.95575396825396852</v>
      </c>
      <c r="R30" s="172"/>
      <c r="S30" s="28">
        <v>0.20625000000000002</v>
      </c>
      <c r="T30" s="28">
        <v>0.29375000000000001</v>
      </c>
      <c r="U30" s="4">
        <f t="shared" ref="U30:U34" si="26">(S30-T29)*24*60</f>
        <v>30.000000000000014</v>
      </c>
      <c r="V30" s="22">
        <f t="shared" si="25"/>
        <v>125.99999999999997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8"/>
        <v>-106.19047619047569</v>
      </c>
      <c r="AF30" s="21">
        <f t="shared" si="9"/>
        <v>0.95575396825396841</v>
      </c>
      <c r="AG30" s="172"/>
    </row>
    <row r="31" spans="1:33" ht="15.75" customHeight="1">
      <c r="A31" s="193" t="s">
        <v>908</v>
      </c>
      <c r="B31" s="37" t="s">
        <v>100</v>
      </c>
      <c r="C31" s="190" t="s">
        <v>103</v>
      </c>
      <c r="D31" s="190"/>
      <c r="E31" s="37">
        <v>25.99</v>
      </c>
      <c r="F31" s="4">
        <v>4013</v>
      </c>
      <c r="G31" s="4">
        <f t="shared" si="23"/>
        <v>104297.87</v>
      </c>
      <c r="H31" s="22" t="s">
        <v>139</v>
      </c>
      <c r="I31" s="16">
        <v>14</v>
      </c>
      <c r="J31" s="18">
        <v>2400</v>
      </c>
      <c r="K31" s="17">
        <f t="shared" si="1"/>
        <v>171.42857142857142</v>
      </c>
      <c r="L31" s="16">
        <v>14</v>
      </c>
      <c r="M31" s="18">
        <f t="shared" si="24"/>
        <v>2293.1428571428564</v>
      </c>
      <c r="N31" s="17">
        <f t="shared" si="3"/>
        <v>163.7959183673469</v>
      </c>
      <c r="O31" s="19">
        <f t="shared" si="4"/>
        <v>0</v>
      </c>
      <c r="P31" s="20">
        <f t="shared" si="5"/>
        <v>-7.6326530612245165</v>
      </c>
      <c r="Q31" s="21">
        <f t="shared" si="6"/>
        <v>0.95547619047619037</v>
      </c>
      <c r="R31" s="172"/>
      <c r="S31" s="28">
        <v>0.29722222222222222</v>
      </c>
      <c r="T31" s="28">
        <v>0.37013888888888891</v>
      </c>
      <c r="U31" s="4">
        <f t="shared" si="26"/>
        <v>4.9999999999999822</v>
      </c>
      <c r="V31" s="22">
        <f t="shared" si="25"/>
        <v>105.00000000000003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8"/>
        <v>-106.85714285714357</v>
      </c>
      <c r="AF31" s="21">
        <f t="shared" si="9"/>
        <v>0.95547619047619015</v>
      </c>
      <c r="AG31" s="172"/>
    </row>
    <row r="32" spans="1:33" ht="15.75" customHeight="1">
      <c r="A32" s="193" t="s">
        <v>908</v>
      </c>
      <c r="B32" s="37" t="s">
        <v>100</v>
      </c>
      <c r="C32" s="190" t="s">
        <v>104</v>
      </c>
      <c r="D32" s="190"/>
      <c r="E32" s="37">
        <v>20.52</v>
      </c>
      <c r="F32" s="4">
        <v>4106</v>
      </c>
      <c r="G32" s="4">
        <f t="shared" si="23"/>
        <v>84255.12</v>
      </c>
      <c r="H32" s="22" t="s">
        <v>139</v>
      </c>
      <c r="I32" s="16">
        <v>18</v>
      </c>
      <c r="J32" s="18">
        <v>2400</v>
      </c>
      <c r="K32" s="17">
        <f t="shared" si="1"/>
        <v>133.33333333333334</v>
      </c>
      <c r="L32" s="16">
        <v>18</v>
      </c>
      <c r="M32" s="18">
        <f t="shared" si="24"/>
        <v>2302.4299065420555</v>
      </c>
      <c r="N32" s="17">
        <f t="shared" si="3"/>
        <v>127.91277258566976</v>
      </c>
      <c r="O32" s="19">
        <f t="shared" si="4"/>
        <v>0</v>
      </c>
      <c r="P32" s="20">
        <f t="shared" si="5"/>
        <v>-5.4205607476635862</v>
      </c>
      <c r="Q32" s="21">
        <f t="shared" si="6"/>
        <v>0.9593457943925231</v>
      </c>
      <c r="R32" s="172"/>
      <c r="S32" s="28">
        <v>0.37569444444444444</v>
      </c>
      <c r="T32" s="28">
        <v>0.45</v>
      </c>
      <c r="U32" s="4">
        <f t="shared" si="26"/>
        <v>7.9999999999999716</v>
      </c>
      <c r="V32" s="22">
        <f t="shared" si="25"/>
        <v>107.00000000000001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8"/>
        <v>-97.570093457944495</v>
      </c>
      <c r="AF32" s="21">
        <f t="shared" si="9"/>
        <v>0.9593457943925231</v>
      </c>
      <c r="AG32" s="172"/>
    </row>
    <row r="33" spans="1:33" ht="15.75" customHeight="1">
      <c r="A33" s="193" t="s">
        <v>908</v>
      </c>
      <c r="B33" s="37" t="s">
        <v>100</v>
      </c>
      <c r="C33" s="190" t="s">
        <v>105</v>
      </c>
      <c r="D33" s="190"/>
      <c r="E33" s="37">
        <v>25.98</v>
      </c>
      <c r="F33" s="4">
        <v>3011</v>
      </c>
      <c r="G33" s="4">
        <f t="shared" si="23"/>
        <v>78225.78</v>
      </c>
      <c r="H33" s="22" t="s">
        <v>139</v>
      </c>
      <c r="I33" s="16">
        <v>21</v>
      </c>
      <c r="J33" s="18">
        <v>2400</v>
      </c>
      <c r="K33" s="17">
        <f t="shared" si="1"/>
        <v>114.28571428571429</v>
      </c>
      <c r="L33" s="16">
        <v>21</v>
      </c>
      <c r="M33" s="18">
        <f t="shared" si="24"/>
        <v>2286.8354430379759</v>
      </c>
      <c r="N33" s="17">
        <f t="shared" si="3"/>
        <v>108.89692585895123</v>
      </c>
      <c r="O33" s="19">
        <f t="shared" si="4"/>
        <v>0</v>
      </c>
      <c r="P33" s="20">
        <f t="shared" si="5"/>
        <v>-5.3887884267630568</v>
      </c>
      <c r="Q33" s="21">
        <f t="shared" si="6"/>
        <v>0.95284810126582331</v>
      </c>
      <c r="R33" s="172"/>
      <c r="S33" s="28">
        <v>0.4548611111111111</v>
      </c>
      <c r="T33" s="28">
        <v>0.50972222222222219</v>
      </c>
      <c r="U33" s="4">
        <f t="shared" si="26"/>
        <v>6.9999999999999751</v>
      </c>
      <c r="V33" s="22">
        <f t="shared" si="25"/>
        <v>78.999999999999957</v>
      </c>
      <c r="W33" s="23">
        <f>T33</f>
        <v>0.50972222222222219</v>
      </c>
      <c r="X33" s="23">
        <f>S34</f>
        <v>0.54930555555555549</v>
      </c>
      <c r="Y33" s="23"/>
      <c r="Z33" s="23"/>
      <c r="AA33" s="164"/>
      <c r="AB33" s="164"/>
      <c r="AC33" s="25"/>
      <c r="AD33" s="25"/>
      <c r="AE33" s="19">
        <f t="shared" si="8"/>
        <v>-113.16455696202411</v>
      </c>
      <c r="AF33" s="21">
        <f t="shared" si="9"/>
        <v>0.95284810126582331</v>
      </c>
      <c r="AG33" s="172"/>
    </row>
    <row r="34" spans="1:33" ht="15.75" customHeight="1">
      <c r="A34" s="193" t="s">
        <v>908</v>
      </c>
      <c r="B34" s="37" t="s">
        <v>100</v>
      </c>
      <c r="C34" s="190" t="s">
        <v>101</v>
      </c>
      <c r="D34" s="190"/>
      <c r="E34" s="37">
        <v>31.29</v>
      </c>
      <c r="F34" s="4">
        <v>3398</v>
      </c>
      <c r="G34" s="4">
        <f t="shared" si="23"/>
        <v>106323.42</v>
      </c>
      <c r="H34" s="22" t="s">
        <v>139</v>
      </c>
      <c r="I34" s="16">
        <v>18</v>
      </c>
      <c r="J34" s="18">
        <v>2400</v>
      </c>
      <c r="K34" s="17">
        <f t="shared" si="1"/>
        <v>133.33333333333334</v>
      </c>
      <c r="L34" s="16">
        <v>18</v>
      </c>
      <c r="M34" s="18">
        <f t="shared" si="24"/>
        <v>2290.7865168539324</v>
      </c>
      <c r="N34" s="17">
        <f t="shared" si="3"/>
        <v>127.26591760299624</v>
      </c>
      <c r="O34" s="19">
        <f t="shared" si="4"/>
        <v>0</v>
      </c>
      <c r="P34" s="20">
        <f t="shared" si="5"/>
        <v>-6.0674157303371032</v>
      </c>
      <c r="Q34" s="21">
        <f t="shared" si="6"/>
        <v>0.95449438202247172</v>
      </c>
      <c r="R34" s="172"/>
      <c r="S34" s="28">
        <v>0.54930555555555549</v>
      </c>
      <c r="T34" s="28">
        <v>0.61111111111111105</v>
      </c>
      <c r="U34" s="4">
        <f t="shared" si="26"/>
        <v>56.999999999999957</v>
      </c>
      <c r="V34" s="22">
        <f t="shared" si="25"/>
        <v>89</v>
      </c>
      <c r="W34" s="23"/>
      <c r="X34" s="23"/>
      <c r="Y34" s="23"/>
      <c r="Z34" s="23"/>
      <c r="AA34" s="164"/>
      <c r="AB34" s="164"/>
      <c r="AC34" s="25"/>
      <c r="AD34" s="25"/>
      <c r="AE34" s="19">
        <f t="shared" si="8"/>
        <v>-109.21348314606757</v>
      </c>
      <c r="AF34" s="21">
        <f t="shared" si="9"/>
        <v>0.95449438202247183</v>
      </c>
      <c r="AG34" s="172"/>
    </row>
    <row r="35" spans="1:33" ht="15.75" customHeight="1">
      <c r="A35" s="193" t="s">
        <v>908</v>
      </c>
      <c r="B35" s="37" t="s">
        <v>904</v>
      </c>
      <c r="C35" s="177"/>
      <c r="D35" s="177"/>
      <c r="E35" s="38"/>
      <c r="F35" s="4"/>
      <c r="G35" s="4"/>
      <c r="H35" s="4"/>
      <c r="I35" s="30">
        <v>18.166666666666668</v>
      </c>
      <c r="J35" s="18">
        <v>2400</v>
      </c>
      <c r="K35" s="17">
        <f t="shared" si="1"/>
        <v>132.11009174311926</v>
      </c>
      <c r="L35" s="30">
        <v>18.166666666666668</v>
      </c>
      <c r="M35" s="18">
        <f>AVERAGE(M29:M34)</f>
        <v>2292.1197555167714</v>
      </c>
      <c r="N35" s="17">
        <f t="shared" si="3"/>
        <v>126.17172966147365</v>
      </c>
      <c r="O35" s="19">
        <f t="shared" si="4"/>
        <v>0</v>
      </c>
      <c r="P35" s="20">
        <f t="shared" si="5"/>
        <v>-5.9383620816456073</v>
      </c>
      <c r="Q35" s="21">
        <f t="shared" si="6"/>
        <v>0.95504989813198815</v>
      </c>
      <c r="R35" s="172"/>
      <c r="S35" s="28"/>
      <c r="T35" s="28"/>
      <c r="U35" s="4"/>
      <c r="V35" s="22"/>
      <c r="W35" s="4"/>
      <c r="X35" s="4"/>
      <c r="Y35" s="31">
        <f>SUM(Y29:Y34)</f>
        <v>0</v>
      </c>
      <c r="Z35" s="31">
        <f>SUM(Z29:Z34)</f>
        <v>0</v>
      </c>
      <c r="AA35" s="168"/>
      <c r="AB35" s="168"/>
      <c r="AC35" s="31">
        <v>6</v>
      </c>
      <c r="AD35" s="31">
        <f>SUM(AD29:AD34)</f>
        <v>0</v>
      </c>
      <c r="AE35" s="19">
        <f t="shared" si="8"/>
        <v>-107.88024448322858</v>
      </c>
      <c r="AF35" s="21">
        <f t="shared" si="9"/>
        <v>0.95504989813198804</v>
      </c>
      <c r="AG35" s="172"/>
    </row>
    <row r="36" spans="1:33" ht="15.75" customHeight="1">
      <c r="A36" s="191" t="s">
        <v>909</v>
      </c>
      <c r="B36" s="37" t="s">
        <v>100</v>
      </c>
      <c r="C36" s="165" t="s">
        <v>106</v>
      </c>
      <c r="D36" s="165"/>
      <c r="E36" s="37">
        <v>26.2</v>
      </c>
      <c r="F36" s="4">
        <v>6334</v>
      </c>
      <c r="G36" s="4">
        <f t="shared" ref="G36:G40" si="27">E36*F36</f>
        <v>165950.79999999999</v>
      </c>
      <c r="H36" s="22" t="s">
        <v>139</v>
      </c>
      <c r="I36" s="16">
        <v>18</v>
      </c>
      <c r="J36" s="18">
        <v>2400</v>
      </c>
      <c r="K36" s="17">
        <f t="shared" si="1"/>
        <v>133.33333333333334</v>
      </c>
      <c r="L36" s="16">
        <v>18</v>
      </c>
      <c r="M36" s="18">
        <f t="shared" ref="M36:M40" si="28">F36/V36*60</f>
        <v>2289.397590361446</v>
      </c>
      <c r="N36" s="17">
        <f t="shared" si="3"/>
        <v>127.18875502008034</v>
      </c>
      <c r="O36" s="19">
        <f t="shared" si="4"/>
        <v>0</v>
      </c>
      <c r="P36" s="20">
        <f t="shared" si="5"/>
        <v>-6.1445783132530067</v>
      </c>
      <c r="Q36" s="21">
        <f t="shared" si="6"/>
        <v>0.95391566265060246</v>
      </c>
      <c r="R36" s="172">
        <f>Q41</f>
        <v>0.95649288327894388</v>
      </c>
      <c r="S36" s="28">
        <v>8.3333333333333329E-2</v>
      </c>
      <c r="T36" s="28">
        <v>0.1986111111111111</v>
      </c>
      <c r="U36" s="4"/>
      <c r="V36" s="22">
        <f t="shared" ref="V36:V40" si="29">(T36-S36)*24*60</f>
        <v>166</v>
      </c>
      <c r="W36" s="28">
        <f>T36</f>
        <v>0.1986111111111111</v>
      </c>
      <c r="X36" s="28">
        <f>S37</f>
        <v>0.21736111111111109</v>
      </c>
      <c r="Y36" s="28"/>
      <c r="Z36" s="28"/>
      <c r="AA36" s="164"/>
      <c r="AB36" s="164"/>
      <c r="AC36" s="25">
        <v>5</v>
      </c>
      <c r="AD36" s="25"/>
      <c r="AE36" s="19">
        <f t="shared" si="8"/>
        <v>-110.60240963855404</v>
      </c>
      <c r="AF36" s="21">
        <f t="shared" si="9"/>
        <v>0.95391566265060246</v>
      </c>
      <c r="AG36" s="172">
        <f>AF41</f>
        <v>0.95649288327894399</v>
      </c>
    </row>
    <row r="37" spans="1:33" ht="15.75" customHeight="1">
      <c r="A37" s="191" t="s">
        <v>909</v>
      </c>
      <c r="B37" s="37" t="s">
        <v>100</v>
      </c>
      <c r="C37" s="165" t="s">
        <v>107</v>
      </c>
      <c r="D37" s="165"/>
      <c r="E37" s="37">
        <v>26.18</v>
      </c>
      <c r="F37" s="4">
        <v>2191</v>
      </c>
      <c r="G37" s="4">
        <f t="shared" si="27"/>
        <v>57360.38</v>
      </c>
      <c r="H37" s="22" t="s">
        <v>139</v>
      </c>
      <c r="I37" s="16">
        <v>19</v>
      </c>
      <c r="J37" s="18">
        <v>2400</v>
      </c>
      <c r="K37" s="17">
        <f t="shared" si="1"/>
        <v>126.31578947368421</v>
      </c>
      <c r="L37" s="16">
        <v>19</v>
      </c>
      <c r="M37" s="18">
        <f t="shared" si="28"/>
        <v>2306.3157894736842</v>
      </c>
      <c r="N37" s="17">
        <f t="shared" si="3"/>
        <v>121.38504155124653</v>
      </c>
      <c r="O37" s="19">
        <f t="shared" si="4"/>
        <v>0</v>
      </c>
      <c r="P37" s="20">
        <f t="shared" si="5"/>
        <v>-4.9307479224376749</v>
      </c>
      <c r="Q37" s="21">
        <f t="shared" si="6"/>
        <v>0.96096491228070169</v>
      </c>
      <c r="R37" s="172"/>
      <c r="S37" s="28">
        <v>0.21736111111111109</v>
      </c>
      <c r="T37" s="28">
        <v>0.25694444444444442</v>
      </c>
      <c r="U37" s="4">
        <f t="shared" ref="U37:U40" si="30">(S37-T36)*24*60</f>
        <v>26.999999999999986</v>
      </c>
      <c r="V37" s="22">
        <f t="shared" si="29"/>
        <v>57</v>
      </c>
      <c r="W37" s="4"/>
      <c r="X37" s="4"/>
      <c r="Y37" s="4"/>
      <c r="Z37" s="4"/>
      <c r="AA37" s="164"/>
      <c r="AB37" s="164"/>
      <c r="AC37" s="25"/>
      <c r="AD37" s="25"/>
      <c r="AE37" s="19">
        <f t="shared" si="8"/>
        <v>-93.684210526315837</v>
      </c>
      <c r="AF37" s="21">
        <f t="shared" si="9"/>
        <v>0.96096491228070169</v>
      </c>
      <c r="AG37" s="172"/>
    </row>
    <row r="38" spans="1:33">
      <c r="A38" s="192" t="s">
        <v>909</v>
      </c>
      <c r="B38" s="37" t="s">
        <v>100</v>
      </c>
      <c r="C38" s="165" t="s">
        <v>108</v>
      </c>
      <c r="D38" s="165"/>
      <c r="E38" s="37">
        <v>26.39</v>
      </c>
      <c r="F38" s="4">
        <v>5795</v>
      </c>
      <c r="G38" s="4">
        <f t="shared" si="27"/>
        <v>152930.05000000002</v>
      </c>
      <c r="H38" s="22" t="s">
        <v>139</v>
      </c>
      <c r="I38" s="16">
        <v>19</v>
      </c>
      <c r="J38" s="18">
        <v>2400</v>
      </c>
      <c r="K38" s="17">
        <f t="shared" si="1"/>
        <v>126.31578947368421</v>
      </c>
      <c r="L38" s="16">
        <v>19</v>
      </c>
      <c r="M38" s="18">
        <f t="shared" si="28"/>
        <v>2287.4999999999995</v>
      </c>
      <c r="N38" s="17">
        <f t="shared" si="3"/>
        <v>120.39473684210525</v>
      </c>
      <c r="O38" s="19">
        <f t="shared" si="4"/>
        <v>0</v>
      </c>
      <c r="P38" s="20">
        <f t="shared" si="5"/>
        <v>-5.9210526315789593</v>
      </c>
      <c r="Q38" s="21">
        <f t="shared" si="6"/>
        <v>0.95312499999999989</v>
      </c>
      <c r="R38" s="172"/>
      <c r="S38" s="28">
        <v>0.26041666666666663</v>
      </c>
      <c r="T38" s="28">
        <v>0.3659722222222222</v>
      </c>
      <c r="U38" s="4">
        <f t="shared" si="30"/>
        <v>4.9999999999999822</v>
      </c>
      <c r="V38" s="22">
        <f t="shared" si="29"/>
        <v>152.00000000000003</v>
      </c>
      <c r="W38" s="4"/>
      <c r="X38" s="4"/>
      <c r="Y38" s="4"/>
      <c r="Z38" s="4"/>
      <c r="AA38" s="164"/>
      <c r="AB38" s="164"/>
      <c r="AC38" s="25"/>
      <c r="AD38" s="25"/>
      <c r="AE38" s="19">
        <f t="shared" si="8"/>
        <v>-112.50000000000045</v>
      </c>
      <c r="AF38" s="21">
        <f t="shared" si="9"/>
        <v>0.95312499999999978</v>
      </c>
      <c r="AG38" s="172"/>
    </row>
    <row r="39" spans="1:33">
      <c r="A39" s="192" t="s">
        <v>909</v>
      </c>
      <c r="B39" s="37" t="s">
        <v>100</v>
      </c>
      <c r="C39" s="165" t="s">
        <v>137</v>
      </c>
      <c r="D39" s="165"/>
      <c r="E39" s="37">
        <v>20.21</v>
      </c>
      <c r="F39" s="4">
        <v>3146</v>
      </c>
      <c r="G39" s="4">
        <f t="shared" si="27"/>
        <v>63580.66</v>
      </c>
      <c r="H39" s="22" t="s">
        <v>139</v>
      </c>
      <c r="I39" s="16">
        <v>16</v>
      </c>
      <c r="J39" s="18">
        <v>2400</v>
      </c>
      <c r="K39" s="17">
        <f t="shared" si="1"/>
        <v>150</v>
      </c>
      <c r="L39" s="16">
        <v>16</v>
      </c>
      <c r="M39" s="18">
        <f t="shared" si="28"/>
        <v>2301.9512195121943</v>
      </c>
      <c r="N39" s="17">
        <f t="shared" si="3"/>
        <v>143.87195121951214</v>
      </c>
      <c r="O39" s="19">
        <f t="shared" si="4"/>
        <v>0</v>
      </c>
      <c r="P39" s="20">
        <f t="shared" si="5"/>
        <v>-6.1280487804878589</v>
      </c>
      <c r="Q39" s="21">
        <f t="shared" si="6"/>
        <v>0.95914634146341426</v>
      </c>
      <c r="R39" s="172"/>
      <c r="S39" s="28">
        <v>0.36944444444444441</v>
      </c>
      <c r="T39" s="28">
        <v>0.42638888888888887</v>
      </c>
      <c r="U39" s="4">
        <f t="shared" si="30"/>
        <v>4.9999999999999822</v>
      </c>
      <c r="V39" s="22">
        <f t="shared" si="29"/>
        <v>82.000000000000028</v>
      </c>
      <c r="W39" s="23"/>
      <c r="X39" s="23"/>
      <c r="Y39" s="23"/>
      <c r="Z39" s="23"/>
      <c r="AA39" s="164"/>
      <c r="AB39" s="164"/>
      <c r="AC39" s="25"/>
      <c r="AD39" s="25"/>
      <c r="AE39" s="19">
        <f t="shared" si="8"/>
        <v>-98.048780487805743</v>
      </c>
      <c r="AF39" s="21">
        <f t="shared" si="9"/>
        <v>0.95914634146341426</v>
      </c>
      <c r="AG39" s="172"/>
    </row>
    <row r="40" spans="1:33">
      <c r="A40" s="192" t="s">
        <v>909</v>
      </c>
      <c r="B40" s="37" t="s">
        <v>100</v>
      </c>
      <c r="C40" s="165" t="s">
        <v>134</v>
      </c>
      <c r="D40" s="165"/>
      <c r="E40" s="37">
        <v>20.52</v>
      </c>
      <c r="F40" s="4">
        <v>3057</v>
      </c>
      <c r="G40" s="4">
        <f t="shared" si="27"/>
        <v>62729.64</v>
      </c>
      <c r="H40" s="22" t="s">
        <v>139</v>
      </c>
      <c r="I40" s="16">
        <v>18</v>
      </c>
      <c r="J40" s="18">
        <v>2400</v>
      </c>
      <c r="K40" s="17">
        <f t="shared" si="1"/>
        <v>133.33333333333334</v>
      </c>
      <c r="L40" s="16">
        <v>18</v>
      </c>
      <c r="M40" s="18">
        <f t="shared" si="28"/>
        <v>2292.7500000000014</v>
      </c>
      <c r="N40" s="17">
        <f t="shared" si="3"/>
        <v>127.37500000000007</v>
      </c>
      <c r="O40" s="19">
        <f t="shared" si="4"/>
        <v>0</v>
      </c>
      <c r="P40" s="20">
        <f t="shared" si="5"/>
        <v>-5.9583333333332718</v>
      </c>
      <c r="Q40" s="21">
        <f t="shared" si="6"/>
        <v>0.95531250000000045</v>
      </c>
      <c r="R40" s="172"/>
      <c r="S40" s="28">
        <v>0.43124999999999997</v>
      </c>
      <c r="T40" s="28">
        <v>0.48680555555555549</v>
      </c>
      <c r="U40" s="4">
        <f t="shared" si="30"/>
        <v>6.9999999999999751</v>
      </c>
      <c r="V40" s="22">
        <f t="shared" si="29"/>
        <v>79.999999999999957</v>
      </c>
      <c r="W40" s="23"/>
      <c r="X40" s="23"/>
      <c r="Y40" s="23"/>
      <c r="Z40" s="23"/>
      <c r="AA40" s="164"/>
      <c r="AB40" s="164"/>
      <c r="AC40" s="25"/>
      <c r="AD40" s="25"/>
      <c r="AE40" s="19">
        <f t="shared" si="8"/>
        <v>-107.24999999999864</v>
      </c>
      <c r="AF40" s="21">
        <f t="shared" si="9"/>
        <v>0.95531250000000056</v>
      </c>
      <c r="AG40" s="172"/>
    </row>
    <row r="41" spans="1:33">
      <c r="A41" s="192" t="s">
        <v>909</v>
      </c>
      <c r="B41" s="17" t="s">
        <v>904</v>
      </c>
      <c r="C41" s="177"/>
      <c r="D41" s="177"/>
      <c r="E41" s="38"/>
      <c r="F41" s="17"/>
      <c r="G41" s="17"/>
      <c r="H41" s="4"/>
      <c r="I41" s="30">
        <v>18</v>
      </c>
      <c r="J41" s="18">
        <v>2400</v>
      </c>
      <c r="K41" s="17">
        <f t="shared" si="1"/>
        <v>133.33333333333334</v>
      </c>
      <c r="L41" s="30">
        <v>18</v>
      </c>
      <c r="M41" s="18">
        <f>AVERAGE(M36:M40)</f>
        <v>2295.5829198694655</v>
      </c>
      <c r="N41" s="17">
        <f t="shared" si="3"/>
        <v>127.53238443719253</v>
      </c>
      <c r="O41" s="19">
        <f t="shared" si="4"/>
        <v>0</v>
      </c>
      <c r="P41" s="20">
        <f t="shared" si="5"/>
        <v>-5.8009488961408096</v>
      </c>
      <c r="Q41" s="21">
        <f t="shared" si="6"/>
        <v>0.95649288327894388</v>
      </c>
      <c r="R41" s="172"/>
      <c r="S41" s="28"/>
      <c r="T41" s="28"/>
      <c r="U41" s="17"/>
      <c r="V41" s="22"/>
      <c r="W41" s="17"/>
      <c r="X41" s="17"/>
      <c r="Y41" s="31">
        <f>SUM(Y36:Y40)</f>
        <v>0</v>
      </c>
      <c r="Z41" s="31">
        <f>SUM(Z36:Z40)</f>
        <v>0</v>
      </c>
      <c r="AA41" s="168"/>
      <c r="AB41" s="168"/>
      <c r="AC41" s="31">
        <v>5</v>
      </c>
      <c r="AD41" s="31">
        <f>SUM(AD36:AD40)</f>
        <v>0</v>
      </c>
      <c r="AE41" s="19">
        <f t="shared" si="8"/>
        <v>-104.41708013053449</v>
      </c>
      <c r="AF41" s="21">
        <f t="shared" si="9"/>
        <v>0.95649288327894399</v>
      </c>
      <c r="AG41" s="172"/>
    </row>
    <row r="42" spans="1:33" ht="15.75" customHeight="1">
      <c r="A42" s="184" t="s">
        <v>910</v>
      </c>
      <c r="B42" s="37" t="s">
        <v>111</v>
      </c>
      <c r="C42" s="173" t="s">
        <v>403</v>
      </c>
      <c r="D42" s="174"/>
      <c r="E42" s="37">
        <v>34.36</v>
      </c>
      <c r="F42" s="4">
        <v>2731</v>
      </c>
      <c r="G42" s="4">
        <f t="shared" ref="G42:G49" si="31">E42*F42</f>
        <v>93837.16</v>
      </c>
      <c r="H42" s="22" t="s">
        <v>139</v>
      </c>
      <c r="I42" s="16">
        <v>10</v>
      </c>
      <c r="J42" s="18">
        <v>3000</v>
      </c>
      <c r="K42" s="17">
        <f t="shared" si="1"/>
        <v>300</v>
      </c>
      <c r="L42" s="16">
        <v>10</v>
      </c>
      <c r="M42" s="18">
        <f t="shared" ref="M42:M49" si="32">F42/V42*60</f>
        <v>2874.7368421052629</v>
      </c>
      <c r="N42" s="18">
        <f t="shared" si="3"/>
        <v>287.4736842105263</v>
      </c>
      <c r="O42" s="19">
        <f t="shared" si="4"/>
        <v>0</v>
      </c>
      <c r="P42" s="20">
        <f t="shared" si="5"/>
        <v>-12.526315789473699</v>
      </c>
      <c r="Q42" s="21">
        <f t="shared" si="6"/>
        <v>0.95824561403508768</v>
      </c>
      <c r="R42" s="187">
        <f>Q50</f>
        <v>0.95763083205737698</v>
      </c>
      <c r="S42" s="28">
        <v>8.3333333333333329E-2</v>
      </c>
      <c r="T42" s="28">
        <v>0.12291666666666666</v>
      </c>
      <c r="U42" s="28"/>
      <c r="V42" s="22">
        <f t="shared" ref="V42:V49" si="33">(T42-S42)*24*60</f>
        <v>57</v>
      </c>
      <c r="W42" s="23">
        <f>T42</f>
        <v>0.12291666666666666</v>
      </c>
      <c r="X42" s="23">
        <f>S43</f>
        <v>0.14374999999999999</v>
      </c>
      <c r="Y42" s="26"/>
      <c r="Z42" s="26"/>
      <c r="AA42" s="175"/>
      <c r="AB42" s="176"/>
      <c r="AC42" s="25">
        <v>8</v>
      </c>
      <c r="AD42" s="25"/>
      <c r="AE42" s="19">
        <f t="shared" si="8"/>
        <v>-125.26315789473711</v>
      </c>
      <c r="AF42" s="21">
        <f t="shared" si="9"/>
        <v>0.95824561403508768</v>
      </c>
      <c r="AG42" s="187">
        <f>AF50</f>
        <v>0.95763083205737709</v>
      </c>
    </row>
    <row r="43" spans="1:33" ht="15.75" customHeight="1">
      <c r="A43" s="185" t="s">
        <v>910</v>
      </c>
      <c r="B43" s="37" t="s">
        <v>111</v>
      </c>
      <c r="C43" s="173" t="s">
        <v>114</v>
      </c>
      <c r="D43" s="174"/>
      <c r="E43" s="37">
        <v>35.119999999999997</v>
      </c>
      <c r="F43" s="4">
        <v>5577</v>
      </c>
      <c r="G43" s="4">
        <f t="shared" si="31"/>
        <v>195864.24</v>
      </c>
      <c r="H43" s="22" t="s">
        <v>139</v>
      </c>
      <c r="I43" s="16">
        <v>10</v>
      </c>
      <c r="J43" s="18">
        <v>3000</v>
      </c>
      <c r="K43" s="17">
        <f t="shared" si="1"/>
        <v>300</v>
      </c>
      <c r="L43" s="16">
        <v>10</v>
      </c>
      <c r="M43" s="18">
        <f t="shared" si="32"/>
        <v>2860.0000000000005</v>
      </c>
      <c r="N43" s="18">
        <f t="shared" si="3"/>
        <v>286.00000000000006</v>
      </c>
      <c r="O43" s="19">
        <f t="shared" si="4"/>
        <v>0</v>
      </c>
      <c r="P43" s="20">
        <f t="shared" si="5"/>
        <v>-13.999999999999943</v>
      </c>
      <c r="Q43" s="21">
        <f t="shared" si="6"/>
        <v>0.95333333333333348</v>
      </c>
      <c r="R43" s="188"/>
      <c r="S43" s="28">
        <v>0.14374999999999999</v>
      </c>
      <c r="T43" s="28">
        <v>0.22499999999999998</v>
      </c>
      <c r="U43" s="4">
        <f t="shared" ref="U43:U49" si="34">(S43-T42)*24*60</f>
        <v>29.999999999999993</v>
      </c>
      <c r="V43" s="22">
        <f t="shared" si="33"/>
        <v>116.99999999999999</v>
      </c>
      <c r="W43" s="23"/>
      <c r="X43" s="23"/>
      <c r="Y43" s="26"/>
      <c r="Z43" s="26"/>
      <c r="AA43" s="175"/>
      <c r="AB43" s="176"/>
      <c r="AC43" s="25"/>
      <c r="AD43" s="25"/>
      <c r="AE43" s="19">
        <f t="shared" si="8"/>
        <v>-139.99999999999955</v>
      </c>
      <c r="AF43" s="21">
        <f t="shared" si="9"/>
        <v>0.95333333333333348</v>
      </c>
      <c r="AG43" s="188"/>
    </row>
    <row r="44" spans="1:33" ht="15.75" customHeight="1">
      <c r="A44" s="185" t="s">
        <v>910</v>
      </c>
      <c r="B44" s="37" t="s">
        <v>111</v>
      </c>
      <c r="C44" s="173" t="s">
        <v>115</v>
      </c>
      <c r="D44" s="174"/>
      <c r="E44" s="37">
        <v>26.78</v>
      </c>
      <c r="F44" s="4">
        <v>2822</v>
      </c>
      <c r="G44" s="4">
        <f t="shared" si="31"/>
        <v>75573.16</v>
      </c>
      <c r="H44" s="22" t="s">
        <v>139</v>
      </c>
      <c r="I44" s="16">
        <v>10</v>
      </c>
      <c r="J44" s="18">
        <v>3000</v>
      </c>
      <c r="K44" s="17">
        <f t="shared" si="1"/>
        <v>300</v>
      </c>
      <c r="L44" s="16">
        <v>10</v>
      </c>
      <c r="M44" s="18">
        <f t="shared" si="32"/>
        <v>2869.8305084745766</v>
      </c>
      <c r="N44" s="18">
        <f t="shared" si="3"/>
        <v>286.98305084745766</v>
      </c>
      <c r="O44" s="19">
        <f t="shared" si="4"/>
        <v>0</v>
      </c>
      <c r="P44" s="20">
        <f t="shared" si="5"/>
        <v>-13.016949152542338</v>
      </c>
      <c r="Q44" s="21">
        <f t="shared" si="6"/>
        <v>0.95661016949152555</v>
      </c>
      <c r="R44" s="188"/>
      <c r="S44" s="28">
        <v>0.2298611111111111</v>
      </c>
      <c r="T44" s="28">
        <v>0.27083333333333331</v>
      </c>
      <c r="U44" s="4">
        <f t="shared" si="34"/>
        <v>7.0000000000000151</v>
      </c>
      <c r="V44" s="22">
        <f t="shared" si="33"/>
        <v>58.999999999999993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8"/>
        <v>-130.16949152542338</v>
      </c>
      <c r="AF44" s="21">
        <f t="shared" si="9"/>
        <v>0.95661016949152555</v>
      </c>
      <c r="AG44" s="188"/>
    </row>
    <row r="45" spans="1:33" ht="15.75" customHeight="1">
      <c r="A45" s="185" t="s">
        <v>910</v>
      </c>
      <c r="B45" s="37" t="s">
        <v>111</v>
      </c>
      <c r="C45" s="173" t="s">
        <v>116</v>
      </c>
      <c r="D45" s="174"/>
      <c r="E45" s="37">
        <v>35.869999999999997</v>
      </c>
      <c r="F45" s="4">
        <v>3780</v>
      </c>
      <c r="G45" s="4">
        <f t="shared" si="31"/>
        <v>135588.59999999998</v>
      </c>
      <c r="H45" s="22" t="s">
        <v>139</v>
      </c>
      <c r="I45" s="16">
        <v>9</v>
      </c>
      <c r="J45" s="18">
        <v>3000</v>
      </c>
      <c r="K45" s="17">
        <f t="shared" si="1"/>
        <v>333.33333333333331</v>
      </c>
      <c r="L45" s="16">
        <v>9</v>
      </c>
      <c r="M45" s="18">
        <f t="shared" si="32"/>
        <v>2870.8860759493687</v>
      </c>
      <c r="N45" s="18">
        <f t="shared" si="3"/>
        <v>318.98734177215209</v>
      </c>
      <c r="O45" s="19">
        <f t="shared" si="4"/>
        <v>0</v>
      </c>
      <c r="P45" s="20">
        <f t="shared" si="5"/>
        <v>-14.345991561181222</v>
      </c>
      <c r="Q45" s="21">
        <f t="shared" si="6"/>
        <v>0.95696202531645636</v>
      </c>
      <c r="R45" s="188"/>
      <c r="S45" s="28">
        <v>0.27638888888888885</v>
      </c>
      <c r="T45" s="28">
        <v>0.33124999999999993</v>
      </c>
      <c r="U45" s="4">
        <f t="shared" si="34"/>
        <v>7.9999999999999716</v>
      </c>
      <c r="V45" s="22">
        <f t="shared" si="33"/>
        <v>78.999999999999957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8"/>
        <v>-129.11392405063134</v>
      </c>
      <c r="AF45" s="21">
        <f t="shared" si="9"/>
        <v>0.95696202531645624</v>
      </c>
      <c r="AG45" s="188"/>
    </row>
    <row r="46" spans="1:33" ht="15.75" customHeight="1">
      <c r="A46" s="185" t="s">
        <v>910</v>
      </c>
      <c r="B46" s="37" t="s">
        <v>111</v>
      </c>
      <c r="C46" s="173" t="s">
        <v>117</v>
      </c>
      <c r="D46" s="174"/>
      <c r="E46" s="37">
        <v>44.03</v>
      </c>
      <c r="F46" s="4">
        <v>1501</v>
      </c>
      <c r="G46" s="4">
        <f t="shared" si="31"/>
        <v>66089.03</v>
      </c>
      <c r="H46" s="22" t="s">
        <v>139</v>
      </c>
      <c r="I46" s="16">
        <v>10</v>
      </c>
      <c r="J46" s="18">
        <v>3000</v>
      </c>
      <c r="K46" s="17">
        <f t="shared" si="1"/>
        <v>300</v>
      </c>
      <c r="L46" s="16">
        <v>10</v>
      </c>
      <c r="M46" s="18">
        <f t="shared" si="32"/>
        <v>2905.1612903225832</v>
      </c>
      <c r="N46" s="18">
        <f t="shared" si="3"/>
        <v>290.51612903225833</v>
      </c>
      <c r="O46" s="19">
        <f t="shared" si="4"/>
        <v>0</v>
      </c>
      <c r="P46" s="20">
        <f t="shared" si="5"/>
        <v>-9.4838709677416659</v>
      </c>
      <c r="Q46" s="21">
        <f t="shared" si="6"/>
        <v>0.96838709677419443</v>
      </c>
      <c r="R46" s="188"/>
      <c r="S46" s="28">
        <v>0.33611111111111103</v>
      </c>
      <c r="T46" s="28">
        <v>0.35763888888888878</v>
      </c>
      <c r="U46" s="4">
        <f t="shared" si="34"/>
        <v>6.9999999999999751</v>
      </c>
      <c r="V46" s="22">
        <f t="shared" si="33"/>
        <v>30.999999999999972</v>
      </c>
      <c r="W46" s="23"/>
      <c r="X46" s="23"/>
      <c r="Y46" s="26"/>
      <c r="Z46" s="26"/>
      <c r="AA46" s="175"/>
      <c r="AB46" s="176"/>
      <c r="AC46" s="25"/>
      <c r="AD46" s="25"/>
      <c r="AE46" s="19">
        <f t="shared" si="8"/>
        <v>-94.838709677416773</v>
      </c>
      <c r="AF46" s="21">
        <f t="shared" si="9"/>
        <v>0.96838709677419443</v>
      </c>
      <c r="AG46" s="188"/>
    </row>
    <row r="47" spans="1:33" ht="15.75" customHeight="1">
      <c r="A47" s="185" t="s">
        <v>910</v>
      </c>
      <c r="B47" s="37" t="s">
        <v>111</v>
      </c>
      <c r="C47" s="173" t="s">
        <v>112</v>
      </c>
      <c r="D47" s="174"/>
      <c r="E47" s="37">
        <v>21.13</v>
      </c>
      <c r="F47" s="4">
        <v>5164</v>
      </c>
      <c r="G47" s="4">
        <f t="shared" si="31"/>
        <v>109115.31999999999</v>
      </c>
      <c r="H47" s="22" t="s">
        <v>139</v>
      </c>
      <c r="I47" s="16">
        <v>10</v>
      </c>
      <c r="J47" s="18">
        <v>3000</v>
      </c>
      <c r="K47" s="17">
        <f t="shared" si="1"/>
        <v>300</v>
      </c>
      <c r="L47" s="16">
        <v>10</v>
      </c>
      <c r="M47" s="18">
        <f t="shared" si="32"/>
        <v>2868.8888888888887</v>
      </c>
      <c r="N47" s="18">
        <f t="shared" si="3"/>
        <v>286.88888888888886</v>
      </c>
      <c r="O47" s="19">
        <f t="shared" si="4"/>
        <v>0</v>
      </c>
      <c r="P47" s="20">
        <f t="shared" si="5"/>
        <v>-13.111111111111143</v>
      </c>
      <c r="Q47" s="21">
        <f t="shared" si="6"/>
        <v>0.9562962962962962</v>
      </c>
      <c r="R47" s="188"/>
      <c r="S47" s="28">
        <v>0.36180555555555544</v>
      </c>
      <c r="T47" s="28">
        <v>0.43680555555555545</v>
      </c>
      <c r="U47" s="4">
        <f t="shared" si="34"/>
        <v>5.9999999999999787</v>
      </c>
      <c r="V47" s="22">
        <f t="shared" si="33"/>
        <v>108.00000000000001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8"/>
        <v>-131.11111111111131</v>
      </c>
      <c r="AF47" s="21">
        <f t="shared" si="9"/>
        <v>0.9562962962962962</v>
      </c>
      <c r="AG47" s="188"/>
    </row>
    <row r="48" spans="1:33" ht="15.75" customHeight="1">
      <c r="A48" s="185" t="s">
        <v>910</v>
      </c>
      <c r="B48" s="37" t="s">
        <v>111</v>
      </c>
      <c r="C48" s="173" t="s">
        <v>113</v>
      </c>
      <c r="D48" s="174"/>
      <c r="E48" s="37">
        <v>27.17</v>
      </c>
      <c r="F48" s="4">
        <v>4200</v>
      </c>
      <c r="G48" s="4">
        <f t="shared" si="31"/>
        <v>114114</v>
      </c>
      <c r="H48" s="22">
        <v>2</v>
      </c>
      <c r="I48" s="16">
        <v>10</v>
      </c>
      <c r="J48" s="18">
        <v>3000</v>
      </c>
      <c r="K48" s="17">
        <f t="shared" si="1"/>
        <v>300</v>
      </c>
      <c r="L48" s="16">
        <v>10</v>
      </c>
      <c r="M48" s="18">
        <f t="shared" si="32"/>
        <v>2863.6363636363635</v>
      </c>
      <c r="N48" s="18">
        <f t="shared" si="3"/>
        <v>286.36363636363637</v>
      </c>
      <c r="O48" s="19">
        <f t="shared" si="4"/>
        <v>0</v>
      </c>
      <c r="P48" s="20">
        <f t="shared" si="5"/>
        <v>-13.636363636363626</v>
      </c>
      <c r="Q48" s="21">
        <f t="shared" si="6"/>
        <v>0.95454545454545459</v>
      </c>
      <c r="R48" s="188"/>
      <c r="S48" s="28">
        <v>0.44027777777777766</v>
      </c>
      <c r="T48" s="28">
        <v>0.50138888888888877</v>
      </c>
      <c r="U48" s="4">
        <f t="shared" si="34"/>
        <v>4.9999999999999822</v>
      </c>
      <c r="V48" s="22">
        <f t="shared" si="33"/>
        <v>88</v>
      </c>
      <c r="W48" s="23">
        <f>T48</f>
        <v>0.50138888888888877</v>
      </c>
      <c r="X48" s="23">
        <f>S49</f>
        <v>0.54166666666666652</v>
      </c>
      <c r="Y48" s="26"/>
      <c r="Z48" s="26"/>
      <c r="AA48" s="175"/>
      <c r="AB48" s="176"/>
      <c r="AC48" s="25"/>
      <c r="AD48" s="25"/>
      <c r="AE48" s="19">
        <f t="shared" si="8"/>
        <v>-136.36363636363649</v>
      </c>
      <c r="AF48" s="21">
        <f t="shared" si="9"/>
        <v>0.95454545454545447</v>
      </c>
      <c r="AG48" s="188"/>
    </row>
    <row r="49" spans="1:33" ht="15.75" customHeight="1">
      <c r="A49" s="185" t="s">
        <v>910</v>
      </c>
      <c r="B49" s="37" t="s">
        <v>111</v>
      </c>
      <c r="C49" s="173" t="s">
        <v>113</v>
      </c>
      <c r="D49" s="174"/>
      <c r="E49" s="37">
        <v>27.17</v>
      </c>
      <c r="F49" s="4">
        <v>2870</v>
      </c>
      <c r="G49" s="4">
        <f t="shared" si="31"/>
        <v>77977.900000000009</v>
      </c>
      <c r="H49" s="22" t="s">
        <v>139</v>
      </c>
      <c r="I49" s="16">
        <v>10</v>
      </c>
      <c r="J49" s="18">
        <v>3000</v>
      </c>
      <c r="K49" s="17">
        <f t="shared" si="1"/>
        <v>300</v>
      </c>
      <c r="L49" s="16">
        <v>10</v>
      </c>
      <c r="M49" s="18">
        <f t="shared" si="32"/>
        <v>2870.0000000000027</v>
      </c>
      <c r="N49" s="18">
        <f t="shared" si="3"/>
        <v>287.00000000000028</v>
      </c>
      <c r="O49" s="19">
        <f t="shared" si="4"/>
        <v>0</v>
      </c>
      <c r="P49" s="20">
        <f t="shared" si="5"/>
        <v>-12.999999999999716</v>
      </c>
      <c r="Q49" s="21">
        <f t="shared" si="6"/>
        <v>0.95666666666666766</v>
      </c>
      <c r="R49" s="188"/>
      <c r="S49" s="28">
        <v>0.54166666666666652</v>
      </c>
      <c r="T49" s="28">
        <v>0.58333333333333315</v>
      </c>
      <c r="U49" s="4">
        <f t="shared" si="34"/>
        <v>57.999999999999957</v>
      </c>
      <c r="V49" s="22">
        <f t="shared" si="33"/>
        <v>59.999999999999943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-129.99999999999727</v>
      </c>
      <c r="AF49" s="21">
        <f t="shared" si="9"/>
        <v>0.95666666666666755</v>
      </c>
      <c r="AG49" s="188"/>
    </row>
    <row r="50" spans="1:33" ht="15.75" customHeight="1">
      <c r="A50" s="186" t="s">
        <v>910</v>
      </c>
      <c r="B50" s="37" t="s">
        <v>904</v>
      </c>
      <c r="C50" s="166"/>
      <c r="D50" s="167"/>
      <c r="E50" s="41"/>
      <c r="F50" s="4"/>
      <c r="G50" s="4"/>
      <c r="H50" s="4"/>
      <c r="I50" s="30">
        <v>9.875</v>
      </c>
      <c r="J50" s="18">
        <v>3000</v>
      </c>
      <c r="K50" s="17">
        <f t="shared" si="1"/>
        <v>303.79746835443041</v>
      </c>
      <c r="L50" s="30">
        <v>9.875</v>
      </c>
      <c r="M50" s="18">
        <f>AVERAGE(M42:M49)</f>
        <v>2872.8924961721314</v>
      </c>
      <c r="N50" s="17">
        <f t="shared" si="3"/>
        <v>290.92582239717785</v>
      </c>
      <c r="O50" s="19">
        <f t="shared" si="4"/>
        <v>0</v>
      </c>
      <c r="P50" s="20">
        <f t="shared" si="5"/>
        <v>-12.871645957252554</v>
      </c>
      <c r="Q50" s="21">
        <f t="shared" si="6"/>
        <v>0.95763083205737698</v>
      </c>
      <c r="R50" s="189"/>
      <c r="S50" s="28"/>
      <c r="T50" s="28"/>
      <c r="U50" s="4"/>
      <c r="V50" s="22"/>
      <c r="W50" s="23"/>
      <c r="X50" s="23"/>
      <c r="Y50" s="31">
        <f>SUM(Y42:Y49)</f>
        <v>0</v>
      </c>
      <c r="Z50" s="31">
        <f>SUM(Z42:Z49)</f>
        <v>0</v>
      </c>
      <c r="AA50" s="180"/>
      <c r="AB50" s="181"/>
      <c r="AC50" s="31">
        <v>8</v>
      </c>
      <c r="AD50" s="31">
        <f>SUM(AD42:AD49)</f>
        <v>0</v>
      </c>
      <c r="AE50" s="19">
        <f t="shared" si="8"/>
        <v>-127.10750382786864</v>
      </c>
      <c r="AF50" s="21">
        <f t="shared" si="9"/>
        <v>0.95763083205737709</v>
      </c>
      <c r="AG50" s="189"/>
    </row>
    <row r="51" spans="1:33" ht="15.75" customHeight="1">
      <c r="A51" s="182" t="s">
        <v>911</v>
      </c>
      <c r="B51" s="37" t="s">
        <v>84</v>
      </c>
      <c r="C51" s="165" t="s">
        <v>118</v>
      </c>
      <c r="D51" s="165"/>
      <c r="E51" s="37">
        <v>46</v>
      </c>
      <c r="F51" s="42">
        <v>1710</v>
      </c>
      <c r="G51" s="4">
        <f t="shared" ref="G51:G60" si="35">E51*F51</f>
        <v>78660</v>
      </c>
      <c r="H51" s="22" t="s">
        <v>139</v>
      </c>
      <c r="I51" s="16">
        <v>17</v>
      </c>
      <c r="J51" s="18">
        <v>2000</v>
      </c>
      <c r="K51" s="17">
        <f t="shared" si="1"/>
        <v>117.64705882352941</v>
      </c>
      <c r="L51" s="16">
        <v>17</v>
      </c>
      <c r="M51" s="18">
        <f t="shared" ref="M51:M60" si="36">F51/V51*60</f>
        <v>1935.8490566037731</v>
      </c>
      <c r="N51" s="18">
        <f t="shared" si="3"/>
        <v>113.87347391786901</v>
      </c>
      <c r="O51" s="19">
        <f t="shared" si="4"/>
        <v>0</v>
      </c>
      <c r="P51" s="20">
        <f t="shared" si="5"/>
        <v>-3.7735849056603996</v>
      </c>
      <c r="Q51" s="21">
        <f t="shared" si="6"/>
        <v>0.96792452830188658</v>
      </c>
      <c r="R51" s="172">
        <f>Q61</f>
        <v>0.94034605448310582</v>
      </c>
      <c r="S51" s="28">
        <v>0.20833333333333334</v>
      </c>
      <c r="T51" s="28">
        <v>0.24513888888888891</v>
      </c>
      <c r="U51" s="28"/>
      <c r="V51" s="22">
        <f t="shared" ref="V51:V60" si="37">(T51-S51)*24*60</f>
        <v>53.000000000000014</v>
      </c>
      <c r="W51" s="28"/>
      <c r="X51" s="28"/>
      <c r="Y51" s="28"/>
      <c r="Z51" s="28"/>
      <c r="AA51" s="164"/>
      <c r="AB51" s="164"/>
      <c r="AC51" s="25">
        <v>10</v>
      </c>
      <c r="AD51" s="25"/>
      <c r="AE51" s="19">
        <f t="shared" si="8"/>
        <v>-64.150943396226921</v>
      </c>
      <c r="AF51" s="21">
        <f t="shared" si="9"/>
        <v>0.96792452830188658</v>
      </c>
      <c r="AG51" s="172">
        <f>AF61</f>
        <v>0.94034605448310582</v>
      </c>
    </row>
    <row r="52" spans="1:33" ht="15.75" customHeight="1">
      <c r="A52" s="182" t="s">
        <v>911</v>
      </c>
      <c r="B52" s="37" t="s">
        <v>84</v>
      </c>
      <c r="C52" s="165" t="s">
        <v>119</v>
      </c>
      <c r="D52" s="165"/>
      <c r="E52" s="37">
        <v>46</v>
      </c>
      <c r="F52" s="42">
        <v>1803</v>
      </c>
      <c r="G52" s="4">
        <f t="shared" si="35"/>
        <v>82938</v>
      </c>
      <c r="H52" s="22" t="s">
        <v>139</v>
      </c>
      <c r="I52" s="16">
        <v>17</v>
      </c>
      <c r="J52" s="18">
        <v>2000</v>
      </c>
      <c r="K52" s="17">
        <f t="shared" si="1"/>
        <v>117.64705882352941</v>
      </c>
      <c r="L52" s="16">
        <v>17</v>
      </c>
      <c r="M52" s="18">
        <f t="shared" si="36"/>
        <v>1931.7857142857158</v>
      </c>
      <c r="N52" s="18">
        <f t="shared" si="3"/>
        <v>113.63445378151269</v>
      </c>
      <c r="O52" s="19">
        <f t="shared" si="4"/>
        <v>0</v>
      </c>
      <c r="P52" s="20">
        <f t="shared" si="5"/>
        <v>-4.0126050420167161</v>
      </c>
      <c r="Q52" s="21">
        <f t="shared" si="6"/>
        <v>0.96589285714285789</v>
      </c>
      <c r="R52" s="172"/>
      <c r="S52" s="28">
        <v>0.25069444444444444</v>
      </c>
      <c r="T52" s="28">
        <v>0.2895833333333333</v>
      </c>
      <c r="U52" s="4">
        <f t="shared" ref="U52:U60" si="38">IF(S52=TIME(17,0,0),"",(S52-T51)*24*60)</f>
        <v>7.9999999999999716</v>
      </c>
      <c r="V52" s="22">
        <f t="shared" si="37"/>
        <v>55.999999999999957</v>
      </c>
      <c r="W52" s="23"/>
      <c r="X52" s="23"/>
      <c r="Y52" s="23"/>
      <c r="Z52" s="23"/>
      <c r="AA52" s="164"/>
      <c r="AB52" s="164"/>
      <c r="AC52" s="25"/>
      <c r="AD52" s="25"/>
      <c r="AE52" s="19">
        <f t="shared" si="8"/>
        <v>-68.214285714284188</v>
      </c>
      <c r="AF52" s="21">
        <f t="shared" si="9"/>
        <v>0.96589285714285789</v>
      </c>
      <c r="AG52" s="172"/>
    </row>
    <row r="53" spans="1:33" ht="15.75" customHeight="1">
      <c r="A53" s="182" t="s">
        <v>911</v>
      </c>
      <c r="B53" s="37" t="s">
        <v>78</v>
      </c>
      <c r="C53" s="173" t="s">
        <v>120</v>
      </c>
      <c r="D53" s="174"/>
      <c r="E53" s="37">
        <v>56.43</v>
      </c>
      <c r="F53" s="42">
        <v>2069</v>
      </c>
      <c r="G53" s="4">
        <f t="shared" si="35"/>
        <v>116753.67</v>
      </c>
      <c r="H53" s="22" t="s">
        <v>139</v>
      </c>
      <c r="I53" s="16">
        <v>22</v>
      </c>
      <c r="J53" s="18">
        <v>2000</v>
      </c>
      <c r="K53" s="17">
        <f t="shared" si="1"/>
        <v>90.909090909090907</v>
      </c>
      <c r="L53" s="16">
        <v>22</v>
      </c>
      <c r="M53" s="18">
        <f t="shared" si="36"/>
        <v>1748.4507042253524</v>
      </c>
      <c r="N53" s="18">
        <f t="shared" si="3"/>
        <v>79.475032010243297</v>
      </c>
      <c r="O53" s="19">
        <f t="shared" si="4"/>
        <v>0</v>
      </c>
      <c r="P53" s="20">
        <f t="shared" si="5"/>
        <v>-11.43405889884761</v>
      </c>
      <c r="Q53" s="21">
        <f t="shared" si="6"/>
        <v>0.87422535211267627</v>
      </c>
      <c r="R53" s="172"/>
      <c r="S53" s="28">
        <v>0.29374999999999996</v>
      </c>
      <c r="T53" s="28">
        <v>0.3430555555555555</v>
      </c>
      <c r="U53" s="4">
        <f t="shared" si="38"/>
        <v>5.9999999999999787</v>
      </c>
      <c r="V53" s="22">
        <f t="shared" si="37"/>
        <v>70.999999999999986</v>
      </c>
      <c r="W53" s="23"/>
      <c r="X53" s="23"/>
      <c r="Y53" s="26"/>
      <c r="Z53" s="26"/>
      <c r="AA53" s="164"/>
      <c r="AB53" s="164"/>
      <c r="AC53" s="25"/>
      <c r="AD53" s="25"/>
      <c r="AE53" s="19">
        <f t="shared" si="8"/>
        <v>-251.54929577464759</v>
      </c>
      <c r="AF53" s="21">
        <f t="shared" si="9"/>
        <v>0.87422535211267616</v>
      </c>
      <c r="AG53" s="172"/>
    </row>
    <row r="54" spans="1:33" ht="15.75" customHeight="1">
      <c r="A54" s="182" t="s">
        <v>911</v>
      </c>
      <c r="B54" s="37" t="s">
        <v>78</v>
      </c>
      <c r="C54" s="43" t="s">
        <v>121</v>
      </c>
      <c r="D54" s="44"/>
      <c r="E54" s="37">
        <v>51.75</v>
      </c>
      <c r="F54" s="42">
        <v>1795</v>
      </c>
      <c r="G54" s="4">
        <f t="shared" si="35"/>
        <v>92891.25</v>
      </c>
      <c r="H54" s="22" t="s">
        <v>139</v>
      </c>
      <c r="I54" s="16">
        <v>25</v>
      </c>
      <c r="J54" s="18">
        <v>2000</v>
      </c>
      <c r="K54" s="17">
        <f t="shared" si="1"/>
        <v>80</v>
      </c>
      <c r="L54" s="16">
        <v>25</v>
      </c>
      <c r="M54" s="18">
        <f t="shared" si="36"/>
        <v>1709.5238095238092</v>
      </c>
      <c r="N54" s="18">
        <f t="shared" si="3"/>
        <v>68.380952380952365</v>
      </c>
      <c r="O54" s="19">
        <f t="shared" si="4"/>
        <v>0</v>
      </c>
      <c r="P54" s="20">
        <f t="shared" si="5"/>
        <v>-11.619047619047635</v>
      </c>
      <c r="Q54" s="21">
        <f t="shared" si="6"/>
        <v>0.85476190476190461</v>
      </c>
      <c r="R54" s="172"/>
      <c r="S54" s="28">
        <v>0.34722222222222215</v>
      </c>
      <c r="T54" s="28">
        <v>0.39097222222222217</v>
      </c>
      <c r="U54" s="4">
        <f t="shared" si="38"/>
        <v>5.9999999999999787</v>
      </c>
      <c r="V54" s="22">
        <f t="shared" si="37"/>
        <v>63.000000000000014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8"/>
        <v>-290.47619047619082</v>
      </c>
      <c r="AF54" s="21">
        <f t="shared" si="9"/>
        <v>0.85476190476190461</v>
      </c>
      <c r="AG54" s="172"/>
    </row>
    <row r="55" spans="1:33" ht="15.75" customHeight="1">
      <c r="A55" s="182" t="s">
        <v>911</v>
      </c>
      <c r="B55" s="37" t="s">
        <v>78</v>
      </c>
      <c r="C55" s="43" t="s">
        <v>122</v>
      </c>
      <c r="D55" s="44"/>
      <c r="E55" s="37">
        <v>54.09</v>
      </c>
      <c r="F55" s="42">
        <v>1662</v>
      </c>
      <c r="G55" s="4">
        <f t="shared" si="35"/>
        <v>89897.58</v>
      </c>
      <c r="H55" s="22" t="s">
        <v>139</v>
      </c>
      <c r="I55" s="16">
        <v>19</v>
      </c>
      <c r="J55" s="18">
        <v>2000</v>
      </c>
      <c r="K55" s="17">
        <f t="shared" si="1"/>
        <v>105.26315789473684</v>
      </c>
      <c r="L55" s="16">
        <v>19</v>
      </c>
      <c r="M55" s="18">
        <f t="shared" si="36"/>
        <v>1881.5094339622651</v>
      </c>
      <c r="N55" s="18">
        <f t="shared" si="3"/>
        <v>99.026812313803433</v>
      </c>
      <c r="O55" s="19">
        <f t="shared" si="4"/>
        <v>0</v>
      </c>
      <c r="P55" s="20">
        <f t="shared" si="5"/>
        <v>-6.2363455809334027</v>
      </c>
      <c r="Q55" s="21">
        <f t="shared" si="6"/>
        <v>0.94075471698113267</v>
      </c>
      <c r="R55" s="172"/>
      <c r="S55" s="28">
        <v>0.39444444444444438</v>
      </c>
      <c r="T55" s="28">
        <v>0.43124999999999991</v>
      </c>
      <c r="U55" s="4">
        <f t="shared" si="38"/>
        <v>4.9999999999999822</v>
      </c>
      <c r="V55" s="22">
        <f t="shared" si="37"/>
        <v>52.999999999999972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8"/>
        <v>-118.49056603773488</v>
      </c>
      <c r="AF55" s="21">
        <f t="shared" si="9"/>
        <v>0.94075471698113255</v>
      </c>
      <c r="AG55" s="172"/>
    </row>
    <row r="56" spans="1:33" ht="15.75" customHeight="1">
      <c r="A56" s="182" t="s">
        <v>911</v>
      </c>
      <c r="B56" s="37" t="s">
        <v>78</v>
      </c>
      <c r="C56" s="173" t="s">
        <v>123</v>
      </c>
      <c r="D56" s="174"/>
      <c r="E56" s="37">
        <v>55.56</v>
      </c>
      <c r="F56" s="42">
        <v>1988</v>
      </c>
      <c r="G56" s="4">
        <f t="shared" si="35"/>
        <v>110453.28</v>
      </c>
      <c r="H56" s="22" t="s">
        <v>139</v>
      </c>
      <c r="I56" s="16">
        <v>17</v>
      </c>
      <c r="J56" s="18">
        <v>2000</v>
      </c>
      <c r="K56" s="17">
        <f t="shared" si="1"/>
        <v>117.64705882352941</v>
      </c>
      <c r="L56" s="16">
        <v>17</v>
      </c>
      <c r="M56" s="18">
        <f t="shared" si="36"/>
        <v>1923.870967741937</v>
      </c>
      <c r="N56" s="18">
        <f t="shared" si="3"/>
        <v>113.16888045540806</v>
      </c>
      <c r="O56" s="19">
        <f t="shared" si="4"/>
        <v>0</v>
      </c>
      <c r="P56" s="20">
        <f t="shared" si="5"/>
        <v>-4.4781783681213483</v>
      </c>
      <c r="Q56" s="21">
        <f t="shared" si="6"/>
        <v>0.9619354838709685</v>
      </c>
      <c r="R56" s="172"/>
      <c r="S56" s="28">
        <v>0.70833333333333337</v>
      </c>
      <c r="T56" s="28">
        <v>0.75138888888888888</v>
      </c>
      <c r="U56" s="4" t="str">
        <f t="shared" si="38"/>
        <v/>
      </c>
      <c r="V56" s="22">
        <f t="shared" si="37"/>
        <v>61.999999999999943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8"/>
        <v>-76.129032258063035</v>
      </c>
      <c r="AF56" s="21">
        <f t="shared" si="9"/>
        <v>0.9619354838709685</v>
      </c>
      <c r="AG56" s="172"/>
    </row>
    <row r="57" spans="1:33" ht="15.75" customHeight="1">
      <c r="A57" s="182" t="s">
        <v>911</v>
      </c>
      <c r="B57" s="37" t="s">
        <v>78</v>
      </c>
      <c r="C57" s="173" t="s">
        <v>124</v>
      </c>
      <c r="D57" s="174"/>
      <c r="E57" s="37">
        <v>55.32</v>
      </c>
      <c r="F57" s="42">
        <v>1431</v>
      </c>
      <c r="G57" s="4">
        <f t="shared" si="35"/>
        <v>79162.92</v>
      </c>
      <c r="H57" s="22" t="s">
        <v>139</v>
      </c>
      <c r="I57" s="16">
        <v>15</v>
      </c>
      <c r="J57" s="18">
        <v>2000</v>
      </c>
      <c r="K57" s="17">
        <f t="shared" si="1"/>
        <v>133.33333333333334</v>
      </c>
      <c r="L57" s="16">
        <v>15</v>
      </c>
      <c r="M57" s="18">
        <f t="shared" si="36"/>
        <v>1908</v>
      </c>
      <c r="N57" s="18">
        <f t="shared" si="3"/>
        <v>127.2</v>
      </c>
      <c r="O57" s="19">
        <f t="shared" si="4"/>
        <v>0</v>
      </c>
      <c r="P57" s="20">
        <f t="shared" si="5"/>
        <v>-6.13333333333334</v>
      </c>
      <c r="Q57" s="21">
        <f t="shared" si="6"/>
        <v>0.95399999999999996</v>
      </c>
      <c r="R57" s="172"/>
      <c r="S57" s="28">
        <v>0.75694444444444442</v>
      </c>
      <c r="T57" s="28">
        <v>0.78819444444444442</v>
      </c>
      <c r="U57" s="4">
        <f t="shared" si="38"/>
        <v>7.9999999999999716</v>
      </c>
      <c r="V57" s="22">
        <f t="shared" si="37"/>
        <v>45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8"/>
        <v>-92</v>
      </c>
      <c r="AF57" s="21">
        <f t="shared" si="9"/>
        <v>0.95399999999999996</v>
      </c>
      <c r="AG57" s="172"/>
    </row>
    <row r="58" spans="1:33" ht="15.75" customHeight="1">
      <c r="A58" s="182" t="s">
        <v>911</v>
      </c>
      <c r="B58" s="37" t="s">
        <v>78</v>
      </c>
      <c r="C58" s="173" t="s">
        <v>125</v>
      </c>
      <c r="D58" s="174"/>
      <c r="E58" s="37">
        <v>54.29</v>
      </c>
      <c r="F58" s="42">
        <v>700</v>
      </c>
      <c r="G58" s="4">
        <f t="shared" si="35"/>
        <v>38003</v>
      </c>
      <c r="H58" s="22">
        <v>2</v>
      </c>
      <c r="I58" s="16">
        <v>20</v>
      </c>
      <c r="J58" s="18">
        <v>2000</v>
      </c>
      <c r="K58" s="17">
        <f t="shared" si="1"/>
        <v>100</v>
      </c>
      <c r="L58" s="16">
        <v>20</v>
      </c>
      <c r="M58" s="18">
        <f t="shared" si="36"/>
        <v>1909.0909090909158</v>
      </c>
      <c r="N58" s="18">
        <f t="shared" si="3"/>
        <v>95.454545454545794</v>
      </c>
      <c r="O58" s="19">
        <f t="shared" si="4"/>
        <v>0</v>
      </c>
      <c r="P58" s="20">
        <f t="shared" si="5"/>
        <v>-4.5454545454542057</v>
      </c>
      <c r="Q58" s="21">
        <f t="shared" si="6"/>
        <v>0.95454545454545792</v>
      </c>
      <c r="R58" s="172"/>
      <c r="S58" s="28">
        <v>0.79236111111111107</v>
      </c>
      <c r="T58" s="28">
        <v>0.8076388888888888</v>
      </c>
      <c r="U58" s="4">
        <f t="shared" si="38"/>
        <v>5.9999999999999787</v>
      </c>
      <c r="V58" s="22">
        <f t="shared" si="37"/>
        <v>21.999999999999922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8"/>
        <v>-90.909090909084171</v>
      </c>
      <c r="AF58" s="21">
        <f t="shared" si="9"/>
        <v>0.95454545454545792</v>
      </c>
      <c r="AG58" s="172"/>
    </row>
    <row r="59" spans="1:33">
      <c r="A59" s="182" t="s">
        <v>911</v>
      </c>
      <c r="B59" s="37" t="s">
        <v>78</v>
      </c>
      <c r="C59" s="173" t="s">
        <v>126</v>
      </c>
      <c r="D59" s="174"/>
      <c r="E59" s="37">
        <v>57.73</v>
      </c>
      <c r="F59" s="42">
        <v>1185</v>
      </c>
      <c r="G59" s="4">
        <f t="shared" si="35"/>
        <v>68410.05</v>
      </c>
      <c r="H59" s="22" t="s">
        <v>139</v>
      </c>
      <c r="I59" s="16">
        <v>16</v>
      </c>
      <c r="J59" s="18">
        <v>1500</v>
      </c>
      <c r="K59" s="17">
        <f t="shared" si="1"/>
        <v>93.75</v>
      </c>
      <c r="L59" s="16">
        <v>16</v>
      </c>
      <c r="M59" s="18">
        <f t="shared" si="36"/>
        <v>1451.0204081632658</v>
      </c>
      <c r="N59" s="18">
        <f t="shared" si="3"/>
        <v>90.68877551020411</v>
      </c>
      <c r="O59" s="19">
        <f t="shared" si="4"/>
        <v>0</v>
      </c>
      <c r="P59" s="20">
        <f t="shared" si="5"/>
        <v>-3.0612244897958902</v>
      </c>
      <c r="Q59" s="21">
        <f t="shared" si="6"/>
        <v>0.96734693877551048</v>
      </c>
      <c r="R59" s="172"/>
      <c r="S59" s="28">
        <v>0.81111111111111101</v>
      </c>
      <c r="T59" s="28">
        <v>0.84513888888888877</v>
      </c>
      <c r="U59" s="4">
        <f t="shared" si="38"/>
        <v>4.9999999999999822</v>
      </c>
      <c r="V59" s="22">
        <f t="shared" si="37"/>
        <v>48.999999999999986</v>
      </c>
      <c r="W59" s="23">
        <f>T59</f>
        <v>0.84513888888888877</v>
      </c>
      <c r="X59" s="23">
        <f>S60</f>
        <v>0.88472222222222208</v>
      </c>
      <c r="Y59" s="26"/>
      <c r="Z59" s="26"/>
      <c r="AA59" s="175"/>
      <c r="AB59" s="176"/>
      <c r="AC59" s="25"/>
      <c r="AD59" s="25"/>
      <c r="AE59" s="19">
        <f t="shared" si="8"/>
        <v>-48.979591836734244</v>
      </c>
      <c r="AF59" s="21">
        <f t="shared" si="9"/>
        <v>0.96734693877551048</v>
      </c>
      <c r="AG59" s="172"/>
    </row>
    <row r="60" spans="1:33">
      <c r="A60" s="182" t="s">
        <v>911</v>
      </c>
      <c r="B60" s="37" t="s">
        <v>78</v>
      </c>
      <c r="C60" s="173" t="s">
        <v>125</v>
      </c>
      <c r="D60" s="174"/>
      <c r="E60" s="37">
        <v>54.29</v>
      </c>
      <c r="F60" s="42">
        <v>1098</v>
      </c>
      <c r="G60" s="4">
        <f t="shared" si="35"/>
        <v>59610.42</v>
      </c>
      <c r="H60" s="22" t="s">
        <v>139</v>
      </c>
      <c r="I60" s="16">
        <v>20</v>
      </c>
      <c r="J60" s="18">
        <v>2000</v>
      </c>
      <c r="K60" s="17">
        <f t="shared" si="1"/>
        <v>100</v>
      </c>
      <c r="L60" s="16">
        <v>20</v>
      </c>
      <c r="M60" s="18">
        <f t="shared" si="36"/>
        <v>1937.647058823527</v>
      </c>
      <c r="N60" s="18">
        <f t="shared" si="3"/>
        <v>96.88235294117635</v>
      </c>
      <c r="O60" s="19">
        <f t="shared" si="4"/>
        <v>0</v>
      </c>
      <c r="P60" s="20">
        <f t="shared" si="5"/>
        <v>-3.1176470588236498</v>
      </c>
      <c r="Q60" s="21">
        <f t="shared" si="6"/>
        <v>0.96882352941176353</v>
      </c>
      <c r="R60" s="172"/>
      <c r="S60" s="28">
        <v>0.88472222222222208</v>
      </c>
      <c r="T60" s="28">
        <v>0.90833333333333321</v>
      </c>
      <c r="U60" s="4">
        <f t="shared" si="38"/>
        <v>56.999999999999957</v>
      </c>
      <c r="V60" s="22">
        <f t="shared" si="37"/>
        <v>34.000000000000043</v>
      </c>
      <c r="W60" s="23"/>
      <c r="X60" s="23"/>
      <c r="Y60" s="26"/>
      <c r="Z60" s="26"/>
      <c r="AA60" s="175"/>
      <c r="AB60" s="176"/>
      <c r="AC60" s="25"/>
      <c r="AD60" s="25"/>
      <c r="AE60" s="19">
        <f t="shared" si="8"/>
        <v>-62.352941176472996</v>
      </c>
      <c r="AF60" s="21">
        <f t="shared" si="9"/>
        <v>0.96882352941176353</v>
      </c>
      <c r="AG60" s="172"/>
    </row>
    <row r="61" spans="1:33">
      <c r="A61" s="183" t="s">
        <v>911</v>
      </c>
      <c r="B61" s="37" t="s">
        <v>904</v>
      </c>
      <c r="C61" s="177"/>
      <c r="D61" s="177"/>
      <c r="E61" s="38"/>
      <c r="F61" s="17"/>
      <c r="G61" s="17"/>
      <c r="H61" s="4"/>
      <c r="I61" s="30">
        <v>18.8</v>
      </c>
      <c r="J61" s="18">
        <v>1950</v>
      </c>
      <c r="K61" s="17">
        <f t="shared" si="1"/>
        <v>103.72340425531914</v>
      </c>
      <c r="L61" s="30">
        <v>18.8</v>
      </c>
      <c r="M61" s="18">
        <f>AVERAGE(M51:M60)</f>
        <v>1833.6748062420563</v>
      </c>
      <c r="N61" s="17">
        <f t="shared" si="3"/>
        <v>97.535893949045544</v>
      </c>
      <c r="O61" s="19">
        <f t="shared" si="4"/>
        <v>0</v>
      </c>
      <c r="P61" s="20">
        <f t="shared" si="5"/>
        <v>-6.1875103062735946</v>
      </c>
      <c r="Q61" s="21">
        <f t="shared" si="6"/>
        <v>0.94034605448310582</v>
      </c>
      <c r="R61" s="172"/>
      <c r="S61" s="28"/>
      <c r="T61" s="28"/>
      <c r="U61" s="4"/>
      <c r="V61" s="22"/>
      <c r="W61" s="17"/>
      <c r="X61" s="17"/>
      <c r="Y61" s="31">
        <f>SUM(Y51:Y60)</f>
        <v>0</v>
      </c>
      <c r="Z61" s="31">
        <f>SUM(Z51:Z60)</f>
        <v>0</v>
      </c>
      <c r="AA61" s="168"/>
      <c r="AB61" s="168"/>
      <c r="AC61" s="31">
        <v>10</v>
      </c>
      <c r="AD61" s="31">
        <f>SUM(AD51:AD60)</f>
        <v>0</v>
      </c>
      <c r="AE61" s="19">
        <f>M61-J61</f>
        <v>-116.32519375794368</v>
      </c>
      <c r="AF61" s="21">
        <f t="shared" si="9"/>
        <v>0.94034605448310582</v>
      </c>
      <c r="AG61" s="172"/>
    </row>
    <row r="62" spans="1:33" ht="15.75" customHeight="1">
      <c r="A62" s="178" t="s">
        <v>912</v>
      </c>
      <c r="B62" s="4" t="s">
        <v>84</v>
      </c>
      <c r="C62" s="165" t="s">
        <v>127</v>
      </c>
      <c r="D62" s="165"/>
      <c r="E62" s="37">
        <v>26.97</v>
      </c>
      <c r="F62" s="42">
        <v>2482</v>
      </c>
      <c r="G62" s="4">
        <f t="shared" ref="G62:G66" si="39">E62*F62</f>
        <v>66939.539999999994</v>
      </c>
      <c r="H62" s="22" t="s">
        <v>139</v>
      </c>
      <c r="I62" s="16">
        <v>8</v>
      </c>
      <c r="J62" s="18">
        <v>1500</v>
      </c>
      <c r="K62" s="17">
        <f t="shared" si="1"/>
        <v>187.5</v>
      </c>
      <c r="L62" s="16">
        <v>8</v>
      </c>
      <c r="M62" s="18">
        <f t="shared" ref="M62:M66" si="40">F62/V62*60</f>
        <v>1431.9230769230771</v>
      </c>
      <c r="N62" s="17">
        <f t="shared" si="3"/>
        <v>178.99038461538464</v>
      </c>
      <c r="O62" s="19">
        <f t="shared" si="4"/>
        <v>0</v>
      </c>
      <c r="P62" s="20">
        <f t="shared" si="5"/>
        <v>-8.5096153846153584</v>
      </c>
      <c r="Q62" s="21">
        <f t="shared" si="6"/>
        <v>0.95461538461538475</v>
      </c>
      <c r="R62" s="172">
        <f>Q67</f>
        <v>0.96358537058838256</v>
      </c>
      <c r="S62" s="28">
        <v>0.20833333333333334</v>
      </c>
      <c r="T62" s="28">
        <v>0.28055555555555556</v>
      </c>
      <c r="U62" s="4"/>
      <c r="V62" s="22">
        <f t="shared" ref="V62:V66" si="41">(T62-S62)*24*60</f>
        <v>103.99999999999999</v>
      </c>
      <c r="W62" s="28"/>
      <c r="X62" s="28"/>
      <c r="Y62" s="28"/>
      <c r="Z62" s="28"/>
      <c r="AA62" s="164"/>
      <c r="AB62" s="164"/>
      <c r="AC62" s="25">
        <v>5</v>
      </c>
      <c r="AD62" s="25"/>
      <c r="AE62" s="19">
        <f t="shared" ref="AE62:AE73" si="42">M62-J62</f>
        <v>-68.076923076922867</v>
      </c>
      <c r="AF62" s="21">
        <f t="shared" si="9"/>
        <v>0.95461538461538475</v>
      </c>
      <c r="AG62" s="172">
        <f>AF67</f>
        <v>0.96358537058838245</v>
      </c>
    </row>
    <row r="63" spans="1:33" ht="15.75" customHeight="1">
      <c r="A63" s="178" t="s">
        <v>912</v>
      </c>
      <c r="B63" s="4" t="s">
        <v>84</v>
      </c>
      <c r="C63" s="165" t="s">
        <v>128</v>
      </c>
      <c r="D63" s="165"/>
      <c r="E63" s="37">
        <v>27.4</v>
      </c>
      <c r="F63" s="42">
        <v>1545</v>
      </c>
      <c r="G63" s="4">
        <f t="shared" si="39"/>
        <v>42333</v>
      </c>
      <c r="H63" s="22" t="s">
        <v>139</v>
      </c>
      <c r="I63" s="16">
        <v>10</v>
      </c>
      <c r="J63" s="18">
        <v>1500</v>
      </c>
      <c r="K63" s="17">
        <f t="shared" si="1"/>
        <v>150</v>
      </c>
      <c r="L63" s="16">
        <v>10</v>
      </c>
      <c r="M63" s="18">
        <f t="shared" si="40"/>
        <v>1426.1538461538457</v>
      </c>
      <c r="N63" s="17">
        <f t="shared" si="3"/>
        <v>142.61538461538458</v>
      </c>
      <c r="O63" s="19">
        <f t="shared" si="4"/>
        <v>0</v>
      </c>
      <c r="P63" s="20">
        <f t="shared" si="5"/>
        <v>-7.3846153846154152</v>
      </c>
      <c r="Q63" s="21">
        <f t="shared" si="6"/>
        <v>0.95076923076923059</v>
      </c>
      <c r="R63" s="172"/>
      <c r="S63" s="28">
        <v>0.28472222222222221</v>
      </c>
      <c r="T63" s="28">
        <v>0.3298611111111111</v>
      </c>
      <c r="U63" s="4">
        <f t="shared" ref="U63:U66" si="43">(S63-T62)*24*60</f>
        <v>5.9999999999999787</v>
      </c>
      <c r="V63" s="22">
        <f t="shared" si="41"/>
        <v>65.000000000000014</v>
      </c>
      <c r="W63" s="4"/>
      <c r="X63" s="4"/>
      <c r="Y63" s="4"/>
      <c r="Z63" s="4"/>
      <c r="AA63" s="164"/>
      <c r="AB63" s="164"/>
      <c r="AC63" s="25"/>
      <c r="AD63" s="25"/>
      <c r="AE63" s="19">
        <f t="shared" si="42"/>
        <v>-73.846153846154266</v>
      </c>
      <c r="AF63" s="21">
        <f t="shared" si="9"/>
        <v>0.95076923076923048</v>
      </c>
      <c r="AG63" s="172"/>
    </row>
    <row r="64" spans="1:33" ht="15.75" customHeight="1">
      <c r="A64" s="178" t="s">
        <v>912</v>
      </c>
      <c r="B64" s="4" t="s">
        <v>111</v>
      </c>
      <c r="C64" s="165" t="s">
        <v>129</v>
      </c>
      <c r="D64" s="165"/>
      <c r="E64" s="37">
        <v>31</v>
      </c>
      <c r="F64" s="42">
        <v>787</v>
      </c>
      <c r="G64" s="4">
        <f t="shared" si="39"/>
        <v>24397</v>
      </c>
      <c r="H64" s="22" t="s">
        <v>139</v>
      </c>
      <c r="I64" s="16">
        <v>13</v>
      </c>
      <c r="J64" s="18">
        <v>2000</v>
      </c>
      <c r="K64" s="17">
        <f t="shared" si="1"/>
        <v>153.84615384615384</v>
      </c>
      <c r="L64" s="16">
        <v>13</v>
      </c>
      <c r="M64" s="18">
        <f t="shared" si="40"/>
        <v>1967.5000000000007</v>
      </c>
      <c r="N64" s="17">
        <f t="shared" si="3"/>
        <v>151.3461538461539</v>
      </c>
      <c r="O64" s="19">
        <f t="shared" si="4"/>
        <v>0</v>
      </c>
      <c r="P64" s="20">
        <f t="shared" si="5"/>
        <v>-2.4999999999999432</v>
      </c>
      <c r="Q64" s="21">
        <f t="shared" si="6"/>
        <v>0.98375000000000035</v>
      </c>
      <c r="R64" s="172"/>
      <c r="S64" s="28">
        <v>0.3347222222222222</v>
      </c>
      <c r="T64" s="28">
        <v>0.35138888888888886</v>
      </c>
      <c r="U64" s="4">
        <f t="shared" si="43"/>
        <v>6.9999999999999751</v>
      </c>
      <c r="V64" s="22">
        <f t="shared" si="41"/>
        <v>23.999999999999993</v>
      </c>
      <c r="W64" s="4"/>
      <c r="X64" s="4"/>
      <c r="Y64" s="4"/>
      <c r="Z64" s="4"/>
      <c r="AA64" s="164"/>
      <c r="AB64" s="164"/>
      <c r="AC64" s="25"/>
      <c r="AD64" s="25"/>
      <c r="AE64" s="19">
        <f t="shared" si="42"/>
        <v>-32.499999999999318</v>
      </c>
      <c r="AF64" s="21">
        <f t="shared" si="9"/>
        <v>0.98375000000000035</v>
      </c>
      <c r="AG64" s="172"/>
    </row>
    <row r="65" spans="1:33" ht="15.75" customHeight="1">
      <c r="A65" s="178" t="s">
        <v>912</v>
      </c>
      <c r="B65" s="4" t="s">
        <v>111</v>
      </c>
      <c r="C65" s="165" t="s">
        <v>130</v>
      </c>
      <c r="D65" s="165"/>
      <c r="E65" s="37">
        <v>37.85</v>
      </c>
      <c r="F65" s="42">
        <v>2659</v>
      </c>
      <c r="G65" s="4">
        <f t="shared" si="39"/>
        <v>100643.15000000001</v>
      </c>
      <c r="H65" s="22" t="s">
        <v>139</v>
      </c>
      <c r="I65" s="16">
        <v>12</v>
      </c>
      <c r="J65" s="18">
        <v>2000</v>
      </c>
      <c r="K65" s="17">
        <f t="shared" si="1"/>
        <v>166.66666666666666</v>
      </c>
      <c r="L65" s="16">
        <v>12</v>
      </c>
      <c r="M65" s="18">
        <f t="shared" si="40"/>
        <v>1922.1686746987943</v>
      </c>
      <c r="N65" s="17">
        <f t="shared" si="3"/>
        <v>160.18072289156621</v>
      </c>
      <c r="O65" s="19">
        <f t="shared" si="4"/>
        <v>0</v>
      </c>
      <c r="P65" s="20">
        <f t="shared" si="5"/>
        <v>-6.4859437751004521</v>
      </c>
      <c r="Q65" s="21">
        <f t="shared" si="6"/>
        <v>0.96108433734939724</v>
      </c>
      <c r="R65" s="172"/>
      <c r="S65" s="28">
        <v>0.35486111111111107</v>
      </c>
      <c r="T65" s="28">
        <v>0.41249999999999998</v>
      </c>
      <c r="U65" s="4">
        <f t="shared" si="43"/>
        <v>4.9999999999999822</v>
      </c>
      <c r="V65" s="22">
        <f t="shared" si="41"/>
        <v>83.000000000000028</v>
      </c>
      <c r="W65" s="4"/>
      <c r="X65" s="4"/>
      <c r="Y65" s="4"/>
      <c r="Z65" s="4"/>
      <c r="AA65" s="164"/>
      <c r="AB65" s="164"/>
      <c r="AC65" s="25"/>
      <c r="AD65" s="25"/>
      <c r="AE65" s="19">
        <f t="shared" si="42"/>
        <v>-77.831325301205652</v>
      </c>
      <c r="AF65" s="21">
        <f t="shared" si="9"/>
        <v>0.96108433734939713</v>
      </c>
      <c r="AG65" s="172"/>
    </row>
    <row r="66" spans="1:33">
      <c r="A66" s="179" t="s">
        <v>912</v>
      </c>
      <c r="B66" s="4" t="s">
        <v>111</v>
      </c>
      <c r="C66" s="165" t="s">
        <v>131</v>
      </c>
      <c r="D66" s="165"/>
      <c r="E66" s="37">
        <v>34.36</v>
      </c>
      <c r="F66" s="42">
        <v>1781</v>
      </c>
      <c r="G66" s="4">
        <f t="shared" si="39"/>
        <v>61195.159999999996</v>
      </c>
      <c r="H66" s="22" t="s">
        <v>139</v>
      </c>
      <c r="I66" s="16">
        <v>10</v>
      </c>
      <c r="J66" s="18">
        <v>3000</v>
      </c>
      <c r="K66" s="17">
        <f t="shared" si="1"/>
        <v>300</v>
      </c>
      <c r="L66" s="16">
        <v>10</v>
      </c>
      <c r="M66" s="18">
        <f t="shared" si="40"/>
        <v>2888.1081081081061</v>
      </c>
      <c r="N66" s="17">
        <f t="shared" si="3"/>
        <v>288.81081081081061</v>
      </c>
      <c r="O66" s="19">
        <f t="shared" si="4"/>
        <v>0</v>
      </c>
      <c r="P66" s="20">
        <f t="shared" si="5"/>
        <v>-11.189189189189392</v>
      </c>
      <c r="Q66" s="21">
        <f t="shared" si="6"/>
        <v>0.96270270270270197</v>
      </c>
      <c r="R66" s="172"/>
      <c r="S66" s="28">
        <v>0.41666666666666663</v>
      </c>
      <c r="T66" s="28">
        <v>0.44236111111111109</v>
      </c>
      <c r="U66" s="4">
        <f t="shared" si="43"/>
        <v>5.9999999999999787</v>
      </c>
      <c r="V66" s="22">
        <f t="shared" si="41"/>
        <v>37.000000000000028</v>
      </c>
      <c r="W66" s="23"/>
      <c r="X66" s="23"/>
      <c r="Y66" s="23"/>
      <c r="Z66" s="23"/>
      <c r="AA66" s="164"/>
      <c r="AB66" s="164"/>
      <c r="AC66" s="25"/>
      <c r="AD66" s="25"/>
      <c r="AE66" s="19">
        <f t="shared" si="42"/>
        <v>-111.89189189189392</v>
      </c>
      <c r="AF66" s="21">
        <f t="shared" si="9"/>
        <v>0.96270270270270197</v>
      </c>
      <c r="AG66" s="172"/>
    </row>
    <row r="67" spans="1:33">
      <c r="A67" s="179" t="s">
        <v>912</v>
      </c>
      <c r="B67" s="37" t="s">
        <v>904</v>
      </c>
      <c r="C67" s="177"/>
      <c r="D67" s="177"/>
      <c r="E67" s="38"/>
      <c r="F67" s="17"/>
      <c r="G67" s="17"/>
      <c r="H67" s="4"/>
      <c r="I67" s="30">
        <v>10.6</v>
      </c>
      <c r="J67" s="18">
        <v>2000</v>
      </c>
      <c r="K67" s="17">
        <f t="shared" si="1"/>
        <v>188.67924528301887</v>
      </c>
      <c r="L67" s="30">
        <v>10.6</v>
      </c>
      <c r="M67" s="18">
        <f>AVERAGE(M62:M66)</f>
        <v>1927.170741176765</v>
      </c>
      <c r="N67" s="17">
        <f t="shared" si="3"/>
        <v>181.80856048837407</v>
      </c>
      <c r="O67" s="19">
        <f t="shared" si="4"/>
        <v>0</v>
      </c>
      <c r="P67" s="20">
        <f t="shared" si="5"/>
        <v>-6.8706847946448022</v>
      </c>
      <c r="Q67" s="21">
        <f t="shared" si="6"/>
        <v>0.96358537058838256</v>
      </c>
      <c r="R67" s="172"/>
      <c r="S67" s="28"/>
      <c r="T67" s="28"/>
      <c r="U67" s="17"/>
      <c r="V67" s="22"/>
      <c r="W67" s="17"/>
      <c r="X67" s="17"/>
      <c r="Y67" s="31">
        <f>SUM(Y62:Y66)</f>
        <v>0</v>
      </c>
      <c r="Z67" s="31">
        <f>SUM(Z62:Z66)</f>
        <v>0</v>
      </c>
      <c r="AA67" s="168"/>
      <c r="AB67" s="168"/>
      <c r="AC67" s="31">
        <v>5</v>
      </c>
      <c r="AD67" s="31">
        <f>SUM(AD62:AD66)</f>
        <v>0</v>
      </c>
      <c r="AE67" s="19">
        <f t="shared" si="42"/>
        <v>-72.829258823235023</v>
      </c>
      <c r="AF67" s="21">
        <f t="shared" si="9"/>
        <v>0.96358537058838245</v>
      </c>
      <c r="AG67" s="172"/>
    </row>
    <row r="68" spans="1:33" ht="15.75" customHeight="1">
      <c r="A68" s="169" t="s">
        <v>913</v>
      </c>
      <c r="B68" s="4" t="s">
        <v>100</v>
      </c>
      <c r="C68" s="165" t="s">
        <v>133</v>
      </c>
      <c r="D68" s="165"/>
      <c r="E68" s="37">
        <v>20.2</v>
      </c>
      <c r="F68" s="4">
        <v>2120</v>
      </c>
      <c r="G68" s="4">
        <f t="shared" ref="G68:G72" si="44">E68*F68</f>
        <v>42824</v>
      </c>
      <c r="H68" s="22" t="s">
        <v>139</v>
      </c>
      <c r="I68" s="16">
        <v>19</v>
      </c>
      <c r="J68" s="18">
        <v>2400</v>
      </c>
      <c r="K68" s="17">
        <f t="shared" si="1"/>
        <v>126.31578947368421</v>
      </c>
      <c r="L68" s="16">
        <v>19</v>
      </c>
      <c r="M68" s="18">
        <f t="shared" ref="M68:M72" si="45">F68/V68*60</f>
        <v>2312.7272727272734</v>
      </c>
      <c r="N68" s="17">
        <f t="shared" si="3"/>
        <v>121.72248803827755</v>
      </c>
      <c r="O68" s="19">
        <f t="shared" si="4"/>
        <v>0</v>
      </c>
      <c r="P68" s="20">
        <f t="shared" si="5"/>
        <v>-4.5933014354066586</v>
      </c>
      <c r="Q68" s="21">
        <f t="shared" si="6"/>
        <v>0.96363636363636396</v>
      </c>
      <c r="R68" s="172">
        <f>Q73</f>
        <v>0.95958812361971002</v>
      </c>
      <c r="S68" s="28">
        <v>8.3333333333333329E-2</v>
      </c>
      <c r="T68" s="28">
        <v>0.12152777777777776</v>
      </c>
      <c r="U68" s="28"/>
      <c r="V68" s="22">
        <f t="shared" ref="V68:V72" si="46">(T68-S68)*24*60</f>
        <v>54.999999999999986</v>
      </c>
      <c r="W68" s="23">
        <f>T68</f>
        <v>0.12152777777777776</v>
      </c>
      <c r="X68" s="23">
        <f>S69</f>
        <v>0.1423611111111111</v>
      </c>
      <c r="Y68" s="23"/>
      <c r="Z68" s="23"/>
      <c r="AA68" s="164"/>
      <c r="AB68" s="164"/>
      <c r="AC68" s="25">
        <v>5</v>
      </c>
      <c r="AD68" s="25"/>
      <c r="AE68" s="19">
        <f t="shared" si="42"/>
        <v>-87.27272727272657</v>
      </c>
      <c r="AF68" s="21">
        <f t="shared" si="9"/>
        <v>0.96363636363636396</v>
      </c>
      <c r="AG68" s="172">
        <f>AF73</f>
        <v>0.95958812361970991</v>
      </c>
    </row>
    <row r="69" spans="1:33" ht="15.75" customHeight="1">
      <c r="A69" s="170" t="s">
        <v>914</v>
      </c>
      <c r="B69" s="4" t="s">
        <v>100</v>
      </c>
      <c r="C69" s="165" t="s">
        <v>109</v>
      </c>
      <c r="D69" s="165"/>
      <c r="E69" s="37">
        <v>24.45</v>
      </c>
      <c r="F69" s="4">
        <v>2512</v>
      </c>
      <c r="G69" s="4">
        <f t="shared" si="44"/>
        <v>61418.400000000001</v>
      </c>
      <c r="H69" s="22" t="s">
        <v>139</v>
      </c>
      <c r="I69" s="16">
        <v>20</v>
      </c>
      <c r="J69" s="18">
        <v>2400</v>
      </c>
      <c r="K69" s="17">
        <f t="shared" ref="K69:K73" si="47">J69/I69</f>
        <v>120</v>
      </c>
      <c r="L69" s="16">
        <v>20</v>
      </c>
      <c r="M69" s="18">
        <f t="shared" si="45"/>
        <v>2283.636363636364</v>
      </c>
      <c r="N69" s="17">
        <f t="shared" ref="N69:N73" si="48">M69/L69</f>
        <v>114.1818181818182</v>
      </c>
      <c r="O69" s="19">
        <f t="shared" ref="O69:O73" si="49">L69-I69</f>
        <v>0</v>
      </c>
      <c r="P69" s="20">
        <f t="shared" ref="P69:P73" si="50">N69-K69</f>
        <v>-5.8181818181817988</v>
      </c>
      <c r="Q69" s="21">
        <f t="shared" ref="Q69:Q73" si="51">N69/K69</f>
        <v>0.95151515151515165</v>
      </c>
      <c r="R69" s="172"/>
      <c r="S69" s="28">
        <v>0.1423611111111111</v>
      </c>
      <c r="T69" s="28">
        <v>0.18819444444444444</v>
      </c>
      <c r="U69" s="4">
        <f t="shared" ref="U69:U72" si="52">(S69-T68)*24*60</f>
        <v>30.000000000000014</v>
      </c>
      <c r="V69" s="22">
        <f t="shared" si="46"/>
        <v>66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42"/>
        <v>-116.36363636363603</v>
      </c>
      <c r="AF69" s="21">
        <f t="shared" ref="AF69:AF73" si="53">M69/J69</f>
        <v>0.95151515151515165</v>
      </c>
      <c r="AG69" s="172"/>
    </row>
    <row r="70" spans="1:33" ht="15.75" customHeight="1">
      <c r="A70" s="170" t="s">
        <v>915</v>
      </c>
      <c r="B70" s="4" t="s">
        <v>100</v>
      </c>
      <c r="C70" s="165" t="s">
        <v>136</v>
      </c>
      <c r="D70" s="165"/>
      <c r="E70" s="37">
        <v>24.43</v>
      </c>
      <c r="F70" s="4">
        <v>6196</v>
      </c>
      <c r="G70" s="4">
        <f t="shared" si="44"/>
        <v>151368.28</v>
      </c>
      <c r="H70" s="22" t="s">
        <v>139</v>
      </c>
      <c r="I70" s="16">
        <v>14</v>
      </c>
      <c r="J70" s="18">
        <v>2400</v>
      </c>
      <c r="K70" s="17">
        <f t="shared" si="47"/>
        <v>171.42857142857142</v>
      </c>
      <c r="L70" s="16">
        <v>14</v>
      </c>
      <c r="M70" s="18">
        <f t="shared" si="45"/>
        <v>2294.8148148148148</v>
      </c>
      <c r="N70" s="17">
        <f t="shared" si="48"/>
        <v>163.91534391534393</v>
      </c>
      <c r="O70" s="19">
        <f t="shared" si="49"/>
        <v>0</v>
      </c>
      <c r="P70" s="20">
        <f t="shared" si="50"/>
        <v>-7.5132275132274913</v>
      </c>
      <c r="Q70" s="21">
        <f t="shared" si="51"/>
        <v>0.95617283950617293</v>
      </c>
      <c r="R70" s="172"/>
      <c r="S70" s="28">
        <v>0.19236111111111112</v>
      </c>
      <c r="T70" s="28">
        <v>0.30486111111111114</v>
      </c>
      <c r="U70" s="4">
        <f t="shared" si="52"/>
        <v>6.0000000000000187</v>
      </c>
      <c r="V70" s="22">
        <f t="shared" si="46"/>
        <v>162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42"/>
        <v>-105.18518518518522</v>
      </c>
      <c r="AF70" s="21">
        <f t="shared" si="53"/>
        <v>0.95617283950617282</v>
      </c>
      <c r="AG70" s="172"/>
    </row>
    <row r="71" spans="1:33" ht="15.75" customHeight="1">
      <c r="A71" s="170" t="s">
        <v>916</v>
      </c>
      <c r="B71" s="4" t="s">
        <v>100</v>
      </c>
      <c r="C71" s="165" t="s">
        <v>138</v>
      </c>
      <c r="D71" s="165"/>
      <c r="E71" s="37">
        <v>22.69</v>
      </c>
      <c r="F71" s="4">
        <v>1207</v>
      </c>
      <c r="G71" s="4">
        <f t="shared" si="44"/>
        <v>27386.83</v>
      </c>
      <c r="H71" s="22" t="s">
        <v>139</v>
      </c>
      <c r="I71" s="16">
        <v>15</v>
      </c>
      <c r="J71" s="18">
        <v>2400</v>
      </c>
      <c r="K71" s="17">
        <f t="shared" si="47"/>
        <v>160</v>
      </c>
      <c r="L71" s="16">
        <v>15</v>
      </c>
      <c r="M71" s="18">
        <f t="shared" si="45"/>
        <v>2336.1290322580667</v>
      </c>
      <c r="N71" s="17">
        <f t="shared" si="48"/>
        <v>155.74193548387112</v>
      </c>
      <c r="O71" s="19">
        <f t="shared" si="49"/>
        <v>0</v>
      </c>
      <c r="P71" s="20">
        <f t="shared" si="50"/>
        <v>-4.2580645161288828</v>
      </c>
      <c r="Q71" s="21">
        <f t="shared" si="51"/>
        <v>0.97338709677419444</v>
      </c>
      <c r="R71" s="172"/>
      <c r="S71" s="28">
        <v>0.30972222222222223</v>
      </c>
      <c r="T71" s="28">
        <v>0.33124999999999999</v>
      </c>
      <c r="U71" s="4">
        <f t="shared" si="52"/>
        <v>6.9999999999999751</v>
      </c>
      <c r="V71" s="22">
        <f t="shared" si="46"/>
        <v>30.999999999999972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42"/>
        <v>-63.870967741933327</v>
      </c>
      <c r="AF71" s="21">
        <f t="shared" si="53"/>
        <v>0.97338709677419444</v>
      </c>
      <c r="AG71" s="172"/>
    </row>
    <row r="72" spans="1:33" ht="15.75" customHeight="1">
      <c r="A72" s="170" t="s">
        <v>916</v>
      </c>
      <c r="B72" s="4" t="s">
        <v>100</v>
      </c>
      <c r="C72" s="165" t="s">
        <v>135</v>
      </c>
      <c r="D72" s="165"/>
      <c r="E72" s="37">
        <v>19.02</v>
      </c>
      <c r="F72" s="4">
        <v>9151</v>
      </c>
      <c r="G72" s="4">
        <f t="shared" si="44"/>
        <v>174052.02</v>
      </c>
      <c r="H72" s="22" t="s">
        <v>139</v>
      </c>
      <c r="I72" s="16">
        <v>15</v>
      </c>
      <c r="J72" s="18">
        <v>2400</v>
      </c>
      <c r="K72" s="17">
        <f t="shared" si="47"/>
        <v>160</v>
      </c>
      <c r="L72" s="16">
        <v>15</v>
      </c>
      <c r="M72" s="18">
        <f t="shared" si="45"/>
        <v>2287.75</v>
      </c>
      <c r="N72" s="17">
        <f t="shared" si="48"/>
        <v>152.51666666666668</v>
      </c>
      <c r="O72" s="19">
        <f t="shared" si="49"/>
        <v>0</v>
      </c>
      <c r="P72" s="20">
        <f t="shared" si="50"/>
        <v>-7.4833333333333201</v>
      </c>
      <c r="Q72" s="21">
        <f t="shared" si="51"/>
        <v>0.95322916666666679</v>
      </c>
      <c r="R72" s="172"/>
      <c r="S72" s="28">
        <v>0.3347222222222222</v>
      </c>
      <c r="T72" s="28">
        <v>0.50138888888888888</v>
      </c>
      <c r="U72" s="4">
        <f t="shared" si="52"/>
        <v>4.9999999999999822</v>
      </c>
      <c r="V72" s="22">
        <f t="shared" si="46"/>
        <v>240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42"/>
        <v>-112.25</v>
      </c>
      <c r="AF72" s="21">
        <f t="shared" si="53"/>
        <v>0.95322916666666668</v>
      </c>
      <c r="AG72" s="172"/>
    </row>
    <row r="73" spans="1:33" ht="16.5" customHeight="1">
      <c r="A73" s="171" t="s">
        <v>916</v>
      </c>
      <c r="B73" s="37" t="s">
        <v>904</v>
      </c>
      <c r="C73" s="166"/>
      <c r="D73" s="167"/>
      <c r="E73" s="38"/>
      <c r="F73" s="17"/>
      <c r="G73" s="17"/>
      <c r="H73" s="4"/>
      <c r="I73" s="30">
        <v>16.600000000000001</v>
      </c>
      <c r="J73" s="18">
        <v>2400</v>
      </c>
      <c r="K73" s="17">
        <f t="shared" si="47"/>
        <v>144.57831325301203</v>
      </c>
      <c r="L73" s="30">
        <v>16.600000000000001</v>
      </c>
      <c r="M73" s="18">
        <f>AVERAGE(M68:M72)</f>
        <v>2303.0114966873039</v>
      </c>
      <c r="N73" s="17">
        <f t="shared" si="48"/>
        <v>138.73563233056046</v>
      </c>
      <c r="O73" s="19">
        <f t="shared" si="49"/>
        <v>0</v>
      </c>
      <c r="P73" s="20">
        <f t="shared" si="50"/>
        <v>-5.8426809224515637</v>
      </c>
      <c r="Q73" s="21">
        <f t="shared" si="51"/>
        <v>0.95958812361971002</v>
      </c>
      <c r="R73" s="172"/>
      <c r="S73" s="28"/>
      <c r="T73" s="28"/>
      <c r="U73" s="17"/>
      <c r="V73" s="22"/>
      <c r="W73" s="17"/>
      <c r="X73" s="17"/>
      <c r="Y73" s="31">
        <f>SUM(Y68:Y72)</f>
        <v>0</v>
      </c>
      <c r="Z73" s="31">
        <f>SUM(Z68:Z72)</f>
        <v>0</v>
      </c>
      <c r="AA73" s="168"/>
      <c r="AB73" s="168"/>
      <c r="AC73" s="31">
        <v>5</v>
      </c>
      <c r="AD73" s="31">
        <f>SUM(AD68:AD72)</f>
        <v>0</v>
      </c>
      <c r="AE73" s="19">
        <f t="shared" si="42"/>
        <v>-96.988503312696139</v>
      </c>
      <c r="AF73" s="21">
        <f t="shared" si="53"/>
        <v>0.95958812361970991</v>
      </c>
      <c r="AG73" s="172"/>
    </row>
    <row r="74" spans="1:33">
      <c r="D74" s="33"/>
      <c r="E74" s="33"/>
    </row>
  </sheetData>
  <mergeCells count="198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14:A21"/>
    <mergeCell ref="C14:D14"/>
    <mergeCell ref="R14:R21"/>
    <mergeCell ref="AA14:AB14"/>
    <mergeCell ref="AG14:AG21"/>
    <mergeCell ref="C10:D10"/>
    <mergeCell ref="AA10:AB10"/>
    <mergeCell ref="A11:A13"/>
    <mergeCell ref="C11:D11"/>
    <mergeCell ref="R11:R13"/>
    <mergeCell ref="AA11:AB11"/>
    <mergeCell ref="A5:A10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7:D7"/>
    <mergeCell ref="C18:D18"/>
    <mergeCell ref="AA18:AB18"/>
    <mergeCell ref="C19:D19"/>
    <mergeCell ref="AA19:AB19"/>
    <mergeCell ref="AA20:AB20"/>
    <mergeCell ref="C21:D21"/>
    <mergeCell ref="AA21:AB21"/>
    <mergeCell ref="AA25:AB25"/>
    <mergeCell ref="C26:D26"/>
    <mergeCell ref="AA26:AB26"/>
    <mergeCell ref="A22:A28"/>
    <mergeCell ref="C22:D22"/>
    <mergeCell ref="R22:R28"/>
    <mergeCell ref="AA22:AB22"/>
    <mergeCell ref="A29:A35"/>
    <mergeCell ref="C29:D29"/>
    <mergeCell ref="R29:R35"/>
    <mergeCell ref="AA29:AB29"/>
    <mergeCell ref="AG29:AG35"/>
    <mergeCell ref="C30:D30"/>
    <mergeCell ref="AA30:AB30"/>
    <mergeCell ref="C31:D31"/>
    <mergeCell ref="AA31:AB31"/>
    <mergeCell ref="C32:D32"/>
    <mergeCell ref="AG22:AG28"/>
    <mergeCell ref="C23:D23"/>
    <mergeCell ref="AA23:AB23"/>
    <mergeCell ref="C24:D24"/>
    <mergeCell ref="AA24:AB24"/>
    <mergeCell ref="C25:D25"/>
    <mergeCell ref="C27:D27"/>
    <mergeCell ref="AA27:AB27"/>
    <mergeCell ref="C28:D28"/>
    <mergeCell ref="AA28:AB28"/>
    <mergeCell ref="AG36:AG41"/>
    <mergeCell ref="C37:D37"/>
    <mergeCell ref="AA37:AB37"/>
    <mergeCell ref="C38:D38"/>
    <mergeCell ref="AA38:AB38"/>
    <mergeCell ref="C39:D39"/>
    <mergeCell ref="AA32:AB32"/>
    <mergeCell ref="C33:D33"/>
    <mergeCell ref="AA33:AB33"/>
    <mergeCell ref="C34:D34"/>
    <mergeCell ref="AA34:AB34"/>
    <mergeCell ref="C35:D35"/>
    <mergeCell ref="AA35:AB35"/>
    <mergeCell ref="AA39:AB39"/>
    <mergeCell ref="C40:D40"/>
    <mergeCell ref="AA40:AB40"/>
    <mergeCell ref="C41:D41"/>
    <mergeCell ref="AA41:AB41"/>
    <mergeCell ref="A42:A50"/>
    <mergeCell ref="C42:D42"/>
    <mergeCell ref="R42:R50"/>
    <mergeCell ref="AA42:AB42"/>
    <mergeCell ref="AA47:AB47"/>
    <mergeCell ref="A36:A41"/>
    <mergeCell ref="C36:D36"/>
    <mergeCell ref="R36:R41"/>
    <mergeCell ref="AA36:AB36"/>
    <mergeCell ref="C48:D48"/>
    <mergeCell ref="AA48:AB48"/>
    <mergeCell ref="C49:D49"/>
    <mergeCell ref="AA49:AB49"/>
    <mergeCell ref="C50:D50"/>
    <mergeCell ref="AA50:AB50"/>
    <mergeCell ref="AG42:AG50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AA58:AB58"/>
    <mergeCell ref="A51:A61"/>
    <mergeCell ref="C51:D51"/>
    <mergeCell ref="R51:R61"/>
    <mergeCell ref="AA51:AB51"/>
    <mergeCell ref="C52:D52"/>
    <mergeCell ref="AA52:AB52"/>
    <mergeCell ref="C53:D53"/>
    <mergeCell ref="AA53:AB53"/>
    <mergeCell ref="AA54:AB54"/>
    <mergeCell ref="AG62:AG67"/>
    <mergeCell ref="C63:D63"/>
    <mergeCell ref="AA63:AB63"/>
    <mergeCell ref="C64:D64"/>
    <mergeCell ref="AA64:AB64"/>
    <mergeCell ref="C65:D65"/>
    <mergeCell ref="C59:D59"/>
    <mergeCell ref="AA59:AB59"/>
    <mergeCell ref="C60:D60"/>
    <mergeCell ref="AA60:AB60"/>
    <mergeCell ref="C61:D61"/>
    <mergeCell ref="AA61:AB61"/>
    <mergeCell ref="AG51:AG61"/>
    <mergeCell ref="AA65:AB65"/>
    <mergeCell ref="C66:D66"/>
    <mergeCell ref="AA66:AB66"/>
    <mergeCell ref="C67:D67"/>
    <mergeCell ref="AA67:AB67"/>
    <mergeCell ref="AA55:AB55"/>
    <mergeCell ref="C56:D56"/>
    <mergeCell ref="AA56:AB56"/>
    <mergeCell ref="C57:D57"/>
    <mergeCell ref="AA57:AB57"/>
    <mergeCell ref="C58:D58"/>
    <mergeCell ref="A68:A73"/>
    <mergeCell ref="C68:D68"/>
    <mergeCell ref="R68:R73"/>
    <mergeCell ref="AA68:AB68"/>
    <mergeCell ref="AA73:AB73"/>
    <mergeCell ref="A62:A67"/>
    <mergeCell ref="C62:D62"/>
    <mergeCell ref="R62:R67"/>
    <mergeCell ref="AA62:AB62"/>
    <mergeCell ref="AG68:AG73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73:D73"/>
  </mergeCells>
  <phoneticPr fontId="3" type="noConversion"/>
  <conditionalFormatting sqref="O5:O73">
    <cfRule type="cellIs" dxfId="88" priority="1" operator="greaterThan">
      <formula>0</formula>
    </cfRule>
  </conditionalFormatting>
  <conditionalFormatting sqref="P5:P73">
    <cfRule type="cellIs" dxfId="87" priority="4" operator="lessThan">
      <formula>0</formula>
    </cfRule>
  </conditionalFormatting>
  <conditionalFormatting sqref="Q5:Q73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R5:R11 AG5:AG11">
    <cfRule type="cellIs" dxfId="84" priority="74" operator="lessThan">
      <formula>0.8</formula>
    </cfRule>
  </conditionalFormatting>
  <conditionalFormatting sqref="AE5:AE73">
    <cfRule type="cellIs" dxfId="83" priority="22" operator="lessThan">
      <formula>0</formula>
    </cfRule>
  </conditionalFormatting>
  <conditionalFormatting sqref="AF5:AF73">
    <cfRule type="cellIs" dxfId="82" priority="21" operator="lessThan">
      <formula>0.8</formula>
    </cfRule>
    <cfRule type="cellIs" dxfId="81" priority="20" operator="greaterThan">
      <formula>1</formula>
    </cfRule>
  </conditionalFormatting>
  <conditionalFormatting sqref="AG14:AG65 R14:R73">
    <cfRule type="cellIs" dxfId="80" priority="5" operator="lessThan">
      <formula>0.8</formula>
    </cfRule>
  </conditionalFormatting>
  <dataValidations count="1">
    <dataValidation type="list" allowBlank="1" showInputMessage="1" showErrorMessage="1" sqref="AB10 AA5:AB9 AB66 AA10:AA66 AB12:AB62 AA67:AB73" xr:uid="{00000000-0002-0000-2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Q32"/>
  <sheetViews>
    <sheetView zoomScale="85" zoomScaleNormal="85" workbookViewId="0">
      <selection activeCell="E9" sqref="E9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140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141</v>
      </c>
      <c r="C3" s="153" t="str">
        <f>TEXT('0208 4度C'!A2,"yyyy.mm.ddaaaa")</f>
        <v>2026.02.08星期日</v>
      </c>
      <c r="D3" s="154"/>
      <c r="E3" s="47" t="s">
        <v>142</v>
      </c>
      <c r="F3" s="155">
        <f>'0208 4度C'!D1</f>
        <v>168093</v>
      </c>
      <c r="G3" s="156"/>
      <c r="H3" s="47" t="s">
        <v>143</v>
      </c>
      <c r="I3" s="157">
        <f>'0208 4度C'!F1</f>
        <v>5789134.0100000007</v>
      </c>
      <c r="J3" s="158"/>
      <c r="K3" s="48"/>
      <c r="L3" s="49"/>
      <c r="M3" s="49"/>
      <c r="N3" s="49"/>
    </row>
    <row r="4" spans="2:17" ht="28.5" customHeight="1">
      <c r="B4" s="159" t="s">
        <v>729</v>
      </c>
      <c r="C4" s="145" t="s">
        <v>730</v>
      </c>
      <c r="D4" s="146"/>
      <c r="E4" s="162" t="s">
        <v>146</v>
      </c>
      <c r="F4" s="163"/>
      <c r="G4" s="162" t="s">
        <v>731</v>
      </c>
      <c r="H4" s="163"/>
      <c r="I4" s="162" t="s">
        <v>732</v>
      </c>
      <c r="J4" s="163"/>
      <c r="K4" s="143" t="s">
        <v>733</v>
      </c>
      <c r="L4" s="144"/>
      <c r="M4" s="144" t="s">
        <v>734</v>
      </c>
      <c r="N4" s="144"/>
    </row>
    <row r="5" spans="2:17" ht="28.5" customHeight="1">
      <c r="B5" s="160"/>
      <c r="C5" s="145" t="s">
        <v>735</v>
      </c>
      <c r="D5" s="146"/>
      <c r="E5" s="145" t="s">
        <v>736</v>
      </c>
      <c r="F5" s="146"/>
      <c r="G5" s="147" t="s">
        <v>737</v>
      </c>
      <c r="H5" s="148"/>
      <c r="I5" s="149" t="s">
        <v>738</v>
      </c>
      <c r="J5" s="150"/>
      <c r="K5" s="50" t="s">
        <v>739</v>
      </c>
      <c r="L5" s="51" t="s">
        <v>740</v>
      </c>
      <c r="M5" s="50" t="s">
        <v>155</v>
      </c>
      <c r="N5" s="51" t="s">
        <v>741</v>
      </c>
    </row>
    <row r="6" spans="2:17" ht="28.5" customHeight="1">
      <c r="B6" s="160"/>
      <c r="C6" s="145" t="s">
        <v>158</v>
      </c>
      <c r="D6" s="146"/>
      <c r="E6" s="137">
        <f>AVERAGE(D13:M13)</f>
        <v>144.14726918149546</v>
      </c>
      <c r="F6" s="138">
        <f>AVERAGE(D31:O31,D13:J13)</f>
        <v>147.12218874806413</v>
      </c>
      <c r="G6" s="139">
        <f>AVERAGE(D13:J13)</f>
        <v>147.12218874806413</v>
      </c>
      <c r="H6" s="140"/>
      <c r="I6" s="139">
        <f>AVERAGE(K13:M13)</f>
        <v>137.20579019283522</v>
      </c>
      <c r="J6" s="140"/>
      <c r="K6" s="141">
        <f>'0208 4度C'!Y2</f>
        <v>0</v>
      </c>
      <c r="L6" s="126">
        <f>'0208 4度C'!Z2</f>
        <v>0</v>
      </c>
      <c r="M6" s="142">
        <f>'0208 4度C'!AC2</f>
        <v>63</v>
      </c>
      <c r="N6" s="126">
        <f>'0208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138.10837039770246</v>
      </c>
      <c r="F7" s="130">
        <f>AVERAGE(D32:O32,D14:J14)</f>
        <v>141.06356342336485</v>
      </c>
      <c r="G7" s="131">
        <f>AVERAGE(D14:J14)</f>
        <v>141.06356342336485</v>
      </c>
      <c r="H7" s="132"/>
      <c r="I7" s="131">
        <f>AVERAGE(K14:M14)</f>
        <v>131.21292000449026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0.95731331930910035</v>
      </c>
      <c r="F8" s="134">
        <f>AVERAGE(D15:J15,D33:O33)</f>
        <v>0.9577519722281157</v>
      </c>
      <c r="G8" s="135">
        <f>AVERAGE(D15:J15)</f>
        <v>0.9577519722281157</v>
      </c>
      <c r="H8" s="136"/>
      <c r="I8" s="135">
        <f>AVERAGE(K15:M15)</f>
        <v>0.95628979583139806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742</v>
      </c>
      <c r="N9" s="49"/>
      <c r="O9" s="49"/>
      <c r="P9" s="49"/>
      <c r="Q9" s="49"/>
    </row>
    <row r="10" spans="2:17" ht="30" customHeight="1">
      <c r="B10" s="109" t="s">
        <v>743</v>
      </c>
      <c r="C10" s="110"/>
      <c r="D10" s="111" t="s">
        <v>744</v>
      </c>
      <c r="E10" s="112"/>
      <c r="F10" s="112"/>
      <c r="G10" s="112"/>
      <c r="H10" s="112"/>
      <c r="I10" s="112"/>
      <c r="J10" s="113"/>
      <c r="K10" s="114" t="s">
        <v>745</v>
      </c>
      <c r="L10" s="115"/>
      <c r="M10" s="116"/>
      <c r="P10" s="55"/>
      <c r="Q10" s="55"/>
    </row>
    <row r="11" spans="2:17" ht="17.25" customHeight="1">
      <c r="B11" s="117" t="s">
        <v>746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747</v>
      </c>
      <c r="C13" s="62" t="s">
        <v>748</v>
      </c>
      <c r="D13" s="63">
        <f>SUMIFS('0208 4度C'!$K:$K,'0208 4度C'!$A:$A,"新豐6線",'0208 4度C'!$B:$B,"平均")</f>
        <v>116.50485436893203</v>
      </c>
      <c r="E13" s="64">
        <f>SUMIFS('0208 4度C'!$K:$K,'0208 4度C'!$A:$A,"新豐2線",'0208 4度C'!$B:$B,"平均")</f>
        <v>83.333333333333329</v>
      </c>
      <c r="F13" s="65">
        <f>SUMIFS('0208 4度C'!$K:$K,'0208 4度C'!$A:$A,"新豐5線",'0208 4度C'!$B:$B,"平均")</f>
        <v>109.24369747899159</v>
      </c>
      <c r="G13" s="65">
        <f>SUMIFS('0208 4度C'!$K:$K,'0208 4度C'!$A:$A,"新豐7線",'0208 4度C'!$B:$B,"平均")</f>
        <v>125</v>
      </c>
      <c r="H13" s="65">
        <f>SUMIFS('0208 4度C'!$K:$K,'0208 4度C'!$A:$A,"新豐3線",'0208 4度C'!$B:$B,"平均")</f>
        <v>303.37078651685391</v>
      </c>
      <c r="I13" s="65">
        <f>SUMIFS('0208 4度C'!$K:$K,'0208 4度C'!$A:$A,"新豐1線",'0208 4度C'!$B:$B,"平均")</f>
        <v>103.72340425531914</v>
      </c>
      <c r="J13" s="66">
        <f>SUMIFS('0208 4度C'!$K:$K,'0208 4度C'!$A:$A,"新豐10線",'0208 4度C'!$B:$B,"平均")</f>
        <v>188.67924528301887</v>
      </c>
      <c r="K13" s="67">
        <f>SUMIFS('0208 4度C'!$K:$K,'0208 4度C'!$A:$A,"新豐8線",'0208 4度C'!$B:$B,"平均")</f>
        <v>132.11009174311926</v>
      </c>
      <c r="L13" s="68">
        <f>SUMIFS('0208 4度C'!$K:$K,'0208 4度C'!$A:$A,"新豐9線",'0208 4度C'!$B:$B,"平均")</f>
        <v>126.31578947368421</v>
      </c>
      <c r="M13" s="66">
        <f>SUMIFS('0208 4度C'!$K:$K,'0208 4度C'!$A:$A,"新豐4線",'0208 4度C'!$B:$B,"平均")</f>
        <v>153.19148936170214</v>
      </c>
    </row>
    <row r="14" spans="2:17" ht="39.6" customHeight="1">
      <c r="B14" s="122"/>
      <c r="C14" s="69" t="s">
        <v>749</v>
      </c>
      <c r="D14" s="70">
        <f>SUMIFS('0208 4度C'!$N:$N,'0208 4度C'!$A:$A,"新豐6線",'0208 4度C'!$B:$B,"平均")</f>
        <v>111.48689009645305</v>
      </c>
      <c r="E14" s="71">
        <f>SUMIFS('0208 4度C'!$N:$N,'0208 4度C'!$A:$A,"新豐2線",'0208 4度C'!$B:$B,"平均")</f>
        <v>79.649364147713356</v>
      </c>
      <c r="F14" s="71">
        <f>SUMIFS('0208 4度C'!$N:$N,'0208 4度C'!$A:$A,"新豐5線",'0208 4度C'!$B:$B,"平均")</f>
        <v>105.23919647136334</v>
      </c>
      <c r="G14" s="71">
        <f>SUMIFS('0208 4度C'!$N:$N,'0208 4度C'!$A:$A,"新豐7線",'0208 4度C'!$B:$B,"平均")</f>
        <v>120.33224637681157</v>
      </c>
      <c r="H14" s="71">
        <f>SUMIFS('0208 4度C'!$N:$N,'0208 4度C'!$A:$A,"新豐3線",'0208 4度C'!$B:$B,"平均")</f>
        <v>290.45896473546946</v>
      </c>
      <c r="I14" s="71">
        <f>SUMIFS('0208 4度C'!$N:$N,'0208 4度C'!$A:$A,"新豐1線",'0208 4度C'!$B:$B,"平均")</f>
        <v>97.35653297340977</v>
      </c>
      <c r="J14" s="72">
        <f>SUMIFS('0208 4度C'!$N:$N,'0208 4度C'!$A:$A,"新豐10線",'0208 4度C'!$B:$B,"平均")</f>
        <v>182.92174916233338</v>
      </c>
      <c r="K14" s="73">
        <f>SUMIFS('0208 4度C'!$N:$N,'0208 4度C'!$A:$A,"新豐8線",'0208 4度C'!$B:$B,"平均")</f>
        <v>126.31480129330116</v>
      </c>
      <c r="L14" s="74">
        <f>SUMIFS('0208 4度C'!$N:$N,'0208 4度C'!$A:$A,"新豐9線",'0208 4度C'!$B:$B,"平均")</f>
        <v>120.74768596253089</v>
      </c>
      <c r="M14" s="72">
        <f>SUMIFS('0208 4度C'!$N:$N,'0208 4度C'!$A:$A,"新豐4線",'0208 4度C'!$B:$B,"平均")</f>
        <v>146.57627275763875</v>
      </c>
    </row>
    <row r="15" spans="2:17" ht="40.15" customHeight="1">
      <c r="B15" s="123"/>
      <c r="C15" s="75" t="s">
        <v>179</v>
      </c>
      <c r="D15" s="76">
        <f t="shared" ref="D15:M15" si="0">D14/D13</f>
        <v>0.95692913999455542</v>
      </c>
      <c r="E15" s="77">
        <f t="shared" si="0"/>
        <v>0.95579236977256032</v>
      </c>
      <c r="F15" s="77">
        <f t="shared" si="0"/>
        <v>0.96334341385324906</v>
      </c>
      <c r="G15" s="77">
        <f t="shared" si="0"/>
        <v>0.96265797101449258</v>
      </c>
      <c r="H15" s="77">
        <f t="shared" si="0"/>
        <v>0.95743880968358464</v>
      </c>
      <c r="I15" s="77">
        <f t="shared" si="0"/>
        <v>0.93861683071800195</v>
      </c>
      <c r="J15" s="78">
        <f t="shared" si="0"/>
        <v>0.96948527056036693</v>
      </c>
      <c r="K15" s="76">
        <f t="shared" si="0"/>
        <v>0.95613287090068244</v>
      </c>
      <c r="L15" s="77">
        <f t="shared" si="0"/>
        <v>0.95591918053670299</v>
      </c>
      <c r="M15" s="78">
        <f t="shared" si="0"/>
        <v>0.95681733605680841</v>
      </c>
    </row>
    <row r="16" spans="2:17" ht="17.25" customHeight="1">
      <c r="B16" s="124" t="s">
        <v>750</v>
      </c>
      <c r="C16" s="79" t="s">
        <v>751</v>
      </c>
      <c r="D16" s="80">
        <f>VLOOKUP("新豐6線",'0208 4度C'!$A:$T,19,0)</f>
        <v>0.70833333333333337</v>
      </c>
      <c r="E16" s="81">
        <f>VLOOKUP("新豐2線",'0208 4度C'!$A:$T,19,0)</f>
        <v>0.20833333333333334</v>
      </c>
      <c r="F16" s="81">
        <f>VLOOKUP("新豐5線",'0208 4度C'!$A:$T,19,0)</f>
        <v>0.20833333333333334</v>
      </c>
      <c r="G16" s="81">
        <f>VLOOKUP("新豐7線",'0208 4度C'!$A:$T,19,0)</f>
        <v>0.20833333333333334</v>
      </c>
      <c r="H16" s="81">
        <f>VLOOKUP("新豐3線",'0208 4度C'!$A:$T,19,0)</f>
        <v>8.3333333333333329E-2</v>
      </c>
      <c r="I16" s="81">
        <f>VLOOKUP("新豐1線",'0208 4度C'!$A:$T,19,0)</f>
        <v>0.20833333333333334</v>
      </c>
      <c r="J16" s="82">
        <f>VLOOKUP("新豐10線",'0208 4度C'!$A:$T,19,0)</f>
        <v>0.20833333333333334</v>
      </c>
      <c r="K16" s="83">
        <f>VLOOKUP("新豐8線",'0208 4度C'!$A:$T,19,0)</f>
        <v>8.3333333333333329E-2</v>
      </c>
      <c r="L16" s="84">
        <f>VLOOKUP("新豐9線",'0208 4度C'!$A:$T,19,0)</f>
        <v>8.3333333333333329E-2</v>
      </c>
      <c r="M16" s="85">
        <f>VLOOKUP("新豐4線",'0208 4度C'!$A:$T,19,0)</f>
        <v>8.3333333333333329E-2</v>
      </c>
    </row>
    <row r="17" spans="2:13" ht="17.25" customHeight="1">
      <c r="B17" s="125"/>
      <c r="C17" s="79" t="s">
        <v>752</v>
      </c>
      <c r="D17" s="83">
        <f>LOOKUP(2,1/(('0208 4度C'!$A:$A="新豐6線")*('0208 4度C'!$T:$T&lt;&gt;"")),'0208 4度C'!$T:$T)</f>
        <v>0.91111111111111109</v>
      </c>
      <c r="E17" s="81">
        <f>LOOKUP(2,1/(('0208 4度C'!$A:$A="新豐2線")*('0208 4度C'!$T:$T&lt;&gt;"")),'0208 4度C'!$T:$T)</f>
        <v>0.47152777777777777</v>
      </c>
      <c r="F17" s="81">
        <f>LOOKUP(2,1/(('0208 4度C'!$A:$A="新豐5線")*('0208 4度C'!$T:$T&lt;&gt;"")),'0208 4度C'!$T:$T)</f>
        <v>0.92500000000000004</v>
      </c>
      <c r="G17" s="81">
        <f>LOOKUP(2,1/(('0208 4度C'!$A:$A="新豐7線")*('0208 4度C'!$T:$T&lt;&gt;"")),'0208 4度C'!$T:$T)</f>
        <v>0.93680555555555556</v>
      </c>
      <c r="H17" s="81">
        <f>LOOKUP(2,1/(('0208 4度C'!$A:$A="新豐3線")*('0208 4度C'!$T:$T&lt;&gt;"")),'0208 4度C'!$T:$T)</f>
        <v>0.63541666666666641</v>
      </c>
      <c r="I17" s="81">
        <f>LOOKUP(2,1/(('0208 4度C'!$A:$A="新豐1線")*('0208 4度C'!$T:$T&lt;&gt;"")),'0208 4度C'!$T:$T)</f>
        <v>0.92430555555555549</v>
      </c>
      <c r="J17" s="82">
        <f>LOOKUP(2,1/(('0208 4度C'!$A:$A="新豐10線")*('0208 4度C'!$T:$T&lt;&gt;"")),'0208 4度C'!$T:$T)</f>
        <v>0.42847222222222214</v>
      </c>
      <c r="K17" s="80">
        <f>LOOKUP(2,1/(('0208 4度C'!$A:$A="新豐8線")*('0208 4度C'!$T:$T&lt;&gt;"")),'0208 4度C'!$T:$T)</f>
        <v>0.61319444444444438</v>
      </c>
      <c r="L17" s="81">
        <f>LOOKUP(2,1/(('0208 4度C'!$A:$A="新豐9線")*('0208 4度C'!$T:$T&lt;&gt;"")),'0208 4度C'!$T:$T)</f>
        <v>0.59930555555555542</v>
      </c>
      <c r="M17" s="82">
        <f>LOOKUP(2,1/(('0208 4度C'!$A:$A="新豐4線")*('0208 4度C'!$T:$T&lt;&gt;"")),'0208 4度C'!$T:$T)</f>
        <v>0.58680555555555547</v>
      </c>
    </row>
    <row r="18" spans="2:13" ht="17.25" customHeight="1">
      <c r="B18" s="103" t="s">
        <v>753</v>
      </c>
      <c r="C18" s="86" t="s">
        <v>754</v>
      </c>
      <c r="D18" s="87">
        <f>SUMIFS('0208 4度C'!$Y:$Y,'0208 4度C'!$A:$A,"新豐6線",'0208 4度C'!$B:$B,"平均")</f>
        <v>0</v>
      </c>
      <c r="E18" s="88">
        <f>SUMIFS('0208 4度C'!$Y:$Y,'0208 4度C'!$A:$A,"新豐2線",'0208 4度C'!$B:$B,"平均")</f>
        <v>0</v>
      </c>
      <c r="F18" s="88">
        <f>SUMIFS('0208 4度C'!$Y:$Y,'0208 4度C'!$A:$A,"新豐5線",'0208 4度C'!$B:$B,"平均")</f>
        <v>0</v>
      </c>
      <c r="G18" s="88">
        <f>SUMIFS('0208 4度C'!$Y:$Y,'0208 4度C'!$A:$A,"新豐7線",'0208 4度C'!$B:$B,"平均")</f>
        <v>0</v>
      </c>
      <c r="H18" s="88">
        <f>SUMIFS('0208 4度C'!$Y:$Y,'0208 4度C'!$A:$A,"新豐3線",'0208 4度C'!$B:$B,"平均")</f>
        <v>0</v>
      </c>
      <c r="I18" s="88">
        <f>SUMIFS('0208 4度C'!$Y:$Y,'0208 4度C'!$A:$A,"新豐1線",'0208 4度C'!$B:$B,"平均")</f>
        <v>0</v>
      </c>
      <c r="J18" s="89">
        <f>SUMIFS('0208 4度C'!$Y:$Y,'0208 4度C'!$A:$A,"新豐10線",'0208 4度C'!$B:$B,"平均")</f>
        <v>0</v>
      </c>
      <c r="K18" s="90">
        <f>SUMIFS('0208 4度C'!$Y:$Y,'0208 4度C'!$A:$A,"新豐8線",'0208 4度C'!$B:$B,"平均")</f>
        <v>0</v>
      </c>
      <c r="L18" s="88">
        <f>SUMIFS('0208 4度C'!$Y:$Y,'0208 4度C'!$A:$A,"新豐9線",'0208 4度C'!$B:$B,"平均")</f>
        <v>0</v>
      </c>
      <c r="M18" s="89">
        <f>SUMIFS('0208 4度C'!$Y:$Y,'0208 4度C'!$A:$A,"新豐4線",'0208 4度C'!$B:$B,"平均")</f>
        <v>0</v>
      </c>
    </row>
    <row r="19" spans="2:13" ht="17.25" customHeight="1">
      <c r="B19" s="104"/>
      <c r="C19" s="86" t="s">
        <v>755</v>
      </c>
      <c r="D19" s="87">
        <f>SUMIFS('0208 4度C'!$Z:$Z,'0208 4度C'!$A:$A,"新豐6線",'0208 4度C'!$B:$B,"平均")</f>
        <v>0</v>
      </c>
      <c r="E19" s="88">
        <f>SUMIFS('0208 4度C'!$Z:$Z,'0208 4度C'!$A:$A,"新豐2線",'0208 4度C'!$B:$B,"平均")</f>
        <v>0</v>
      </c>
      <c r="F19" s="88">
        <f>SUMIFS('0208 4度C'!$Z:$Z,'0208 4度C'!$A:$A,"新豐5線",'0208 4度C'!$B:$B,"平均")</f>
        <v>0</v>
      </c>
      <c r="G19" s="88">
        <f>SUMIFS('0208 4度C'!$Z:$Z,'0208 4度C'!$A:$A,"新豐7線",'0208 4度C'!$B:$B,"平均")</f>
        <v>0</v>
      </c>
      <c r="H19" s="88">
        <f>SUMIFS('0208 4度C'!$Z:$Z,'0208 4度C'!$A:$A,"新豐3線",'0208 4度C'!$B:$B,"平均")</f>
        <v>0</v>
      </c>
      <c r="I19" s="88">
        <f>SUMIFS('0208 4度C'!$Z:$Z,'0208 4度C'!$A:$A,"新豐1線",'0208 4度C'!$B:$B,"平均")</f>
        <v>0</v>
      </c>
      <c r="J19" s="89">
        <f>SUMIFS('0208 4度C'!$Z:$Z,'0208 4度C'!$A:$A,"新豐10線",'0208 4度C'!$B:$B,"平均")</f>
        <v>0</v>
      </c>
      <c r="K19" s="90">
        <f>SUMIFS('0208 4度C'!$Z:$Z,'0208 4度C'!$A:$A,"新豐8線",'0208 4度C'!$B:$B,"平均")</f>
        <v>0</v>
      </c>
      <c r="L19" s="88">
        <f>SUMIFS('0208 4度C'!$Z:$Z,'0208 4度C'!$A:$A,"新豐9線",'0208 4度C'!$B:$B,"平均")</f>
        <v>0</v>
      </c>
      <c r="M19" s="89">
        <f>SUMIFS('0208 4度C'!$Z:$Z,'0208 4度C'!$A:$A,"新豐4線",'0208 4度C'!$B:$B,"平均")</f>
        <v>0</v>
      </c>
    </row>
    <row r="20" spans="2:13" ht="17.25" customHeight="1">
      <c r="B20" s="103" t="s">
        <v>756</v>
      </c>
      <c r="C20" s="86" t="s">
        <v>754</v>
      </c>
      <c r="D20" s="87">
        <f>SUMIFS('0208 4度C'!$AC:$AC,'0208 4度C'!$A:$A,"新豐6線",'0208 4度C'!$B:$B,"平均")</f>
        <v>6</v>
      </c>
      <c r="E20" s="88">
        <f>SUMIFS('0208 4度C'!$AC:$AC,'0208 4度C'!$A:$A,"新豐2線",'0208 4度C'!$B:$B,"平均")</f>
        <v>2</v>
      </c>
      <c r="F20" s="88">
        <f>SUMIFS('0208 4度C'!$AC:$AC,'0208 4度C'!$A:$A,"新豐5線",'0208 4度C'!$B:$B,"平均")</f>
        <v>7</v>
      </c>
      <c r="G20" s="88">
        <f>SUMIFS('0208 4度C'!$AC:$AC,'0208 4度C'!$A:$A,"新豐7線",'0208 4度C'!$B:$B,"平均")</f>
        <v>6</v>
      </c>
      <c r="H20" s="88">
        <f>SUMIFS('0208 4度C'!$AC:$AC,'0208 4度C'!$A:$A,"新豐3線",'0208 4度C'!$B:$B,"平均")</f>
        <v>9</v>
      </c>
      <c r="I20" s="88">
        <f>SUMIFS('0208 4度C'!$AC:$AC,'0208 4度C'!$A:$A,"新豐1線",'0208 4度C'!$B:$B,"平均")</f>
        <v>10</v>
      </c>
      <c r="J20" s="89">
        <f>SUMIFS('0208 4度C'!$AC:$AC,'0208 4度C'!$A:$A,"新豐10線",'0208 4度C'!$B:$B,"平均")</f>
        <v>5</v>
      </c>
      <c r="K20" s="90">
        <f>SUMIFS('0208 4度C'!$AC:$AC,'0208 4度C'!$A:$A,"新豐8線",'0208 4度C'!$B:$B,"平均")</f>
        <v>6</v>
      </c>
      <c r="L20" s="88">
        <f>SUMIFS('0208 4度C'!$AC:$AC,'0208 4度C'!$A:$A,"新豐9線",'0208 4度C'!$B:$B,"平均")</f>
        <v>6</v>
      </c>
      <c r="M20" s="89">
        <f>SUMIFS('0208 4度C'!$AC:$AC,'0208 4度C'!$A:$A,"新豐4線",'0208 4度C'!$B:$B,"平均")</f>
        <v>6</v>
      </c>
    </row>
    <row r="21" spans="2:13" ht="17.25" customHeight="1">
      <c r="B21" s="104"/>
      <c r="C21" s="86" t="s">
        <v>757</v>
      </c>
      <c r="D21" s="87">
        <f>SUMIFS('0208 4度C'!$AD:$AD,'0208 4度C'!$A:$A,"新豐6線",'0208 4度C'!$B:$B,"平均")</f>
        <v>0</v>
      </c>
      <c r="E21" s="88">
        <f>SUMIFS('0208 4度C'!$AD:$AD,'0208 4度C'!$A:$A,"新豐2線",'0208 4度C'!$B:$B,"平均")</f>
        <v>0</v>
      </c>
      <c r="F21" s="88">
        <f>SUMIFS('0208 4度C'!$AD:$AD,'0208 4度C'!$A:$A,"新豐5線",'0208 4度C'!$B:$B,"平均")</f>
        <v>0</v>
      </c>
      <c r="G21" s="88">
        <f>SUMIFS('0208 4度C'!$AD:$AD,'0208 4度C'!$A:$A,"新豐7線",'0208 4度C'!$B:$B,"平均")</f>
        <v>0</v>
      </c>
      <c r="H21" s="88">
        <f>SUMIFS('0208 4度C'!$AD:$AD,'0208 4度C'!$A:$A,"新豐3線",'0208 4度C'!$B:$B,"平均")</f>
        <v>0</v>
      </c>
      <c r="I21" s="88">
        <f>SUMIFS('0208 4度C'!$AD:$AD,'0208 4度C'!$A:$A,"新豐1線",'0208 4度C'!$B:$B,"平均")</f>
        <v>0</v>
      </c>
      <c r="J21" s="89">
        <f>SUMIFS('0208 4度C'!$AD:$AD,'0208 4度C'!$A:$A,"新豐10線",'0208 4度C'!$B:$B,"平均")</f>
        <v>0</v>
      </c>
      <c r="K21" s="90">
        <f>SUMIFS('0208 4度C'!$AD:$AD,'0208 4度C'!$A:$A,"新豐8線",'0208 4度C'!$B:$B,"平均")</f>
        <v>0</v>
      </c>
      <c r="L21" s="88">
        <f>SUMIFS('0208 4度C'!$AD:$AD,'0208 4度C'!$A:$A,"新豐9線",'0208 4度C'!$B:$B,"平均")</f>
        <v>0</v>
      </c>
      <c r="M21" s="89">
        <f>SUMIFS('0208 4度C'!$AD:$AD,'0208 4度C'!$A:$A,"新豐4線",'0208 4度C'!$B:$B,"平均")</f>
        <v>0</v>
      </c>
    </row>
    <row r="22" spans="2:13" ht="17.25" customHeight="1">
      <c r="B22" s="105" t="s">
        <v>758</v>
      </c>
      <c r="C22" s="106"/>
      <c r="D22" s="91">
        <f>SUMIFS('0208 4度C'!$I:$I,'0208 4度C'!$A:$A,"新豐6線",'0208 4度C'!$B:$B,"平均")</f>
        <v>17.166666666666668</v>
      </c>
      <c r="E22" s="92">
        <f>SUMIFS('0208 4度C'!$I:$I,'0208 4度C'!$A:$A,"新豐2線",'0208 4度C'!$B:$B,"平均")</f>
        <v>18</v>
      </c>
      <c r="F22" s="92">
        <f>SUMIFS('0208 4度C'!$I:$I,'0208 4度C'!$A:$A,"新豐5線",'0208 4度C'!$B:$B,"平均")</f>
        <v>17</v>
      </c>
      <c r="G22" s="92">
        <f>SUMIFS('0208 4度C'!$I:$I,'0208 4度C'!$A:$A,"新豐7線",'0208 4度C'!$B:$B,"平均")</f>
        <v>15.333333333333334</v>
      </c>
      <c r="H22" s="92">
        <f>SUMIFS('0208 4度C'!$I:$I,'0208 4度C'!$A:$A,"新豐3線",'0208 4度C'!$B:$B,"平均")</f>
        <v>9.8888888888888893</v>
      </c>
      <c r="I22" s="92">
        <f>SUMIFS('0208 4度C'!$I:$I,'0208 4度C'!$A:$A,"新豐1線",'0208 4度C'!$B:$B,"平均")</f>
        <v>18.8</v>
      </c>
      <c r="J22" s="93">
        <f>SUMIFS('0208 4度C'!$I:$I,'0208 4度C'!$A:$A,"新豐10線",'0208 4度C'!$B:$B,"平均")</f>
        <v>10.6</v>
      </c>
      <c r="K22" s="91">
        <f>SUMIFS('0208 4度C'!$I:$I,'0208 4度C'!$A:$A,"新豐8線",'0208 4度C'!$B:$B,"平均")</f>
        <v>18.166666666666668</v>
      </c>
      <c r="L22" s="92">
        <f>SUMIFS('0208 4度C'!$I:$I,'0208 4度C'!$A:$A,"新豐9線",'0208 4度C'!$B:$B,"平均")</f>
        <v>19</v>
      </c>
      <c r="M22" s="93">
        <f>SUMIFS('0208 4度C'!$I:$I,'0208 4度C'!$A:$A,"新豐4線",'0208 4度C'!$B:$B,"平均")</f>
        <v>15.666666666666666</v>
      </c>
    </row>
    <row r="23" spans="2:13" ht="17.25" customHeight="1">
      <c r="B23" s="105" t="s">
        <v>759</v>
      </c>
      <c r="C23" s="106"/>
      <c r="D23" s="94" t="s">
        <v>191</v>
      </c>
      <c r="E23" s="95" t="s">
        <v>192</v>
      </c>
      <c r="F23" s="95" t="s">
        <v>760</v>
      </c>
      <c r="G23" s="95" t="s">
        <v>760</v>
      </c>
      <c r="H23" s="95" t="s">
        <v>194</v>
      </c>
      <c r="I23" s="95" t="s">
        <v>191</v>
      </c>
      <c r="J23" s="96" t="s">
        <v>194</v>
      </c>
      <c r="K23" s="94" t="s">
        <v>195</v>
      </c>
      <c r="L23" s="95" t="s">
        <v>761</v>
      </c>
      <c r="M23" s="96" t="s">
        <v>761</v>
      </c>
    </row>
    <row r="24" spans="2:13" ht="17.25" customHeight="1">
      <c r="B24" s="105" t="s">
        <v>762</v>
      </c>
      <c r="C24" s="106"/>
      <c r="D24" s="94"/>
      <c r="E24" s="95"/>
      <c r="F24" s="95" t="s">
        <v>763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764</v>
      </c>
      <c r="C25" s="108"/>
      <c r="D25" s="97"/>
      <c r="E25" s="98" t="s">
        <v>765</v>
      </c>
      <c r="F25" s="101" t="s">
        <v>766</v>
      </c>
      <c r="G25" s="102"/>
      <c r="H25" s="98" t="s">
        <v>767</v>
      </c>
      <c r="I25" s="98" t="s">
        <v>768</v>
      </c>
      <c r="J25" s="99" t="s">
        <v>767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工作表13">
    <pageSetUpPr fitToPage="1"/>
  </sheetPr>
  <dimension ref="A1:AG78"/>
  <sheetViews>
    <sheetView zoomScale="80" zoomScaleNormal="80" workbookViewId="0">
      <pane ySplit="4" topLeftCell="A5" activePane="bottomLeft" state="frozen"/>
      <selection activeCell="E22" sqref="E22"/>
      <selection pane="bottomLeft" activeCell="E22" sqref="E2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769</v>
      </c>
      <c r="B1" s="1"/>
      <c r="C1" s="2" t="s">
        <v>770</v>
      </c>
      <c r="D1" s="3">
        <f>SUM(F5:F77)</f>
        <v>168093</v>
      </c>
      <c r="E1" s="4" t="s">
        <v>771</v>
      </c>
      <c r="F1" s="1">
        <f>SUM(G5:G77)</f>
        <v>5789134.0100000007</v>
      </c>
      <c r="G1" s="1" t="s">
        <v>772</v>
      </c>
      <c r="H1" s="5">
        <f>L11+L14+L53+L64+L22+L70+L36+L43+L29+L77</f>
        <v>159.62222222222221</v>
      </c>
      <c r="I1" s="214" t="s">
        <v>773</v>
      </c>
      <c r="J1" s="214"/>
      <c r="K1" s="214"/>
      <c r="L1" s="214" t="s">
        <v>774</v>
      </c>
      <c r="M1" s="214"/>
      <c r="N1" s="214"/>
      <c r="O1" s="214" t="s">
        <v>775</v>
      </c>
      <c r="P1" s="214"/>
      <c r="Q1" s="214"/>
      <c r="R1" s="214"/>
      <c r="S1" s="214" t="s">
        <v>776</v>
      </c>
      <c r="T1" s="214"/>
      <c r="U1" s="214"/>
      <c r="V1" s="214"/>
      <c r="W1" s="214"/>
      <c r="X1" s="214"/>
      <c r="Y1" s="6" t="s">
        <v>777</v>
      </c>
      <c r="Z1" s="7" t="s">
        <v>778</v>
      </c>
      <c r="AA1" s="215" t="s">
        <v>779</v>
      </c>
      <c r="AB1" s="215"/>
      <c r="AC1" s="8" t="s">
        <v>777</v>
      </c>
      <c r="AD1" s="7" t="s">
        <v>780</v>
      </c>
      <c r="AE1" s="214" t="s">
        <v>781</v>
      </c>
      <c r="AF1" s="216"/>
      <c r="AG1" s="216"/>
    </row>
    <row r="2" spans="1:33" ht="26.25" customHeight="1">
      <c r="A2" s="35">
        <v>46061</v>
      </c>
      <c r="B2" s="36" t="s">
        <v>77</v>
      </c>
      <c r="C2" s="2" t="s">
        <v>782</v>
      </c>
      <c r="D2" s="10">
        <f>AVERAGE(N11,N14,N53,N64,N22,N70,N29,N36,N43,N77)</f>
        <v>138.10837039770246</v>
      </c>
      <c r="E2" s="11" t="s">
        <v>14</v>
      </c>
      <c r="F2" s="12">
        <f>F1/D1</f>
        <v>34.44006597538268</v>
      </c>
      <c r="G2" s="1" t="s">
        <v>783</v>
      </c>
      <c r="H2" s="13">
        <f>COUNT(H5:H77)</f>
        <v>9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SUM(Y11+Y14+Y22+Y29+Y36+Y43+Y53+Y64+Y70+Y77)</f>
        <v>0</v>
      </c>
      <c r="Z2" s="14">
        <f>SUM(Z11+Z14+Z22+Z29+Z36+Z43+Z53+Z64+Z70+Z77)</f>
        <v>0</v>
      </c>
      <c r="AA2" s="215"/>
      <c r="AB2" s="215"/>
      <c r="AC2" s="14">
        <f>SUM(AC11+AC14+AC22+AC29+AC36+AC43+AC53+AC64+AC70+AC77)</f>
        <v>63</v>
      </c>
      <c r="AD2" s="14">
        <f>SUM(AD11+AD14+AD22+AD29+AD36+AD43+AD53+AD64+AD70+AD77)</f>
        <v>0</v>
      </c>
      <c r="AE2" s="216"/>
      <c r="AF2" s="216"/>
      <c r="AG2" s="216"/>
    </row>
    <row r="3" spans="1:33" ht="40.5" customHeight="1">
      <c r="A3" s="164" t="s">
        <v>784</v>
      </c>
      <c r="B3" s="164" t="s">
        <v>785</v>
      </c>
      <c r="C3" s="164" t="s">
        <v>786</v>
      </c>
      <c r="D3" s="164"/>
      <c r="E3" s="212" t="s">
        <v>787</v>
      </c>
      <c r="F3" s="164" t="s">
        <v>788</v>
      </c>
      <c r="G3" s="212" t="s">
        <v>789</v>
      </c>
      <c r="H3" s="206" t="s">
        <v>790</v>
      </c>
      <c r="I3" s="204" t="s">
        <v>791</v>
      </c>
      <c r="J3" s="201" t="s">
        <v>792</v>
      </c>
      <c r="K3" s="211" t="s">
        <v>782</v>
      </c>
      <c r="L3" s="204" t="s">
        <v>791</v>
      </c>
      <c r="M3" s="201" t="s">
        <v>792</v>
      </c>
      <c r="N3" s="211" t="s">
        <v>782</v>
      </c>
      <c r="O3" s="204" t="s">
        <v>791</v>
      </c>
      <c r="P3" s="211" t="s">
        <v>782</v>
      </c>
      <c r="Q3" s="202" t="s">
        <v>793</v>
      </c>
      <c r="R3" s="182" t="s">
        <v>794</v>
      </c>
      <c r="S3" s="164" t="s">
        <v>30</v>
      </c>
      <c r="T3" s="164"/>
      <c r="U3" s="206" t="s">
        <v>31</v>
      </c>
      <c r="V3" s="206" t="s">
        <v>795</v>
      </c>
      <c r="W3" s="164" t="s">
        <v>796</v>
      </c>
      <c r="X3" s="164"/>
      <c r="Y3" s="207" t="s">
        <v>797</v>
      </c>
      <c r="Z3" s="168"/>
      <c r="AA3" s="208" t="s">
        <v>798</v>
      </c>
      <c r="AB3" s="209"/>
      <c r="AC3" s="207" t="s">
        <v>799</v>
      </c>
      <c r="AD3" s="168"/>
      <c r="AE3" s="201" t="s">
        <v>792</v>
      </c>
      <c r="AF3" s="202" t="s">
        <v>793</v>
      </c>
      <c r="AG3" s="182" t="s">
        <v>794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800</v>
      </c>
      <c r="X4" s="4" t="s">
        <v>801</v>
      </c>
      <c r="Y4" s="15" t="s">
        <v>802</v>
      </c>
      <c r="Z4" s="15" t="s">
        <v>803</v>
      </c>
      <c r="AA4" s="210"/>
      <c r="AB4" s="209"/>
      <c r="AC4" s="15" t="s">
        <v>804</v>
      </c>
      <c r="AD4" s="15" t="s">
        <v>805</v>
      </c>
      <c r="AE4" s="201"/>
      <c r="AF4" s="202"/>
      <c r="AG4" s="182"/>
    </row>
    <row r="5" spans="1:33">
      <c r="A5" s="203" t="s">
        <v>806</v>
      </c>
      <c r="B5" s="37" t="s">
        <v>78</v>
      </c>
      <c r="C5" s="205" t="s">
        <v>79</v>
      </c>
      <c r="D5" s="205"/>
      <c r="E5" s="37">
        <v>50.67</v>
      </c>
      <c r="F5" s="4">
        <v>1619</v>
      </c>
      <c r="G5" s="4">
        <f t="shared" ref="G5:G10" si="0">E5*F5</f>
        <v>82034.73</v>
      </c>
      <c r="H5" s="22" t="s">
        <v>139</v>
      </c>
      <c r="I5" s="16">
        <v>17</v>
      </c>
      <c r="J5" s="18">
        <v>2000</v>
      </c>
      <c r="K5" s="17">
        <f t="shared" ref="K5:K68" si="1">J5/I5</f>
        <v>117.64705882352941</v>
      </c>
      <c r="L5" s="16">
        <v>17</v>
      </c>
      <c r="M5" s="18">
        <f t="shared" ref="M5:M10" si="2">F5/V5*60</f>
        <v>1904.7058823529419</v>
      </c>
      <c r="N5" s="17">
        <f t="shared" ref="N5:N68" si="3">M5/L5</f>
        <v>112.04152249134953</v>
      </c>
      <c r="O5" s="19">
        <f t="shared" ref="O5:O68" si="4">L5-I5</f>
        <v>0</v>
      </c>
      <c r="P5" s="20">
        <f t="shared" ref="P5:P68" si="5">N5-K5</f>
        <v>-5.6055363321798808</v>
      </c>
      <c r="Q5" s="21">
        <f t="shared" ref="Q5:Q68" si="6">N5/K5</f>
        <v>0.95235294117647096</v>
      </c>
      <c r="R5" s="172">
        <f>Q11</f>
        <v>0.95692913999455542</v>
      </c>
      <c r="S5" s="28">
        <v>0.70833333333333337</v>
      </c>
      <c r="T5" s="28">
        <v>0.74375000000000002</v>
      </c>
      <c r="U5" s="4"/>
      <c r="V5" s="22">
        <f t="shared" ref="V5:V10" si="7">(T5-S5)*24*60</f>
        <v>50.999999999999979</v>
      </c>
      <c r="W5" s="23"/>
      <c r="X5" s="24"/>
      <c r="Y5" s="24"/>
      <c r="Z5" s="24"/>
      <c r="AA5" s="164"/>
      <c r="AB5" s="164"/>
      <c r="AC5" s="25">
        <v>6</v>
      </c>
      <c r="AD5" s="25"/>
      <c r="AE5" s="19">
        <f t="shared" ref="AE5:AE63" si="8">M5-J5</f>
        <v>-95.294117647058101</v>
      </c>
      <c r="AF5" s="21">
        <f t="shared" ref="AF5:AF68" si="9">M5/J5</f>
        <v>0.95235294117647096</v>
      </c>
      <c r="AG5" s="172">
        <f>AF11</f>
        <v>0.95692913999455542</v>
      </c>
    </row>
    <row r="6" spans="1:33">
      <c r="A6" s="204" t="s">
        <v>806</v>
      </c>
      <c r="B6" s="37" t="s">
        <v>78</v>
      </c>
      <c r="C6" s="205" t="s">
        <v>80</v>
      </c>
      <c r="D6" s="205"/>
      <c r="E6" s="37">
        <v>54.09</v>
      </c>
      <c r="F6" s="4">
        <v>1399</v>
      </c>
      <c r="G6" s="4">
        <f t="shared" si="0"/>
        <v>75671.91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1907.7272727272727</v>
      </c>
      <c r="N6" s="17">
        <f t="shared" si="3"/>
        <v>100.4066985645933</v>
      </c>
      <c r="O6" s="19">
        <f t="shared" si="4"/>
        <v>0</v>
      </c>
      <c r="P6" s="20">
        <f t="shared" si="5"/>
        <v>-4.8564593301435366</v>
      </c>
      <c r="Q6" s="21">
        <f t="shared" si="6"/>
        <v>0.95386363636363636</v>
      </c>
      <c r="R6" s="172"/>
      <c r="S6" s="28">
        <v>0.74861111111111112</v>
      </c>
      <c r="T6" s="28">
        <v>0.77916666666666667</v>
      </c>
      <c r="U6" s="4">
        <f t="shared" ref="U6:U10" si="10">IF(S6=TIME(17,0,0),"",(S6-T5)*24*60)</f>
        <v>6.9999999999999751</v>
      </c>
      <c r="V6" s="22">
        <f t="shared" si="7"/>
        <v>44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-92.272727272727252</v>
      </c>
      <c r="AF6" s="21">
        <f t="shared" si="9"/>
        <v>0.95386363636363636</v>
      </c>
      <c r="AG6" s="172"/>
    </row>
    <row r="7" spans="1:33">
      <c r="A7" s="204" t="s">
        <v>806</v>
      </c>
      <c r="B7" s="37" t="s">
        <v>78</v>
      </c>
      <c r="C7" s="196" t="s">
        <v>81</v>
      </c>
      <c r="D7" s="197"/>
      <c r="E7" s="37">
        <v>50.29</v>
      </c>
      <c r="F7" s="4">
        <v>890</v>
      </c>
      <c r="G7" s="4">
        <f t="shared" si="0"/>
        <v>44758.1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1907.142857142853</v>
      </c>
      <c r="N7" s="17">
        <f t="shared" si="3"/>
        <v>119.19642857142831</v>
      </c>
      <c r="O7" s="19">
        <f t="shared" si="4"/>
        <v>0</v>
      </c>
      <c r="P7" s="20">
        <f t="shared" si="5"/>
        <v>-5.8035714285716864</v>
      </c>
      <c r="Q7" s="21">
        <f t="shared" si="6"/>
        <v>0.95357142857142652</v>
      </c>
      <c r="R7" s="172"/>
      <c r="S7" s="28">
        <v>0.78333333333333333</v>
      </c>
      <c r="T7" s="28">
        <v>0.80277777777777781</v>
      </c>
      <c r="U7" s="4">
        <f t="shared" si="10"/>
        <v>5.9999999999999787</v>
      </c>
      <c r="V7" s="22">
        <f t="shared" si="7"/>
        <v>28.00000000000006</v>
      </c>
      <c r="W7" s="23"/>
      <c r="X7" s="23"/>
      <c r="Y7" s="26"/>
      <c r="Z7" s="26"/>
      <c r="AA7" s="175"/>
      <c r="AB7" s="176"/>
      <c r="AC7" s="25"/>
      <c r="AD7" s="27"/>
      <c r="AE7" s="19">
        <f t="shared" si="8"/>
        <v>-92.857142857146982</v>
      </c>
      <c r="AF7" s="21">
        <f t="shared" si="9"/>
        <v>0.95357142857142652</v>
      </c>
      <c r="AG7" s="172"/>
    </row>
    <row r="8" spans="1:33">
      <c r="A8" s="204" t="s">
        <v>806</v>
      </c>
      <c r="B8" s="37" t="s">
        <v>78</v>
      </c>
      <c r="C8" s="196" t="s">
        <v>82</v>
      </c>
      <c r="D8" s="197"/>
      <c r="E8" s="37">
        <v>57.3</v>
      </c>
      <c r="F8" s="4">
        <v>700</v>
      </c>
      <c r="G8" s="4">
        <f t="shared" si="0"/>
        <v>40110</v>
      </c>
      <c r="H8" s="22">
        <v>2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1909.0909090909158</v>
      </c>
      <c r="N8" s="17">
        <f t="shared" si="3"/>
        <v>127.27272727272772</v>
      </c>
      <c r="O8" s="19">
        <f t="shared" si="4"/>
        <v>0</v>
      </c>
      <c r="P8" s="20">
        <f t="shared" si="5"/>
        <v>-6.0606060606056218</v>
      </c>
      <c r="Q8" s="21">
        <f t="shared" si="6"/>
        <v>0.95454545454545781</v>
      </c>
      <c r="R8" s="172"/>
      <c r="S8" s="28">
        <v>0.80833333333333335</v>
      </c>
      <c r="T8" s="28">
        <v>0.82361111111111107</v>
      </c>
      <c r="U8" s="4">
        <f t="shared" si="10"/>
        <v>7.9999999999999716</v>
      </c>
      <c r="V8" s="22">
        <f t="shared" si="7"/>
        <v>21.999999999999922</v>
      </c>
      <c r="W8" s="28"/>
      <c r="X8" s="28"/>
      <c r="Y8" s="29"/>
      <c r="Z8" s="29"/>
      <c r="AA8" s="175"/>
      <c r="AB8" s="176"/>
      <c r="AC8" s="25"/>
      <c r="AD8" s="27"/>
      <c r="AE8" s="19">
        <f t="shared" si="8"/>
        <v>-90.909090909084171</v>
      </c>
      <c r="AF8" s="21">
        <f t="shared" si="9"/>
        <v>0.95454545454545792</v>
      </c>
      <c r="AG8" s="172"/>
    </row>
    <row r="9" spans="1:33">
      <c r="A9" s="204" t="s">
        <v>806</v>
      </c>
      <c r="B9" s="37" t="s">
        <v>78</v>
      </c>
      <c r="C9" s="196" t="s">
        <v>83</v>
      </c>
      <c r="D9" s="197"/>
      <c r="E9" s="37">
        <v>50.67</v>
      </c>
      <c r="F9" s="4">
        <v>935</v>
      </c>
      <c r="G9" s="4">
        <f t="shared" si="0"/>
        <v>47376.450000000004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1934.4827586206857</v>
      </c>
      <c r="N9" s="17">
        <f t="shared" si="3"/>
        <v>92.118226600985025</v>
      </c>
      <c r="O9" s="19">
        <f t="shared" si="4"/>
        <v>0</v>
      </c>
      <c r="P9" s="20">
        <f t="shared" si="5"/>
        <v>-3.1198686371102156</v>
      </c>
      <c r="Q9" s="21">
        <f t="shared" si="6"/>
        <v>0.96724137931034271</v>
      </c>
      <c r="R9" s="172"/>
      <c r="S9" s="28">
        <v>0.82847222222222217</v>
      </c>
      <c r="T9" s="28">
        <v>0.84861111111111109</v>
      </c>
      <c r="U9" s="4">
        <f t="shared" si="10"/>
        <v>6.9999999999999751</v>
      </c>
      <c r="V9" s="22">
        <f t="shared" si="7"/>
        <v>29.000000000000057</v>
      </c>
      <c r="W9" s="23">
        <f>T9</f>
        <v>0.84861111111111109</v>
      </c>
      <c r="X9" s="23">
        <f>S10</f>
        <v>0.89097222222222217</v>
      </c>
      <c r="Y9" s="26"/>
      <c r="Z9" s="26"/>
      <c r="AA9" s="175"/>
      <c r="AB9" s="176"/>
      <c r="AC9" s="25"/>
      <c r="AD9" s="27"/>
      <c r="AE9" s="19">
        <f t="shared" si="8"/>
        <v>-65.517241379314328</v>
      </c>
      <c r="AF9" s="21">
        <f t="shared" si="9"/>
        <v>0.96724137931034282</v>
      </c>
      <c r="AG9" s="172"/>
    </row>
    <row r="10" spans="1:33">
      <c r="A10" s="204" t="s">
        <v>806</v>
      </c>
      <c r="B10" s="37" t="s">
        <v>78</v>
      </c>
      <c r="C10" s="196" t="s">
        <v>82</v>
      </c>
      <c r="D10" s="197"/>
      <c r="E10" s="37">
        <v>57.3</v>
      </c>
      <c r="F10" s="4">
        <v>928</v>
      </c>
      <c r="G10" s="4">
        <f t="shared" si="0"/>
        <v>53174.399999999994</v>
      </c>
      <c r="H10" s="22" t="s">
        <v>139</v>
      </c>
      <c r="I10" s="16">
        <v>15</v>
      </c>
      <c r="J10" s="18">
        <v>2000</v>
      </c>
      <c r="K10" s="17">
        <f t="shared" si="1"/>
        <v>133.33333333333334</v>
      </c>
      <c r="L10" s="16">
        <v>15</v>
      </c>
      <c r="M10" s="18">
        <f t="shared" si="2"/>
        <v>1919.9999999999961</v>
      </c>
      <c r="N10" s="17">
        <f t="shared" si="3"/>
        <v>127.99999999999974</v>
      </c>
      <c r="O10" s="19">
        <f t="shared" si="4"/>
        <v>0</v>
      </c>
      <c r="P10" s="20">
        <f t="shared" si="5"/>
        <v>-5.3333333333335986</v>
      </c>
      <c r="Q10" s="21">
        <f t="shared" si="6"/>
        <v>0.95999999999999797</v>
      </c>
      <c r="R10" s="172"/>
      <c r="S10" s="28">
        <v>0.89097222222222217</v>
      </c>
      <c r="T10" s="28">
        <v>0.91111111111111109</v>
      </c>
      <c r="U10" s="4">
        <f t="shared" si="10"/>
        <v>60.999999999999943</v>
      </c>
      <c r="V10" s="22">
        <f t="shared" si="7"/>
        <v>29.000000000000057</v>
      </c>
      <c r="W10" s="23"/>
      <c r="X10" s="23"/>
      <c r="Y10" s="26"/>
      <c r="Z10" s="26"/>
      <c r="AA10" s="175"/>
      <c r="AB10" s="176"/>
      <c r="AC10" s="25"/>
      <c r="AD10" s="27"/>
      <c r="AE10" s="19">
        <f t="shared" si="8"/>
        <v>-80.000000000003865</v>
      </c>
      <c r="AF10" s="21">
        <f t="shared" si="9"/>
        <v>0.95999999999999808</v>
      </c>
      <c r="AG10" s="172"/>
    </row>
    <row r="11" spans="1:33">
      <c r="A11" s="204" t="s">
        <v>807</v>
      </c>
      <c r="B11" s="37" t="s">
        <v>808</v>
      </c>
      <c r="C11" s="177"/>
      <c r="D11" s="177"/>
      <c r="E11" s="38"/>
      <c r="F11" s="17"/>
      <c r="G11" s="17"/>
      <c r="H11" s="4"/>
      <c r="I11" s="30">
        <v>17.166666666666668</v>
      </c>
      <c r="J11" s="18">
        <v>2000</v>
      </c>
      <c r="K11" s="17">
        <f t="shared" si="1"/>
        <v>116.50485436893203</v>
      </c>
      <c r="L11" s="30">
        <v>17.166666666666668</v>
      </c>
      <c r="M11" s="18">
        <f>AVERAGE(M5:M10)</f>
        <v>1913.8582799891108</v>
      </c>
      <c r="N11" s="17">
        <f t="shared" si="3"/>
        <v>111.48689009645305</v>
      </c>
      <c r="O11" s="19">
        <f t="shared" si="4"/>
        <v>0</v>
      </c>
      <c r="P11" s="20">
        <f t="shared" si="5"/>
        <v>-5.0179642724789773</v>
      </c>
      <c r="Q11" s="21">
        <f t="shared" si="6"/>
        <v>0.95692913999455542</v>
      </c>
      <c r="R11" s="172"/>
      <c r="S11" s="28"/>
      <c r="T11" s="28"/>
      <c r="U11" s="4"/>
      <c r="V11" s="22"/>
      <c r="W11" s="17"/>
      <c r="X11" s="17"/>
      <c r="Y11" s="31">
        <f>SUM(Y5:Y10)</f>
        <v>0</v>
      </c>
      <c r="Z11" s="31">
        <f>SUM(Z5:Z10)</f>
        <v>0</v>
      </c>
      <c r="AA11" s="168"/>
      <c r="AB11" s="168"/>
      <c r="AC11" s="31">
        <f>SUM(AC5:AC10)</f>
        <v>6</v>
      </c>
      <c r="AD11" s="31">
        <f>SUM(AD5:AD10)</f>
        <v>0</v>
      </c>
      <c r="AE11" s="19">
        <f t="shared" si="8"/>
        <v>-86.14172001088923</v>
      </c>
      <c r="AF11" s="21">
        <f t="shared" si="9"/>
        <v>0.95692913999455542</v>
      </c>
      <c r="AG11" s="172"/>
    </row>
    <row r="12" spans="1:33" ht="15.75" customHeight="1">
      <c r="A12" s="200" t="s">
        <v>809</v>
      </c>
      <c r="B12" s="37" t="s">
        <v>84</v>
      </c>
      <c r="C12" s="196" t="s">
        <v>85</v>
      </c>
      <c r="D12" s="197"/>
      <c r="E12" s="37">
        <v>39.619999999999997</v>
      </c>
      <c r="F12" s="4">
        <v>3375</v>
      </c>
      <c r="G12" s="4">
        <f t="shared" ref="G12:G13" si="11">E12*F12</f>
        <v>133717.5</v>
      </c>
      <c r="H12" s="22" t="s">
        <v>139</v>
      </c>
      <c r="I12" s="16">
        <v>19</v>
      </c>
      <c r="J12" s="18">
        <v>1500</v>
      </c>
      <c r="K12" s="17">
        <f t="shared" si="1"/>
        <v>78.94736842105263</v>
      </c>
      <c r="L12" s="16">
        <v>19</v>
      </c>
      <c r="M12" s="18">
        <f t="shared" ref="M12:M13" si="12">F12/V12*60</f>
        <v>1436.1702127659571</v>
      </c>
      <c r="N12" s="17">
        <f t="shared" si="3"/>
        <v>75.587905935050372</v>
      </c>
      <c r="O12" s="19">
        <f t="shared" si="4"/>
        <v>0</v>
      </c>
      <c r="P12" s="20">
        <f t="shared" si="5"/>
        <v>-3.3594624860022577</v>
      </c>
      <c r="Q12" s="21">
        <f t="shared" si="6"/>
        <v>0.95744680851063801</v>
      </c>
      <c r="R12" s="172">
        <f>Q14</f>
        <v>0.95579236977256032</v>
      </c>
      <c r="S12" s="28">
        <v>0.20833333333333334</v>
      </c>
      <c r="T12" s="28">
        <v>0.30625000000000002</v>
      </c>
      <c r="U12" s="4"/>
      <c r="V12" s="22">
        <f t="shared" ref="V12:V13" si="13">(T12-S12)*24*60</f>
        <v>141.00000000000003</v>
      </c>
      <c r="W12" s="23"/>
      <c r="X12" s="23"/>
      <c r="Y12" s="23"/>
      <c r="Z12" s="23"/>
      <c r="AA12" s="164"/>
      <c r="AB12" s="164"/>
      <c r="AC12" s="25">
        <v>2</v>
      </c>
      <c r="AD12" s="25"/>
      <c r="AE12" s="19">
        <f t="shared" si="8"/>
        <v>-63.829787234042897</v>
      </c>
      <c r="AF12" s="21">
        <f t="shared" si="9"/>
        <v>0.95744680851063801</v>
      </c>
      <c r="AG12" s="172">
        <f>AF14</f>
        <v>0.95579236977256032</v>
      </c>
    </row>
    <row r="13" spans="1:33" ht="15.75" customHeight="1">
      <c r="A13" s="200" t="s">
        <v>809</v>
      </c>
      <c r="B13" s="37" t="s">
        <v>84</v>
      </c>
      <c r="C13" s="196" t="s">
        <v>86</v>
      </c>
      <c r="D13" s="197"/>
      <c r="E13" s="37">
        <v>39.799999999999997</v>
      </c>
      <c r="F13" s="4">
        <v>5534</v>
      </c>
      <c r="G13" s="4">
        <f t="shared" si="11"/>
        <v>220253.19999999998</v>
      </c>
      <c r="H13" s="22" t="s">
        <v>139</v>
      </c>
      <c r="I13" s="16">
        <v>17</v>
      </c>
      <c r="J13" s="18">
        <v>1500</v>
      </c>
      <c r="K13" s="17">
        <f t="shared" si="1"/>
        <v>88.235294117647058</v>
      </c>
      <c r="L13" s="16">
        <v>17</v>
      </c>
      <c r="M13" s="18">
        <f t="shared" si="12"/>
        <v>1431.2068965517242</v>
      </c>
      <c r="N13" s="17">
        <f t="shared" si="3"/>
        <v>84.188640973630839</v>
      </c>
      <c r="O13" s="19">
        <f t="shared" si="4"/>
        <v>0</v>
      </c>
      <c r="P13" s="20">
        <f t="shared" si="5"/>
        <v>-4.0466531440162186</v>
      </c>
      <c r="Q13" s="21">
        <f t="shared" si="6"/>
        <v>0.95413793103448286</v>
      </c>
      <c r="R13" s="172"/>
      <c r="S13" s="28">
        <v>0.31041666666666667</v>
      </c>
      <c r="T13" s="28">
        <v>0.47152777777777777</v>
      </c>
      <c r="U13" s="4">
        <f t="shared" ref="U13" si="14">IF(S13=TIME(17,0,0),"",(S13-T12)*24*60)</f>
        <v>5.9999999999999787</v>
      </c>
      <c r="V13" s="22">
        <f t="shared" si="13"/>
        <v>231.99999999999997</v>
      </c>
      <c r="W13" s="23"/>
      <c r="X13" s="23"/>
      <c r="Y13" s="23"/>
      <c r="Z13" s="23"/>
      <c r="AA13" s="164"/>
      <c r="AB13" s="164"/>
      <c r="AC13" s="25"/>
      <c r="AD13" s="25"/>
      <c r="AE13" s="19">
        <f t="shared" si="8"/>
        <v>-68.793103448275815</v>
      </c>
      <c r="AF13" s="21">
        <f t="shared" si="9"/>
        <v>0.95413793103448274</v>
      </c>
      <c r="AG13" s="172"/>
    </row>
    <row r="14" spans="1:33" ht="16.5" customHeight="1">
      <c r="A14" s="200" t="s">
        <v>809</v>
      </c>
      <c r="B14" s="37" t="s">
        <v>808</v>
      </c>
      <c r="C14" s="177"/>
      <c r="D14" s="177"/>
      <c r="E14" s="38"/>
      <c r="F14" s="18"/>
      <c r="G14" s="18"/>
      <c r="H14" s="4"/>
      <c r="I14" s="30">
        <v>18</v>
      </c>
      <c r="J14" s="18">
        <v>1500</v>
      </c>
      <c r="K14" s="17">
        <f t="shared" si="1"/>
        <v>83.333333333333329</v>
      </c>
      <c r="L14" s="30">
        <v>18</v>
      </c>
      <c r="M14" s="18">
        <f>AVERAGE(M12:M13)</f>
        <v>1433.6885546588405</v>
      </c>
      <c r="N14" s="17">
        <f t="shared" si="3"/>
        <v>79.649364147713356</v>
      </c>
      <c r="O14" s="19">
        <f t="shared" si="4"/>
        <v>0</v>
      </c>
      <c r="P14" s="20">
        <f t="shared" si="5"/>
        <v>-3.6839691856199721</v>
      </c>
      <c r="Q14" s="21">
        <f t="shared" si="6"/>
        <v>0.95579236977256032</v>
      </c>
      <c r="R14" s="172"/>
      <c r="S14" s="28"/>
      <c r="T14" s="28"/>
      <c r="U14" s="17"/>
      <c r="V14" s="22"/>
      <c r="W14" s="17"/>
      <c r="X14" s="17"/>
      <c r="Y14" s="31">
        <f>SUM(Y12:Y13)</f>
        <v>0</v>
      </c>
      <c r="Z14" s="31">
        <f>SUM(Z12:Z13)</f>
        <v>0</v>
      </c>
      <c r="AA14" s="168"/>
      <c r="AB14" s="168"/>
      <c r="AC14" s="31">
        <f>SUM(AC12:AC13)</f>
        <v>2</v>
      </c>
      <c r="AD14" s="31">
        <f>SUM(AD12:AD13)</f>
        <v>0</v>
      </c>
      <c r="AE14" s="19">
        <f t="shared" si="8"/>
        <v>-66.31144534115947</v>
      </c>
      <c r="AF14" s="21">
        <f t="shared" si="9"/>
        <v>0.95579236977256032</v>
      </c>
      <c r="AG14" s="172"/>
    </row>
    <row r="15" spans="1:33" ht="16.5" customHeight="1">
      <c r="A15" s="198" t="s">
        <v>810</v>
      </c>
      <c r="B15" s="4" t="s">
        <v>87</v>
      </c>
      <c r="C15" s="190" t="s">
        <v>88</v>
      </c>
      <c r="D15" s="190"/>
      <c r="E15" s="37">
        <v>41</v>
      </c>
      <c r="F15" s="4">
        <v>2209</v>
      </c>
      <c r="G15" s="4">
        <f t="shared" ref="G15:G21" si="15">E15*F15</f>
        <v>90569</v>
      </c>
      <c r="H15" s="22" t="s">
        <v>139</v>
      </c>
      <c r="I15" s="16">
        <v>26</v>
      </c>
      <c r="J15" s="18">
        <v>1500</v>
      </c>
      <c r="K15" s="17">
        <f t="shared" si="1"/>
        <v>57.692307692307693</v>
      </c>
      <c r="L15" s="16">
        <v>26</v>
      </c>
      <c r="M15" s="18">
        <f t="shared" ref="M15:M21" si="16">F15/V15*60</f>
        <v>1440.652173913043</v>
      </c>
      <c r="N15" s="17">
        <f t="shared" si="3"/>
        <v>55.4096989966555</v>
      </c>
      <c r="O15" s="19">
        <f t="shared" si="4"/>
        <v>0</v>
      </c>
      <c r="P15" s="20">
        <f t="shared" si="5"/>
        <v>-2.2826086956521934</v>
      </c>
      <c r="Q15" s="21">
        <f t="shared" si="6"/>
        <v>0.9604347826086953</v>
      </c>
      <c r="R15" s="172">
        <f>Q22</f>
        <v>0.96334341385324906</v>
      </c>
      <c r="S15" s="28">
        <v>0.20833333333333334</v>
      </c>
      <c r="T15" s="28">
        <v>0.27222222222222225</v>
      </c>
      <c r="U15" s="4"/>
      <c r="V15" s="22">
        <f t="shared" ref="V15:V21" si="17">(T15-S15)*24*60</f>
        <v>92.000000000000028</v>
      </c>
      <c r="W15" s="28"/>
      <c r="X15" s="28"/>
      <c r="Y15" s="28"/>
      <c r="Z15" s="28"/>
      <c r="AA15" s="164"/>
      <c r="AB15" s="164"/>
      <c r="AC15" s="25">
        <v>7</v>
      </c>
      <c r="AD15" s="25"/>
      <c r="AE15" s="19">
        <f t="shared" si="8"/>
        <v>-59.347826086956957</v>
      </c>
      <c r="AF15" s="21">
        <f t="shared" si="9"/>
        <v>0.96043478260869541</v>
      </c>
      <c r="AG15" s="172">
        <f>AF22</f>
        <v>0.96334341385324906</v>
      </c>
    </row>
    <row r="16" spans="1:33" ht="16.5" customHeight="1">
      <c r="A16" s="199" t="s">
        <v>810</v>
      </c>
      <c r="B16" s="4" t="s">
        <v>89</v>
      </c>
      <c r="C16" s="190" t="s">
        <v>90</v>
      </c>
      <c r="D16" s="190"/>
      <c r="E16" s="37">
        <v>72.400000000000006</v>
      </c>
      <c r="F16" s="4">
        <v>537</v>
      </c>
      <c r="G16" s="4">
        <f t="shared" si="15"/>
        <v>38878.800000000003</v>
      </c>
      <c r="H16" s="22" t="s">
        <v>139</v>
      </c>
      <c r="I16" s="16">
        <v>18</v>
      </c>
      <c r="J16" s="18">
        <v>1500</v>
      </c>
      <c r="K16" s="17">
        <f t="shared" si="1"/>
        <v>83.333333333333329</v>
      </c>
      <c r="L16" s="16">
        <v>18</v>
      </c>
      <c r="M16" s="18">
        <f t="shared" si="16"/>
        <v>1464.5454545454545</v>
      </c>
      <c r="N16" s="17">
        <f t="shared" si="3"/>
        <v>81.36363636363636</v>
      </c>
      <c r="O16" s="19">
        <f t="shared" si="4"/>
        <v>0</v>
      </c>
      <c r="P16" s="20">
        <f t="shared" si="5"/>
        <v>-1.9696969696969688</v>
      </c>
      <c r="Q16" s="21">
        <f t="shared" si="6"/>
        <v>0.97636363636363632</v>
      </c>
      <c r="R16" s="172"/>
      <c r="S16" s="28">
        <v>0.27638888888888891</v>
      </c>
      <c r="T16" s="28">
        <v>0.29166666666666669</v>
      </c>
      <c r="U16" s="4">
        <f t="shared" ref="U16:U21" si="18">IF(S16=TIME(17,0,0),"",(S16-T15)*24*60)</f>
        <v>5.9999999999999787</v>
      </c>
      <c r="V16" s="22">
        <f t="shared" si="17"/>
        <v>22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-35.454545454545496</v>
      </c>
      <c r="AF16" s="21">
        <f t="shared" si="9"/>
        <v>0.97636363636363632</v>
      </c>
      <c r="AG16" s="172"/>
    </row>
    <row r="17" spans="1:33" ht="16.5" customHeight="1">
      <c r="A17" s="199" t="s">
        <v>811</v>
      </c>
      <c r="B17" s="4" t="s">
        <v>78</v>
      </c>
      <c r="C17" s="190" t="s">
        <v>91</v>
      </c>
      <c r="D17" s="190"/>
      <c r="E17" s="37">
        <v>50.98</v>
      </c>
      <c r="F17" s="4">
        <v>1000</v>
      </c>
      <c r="G17" s="4">
        <f t="shared" si="15"/>
        <v>50980</v>
      </c>
      <c r="H17" s="22">
        <v>2</v>
      </c>
      <c r="I17" s="16">
        <v>16</v>
      </c>
      <c r="J17" s="18">
        <v>2000</v>
      </c>
      <c r="K17" s="17">
        <f t="shared" si="1"/>
        <v>125</v>
      </c>
      <c r="L17" s="16">
        <v>16</v>
      </c>
      <c r="M17" s="18">
        <f t="shared" si="16"/>
        <v>1935.483870967739</v>
      </c>
      <c r="N17" s="17">
        <f t="shared" si="3"/>
        <v>120.96774193548369</v>
      </c>
      <c r="O17" s="19">
        <f t="shared" si="4"/>
        <v>0</v>
      </c>
      <c r="P17" s="20">
        <f t="shared" si="5"/>
        <v>-4.0322580645163129</v>
      </c>
      <c r="Q17" s="21">
        <f t="shared" si="6"/>
        <v>0.96774193548386944</v>
      </c>
      <c r="R17" s="172"/>
      <c r="S17" s="28">
        <v>0.70833333333333337</v>
      </c>
      <c r="T17" s="28">
        <v>0.72986111111111118</v>
      </c>
      <c r="U17" s="4" t="str">
        <f t="shared" si="18"/>
        <v/>
      </c>
      <c r="V17" s="22">
        <f t="shared" si="17"/>
        <v>31.00000000000005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-64.516129032261006</v>
      </c>
      <c r="AF17" s="21">
        <f t="shared" si="9"/>
        <v>0.96774193548386944</v>
      </c>
      <c r="AG17" s="172"/>
    </row>
    <row r="18" spans="1:33" ht="16.5" customHeight="1">
      <c r="A18" s="199" t="s">
        <v>811</v>
      </c>
      <c r="B18" s="4" t="s">
        <v>78</v>
      </c>
      <c r="C18" s="190" t="s">
        <v>92</v>
      </c>
      <c r="D18" s="190"/>
      <c r="E18" s="37">
        <v>50.92</v>
      </c>
      <c r="F18" s="4">
        <v>800</v>
      </c>
      <c r="G18" s="4">
        <f t="shared" si="15"/>
        <v>40736</v>
      </c>
      <c r="H18" s="22">
        <v>2</v>
      </c>
      <c r="I18" s="16">
        <v>15</v>
      </c>
      <c r="J18" s="18">
        <v>2000</v>
      </c>
      <c r="K18" s="17">
        <f t="shared" si="1"/>
        <v>133.33333333333334</v>
      </c>
      <c r="L18" s="16">
        <v>15</v>
      </c>
      <c r="M18" s="18">
        <f t="shared" si="16"/>
        <v>1919.9999999999945</v>
      </c>
      <c r="N18" s="17">
        <f t="shared" si="3"/>
        <v>127.99999999999963</v>
      </c>
      <c r="O18" s="19">
        <f t="shared" si="4"/>
        <v>0</v>
      </c>
      <c r="P18" s="20">
        <f t="shared" si="5"/>
        <v>-5.3333333333337123</v>
      </c>
      <c r="Q18" s="21">
        <f t="shared" si="6"/>
        <v>0.95999999999999719</v>
      </c>
      <c r="R18" s="172"/>
      <c r="S18" s="28">
        <v>0.73541666666666672</v>
      </c>
      <c r="T18" s="28">
        <v>0.75277777777777788</v>
      </c>
      <c r="U18" s="4">
        <f t="shared" si="18"/>
        <v>7.9999999999999716</v>
      </c>
      <c r="V18" s="22">
        <f t="shared" si="17"/>
        <v>25.000000000000071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-80.000000000005457</v>
      </c>
      <c r="AF18" s="21">
        <f t="shared" si="9"/>
        <v>0.9599999999999973</v>
      </c>
      <c r="AG18" s="172"/>
    </row>
    <row r="19" spans="1:33" ht="16.5" customHeight="1">
      <c r="A19" s="199" t="s">
        <v>810</v>
      </c>
      <c r="B19" s="4" t="s">
        <v>78</v>
      </c>
      <c r="C19" s="190" t="s">
        <v>93</v>
      </c>
      <c r="D19" s="190"/>
      <c r="E19" s="37">
        <v>50.67</v>
      </c>
      <c r="F19" s="4">
        <v>1890</v>
      </c>
      <c r="G19" s="4">
        <f t="shared" si="15"/>
        <v>95766.3</v>
      </c>
      <c r="H19" s="22" t="s">
        <v>139</v>
      </c>
      <c r="I19" s="16">
        <v>15</v>
      </c>
      <c r="J19" s="18">
        <v>2000</v>
      </c>
      <c r="K19" s="17">
        <f t="shared" si="1"/>
        <v>133.33333333333334</v>
      </c>
      <c r="L19" s="16">
        <v>15</v>
      </c>
      <c r="M19" s="18">
        <f t="shared" si="16"/>
        <v>1922.0338983050865</v>
      </c>
      <c r="N19" s="17">
        <f t="shared" si="3"/>
        <v>128.1355932203391</v>
      </c>
      <c r="O19" s="19">
        <f t="shared" si="4"/>
        <v>0</v>
      </c>
      <c r="P19" s="20">
        <f t="shared" si="5"/>
        <v>-5.1977401129942393</v>
      </c>
      <c r="Q19" s="21">
        <f t="shared" si="6"/>
        <v>0.96101694915254321</v>
      </c>
      <c r="R19" s="172"/>
      <c r="S19" s="28">
        <v>0.75694444444444453</v>
      </c>
      <c r="T19" s="28">
        <v>0.79791666666666672</v>
      </c>
      <c r="U19" s="4">
        <f t="shared" si="18"/>
        <v>5.9999999999999787</v>
      </c>
      <c r="V19" s="22">
        <f t="shared" si="17"/>
        <v>58.99999999999995</v>
      </c>
      <c r="W19" s="23"/>
      <c r="X19" s="23"/>
      <c r="Y19" s="23"/>
      <c r="Z19" s="23"/>
      <c r="AA19" s="164"/>
      <c r="AB19" s="164"/>
      <c r="AC19" s="25"/>
      <c r="AD19" s="25"/>
      <c r="AE19" s="19">
        <f t="shared" si="8"/>
        <v>-77.966101694913505</v>
      </c>
      <c r="AF19" s="21">
        <f t="shared" si="9"/>
        <v>0.96101694915254321</v>
      </c>
      <c r="AG19" s="172"/>
    </row>
    <row r="20" spans="1:33" ht="16.5" customHeight="1">
      <c r="A20" s="199" t="s">
        <v>810</v>
      </c>
      <c r="B20" s="4" t="s">
        <v>78</v>
      </c>
      <c r="C20" s="217" t="s">
        <v>94</v>
      </c>
      <c r="D20" s="218"/>
      <c r="E20" s="37">
        <v>57.3</v>
      </c>
      <c r="F20" s="4">
        <v>2129</v>
      </c>
      <c r="G20" s="4">
        <f t="shared" si="15"/>
        <v>121991.7</v>
      </c>
      <c r="H20" s="22" t="s">
        <v>139</v>
      </c>
      <c r="I20" s="16">
        <v>13</v>
      </c>
      <c r="J20" s="18">
        <v>2000</v>
      </c>
      <c r="K20" s="17">
        <f t="shared" si="1"/>
        <v>153.84615384615384</v>
      </c>
      <c r="L20" s="16">
        <v>13</v>
      </c>
      <c r="M20" s="18">
        <f t="shared" si="16"/>
        <v>1906.5671641791021</v>
      </c>
      <c r="N20" s="17">
        <f t="shared" si="3"/>
        <v>146.65901262916171</v>
      </c>
      <c r="O20" s="19">
        <f t="shared" si="4"/>
        <v>0</v>
      </c>
      <c r="P20" s="20">
        <f t="shared" si="5"/>
        <v>-7.1871412169921314</v>
      </c>
      <c r="Q20" s="21">
        <f t="shared" si="6"/>
        <v>0.95328358208955111</v>
      </c>
      <c r="R20" s="172"/>
      <c r="S20" s="28">
        <v>0.80208333333333337</v>
      </c>
      <c r="T20" s="28">
        <v>0.8486111111111112</v>
      </c>
      <c r="U20" s="4">
        <f t="shared" si="18"/>
        <v>5.9999999999999787</v>
      </c>
      <c r="V20" s="22">
        <f t="shared" si="17"/>
        <v>67.000000000000085</v>
      </c>
      <c r="W20" s="23">
        <f>T20</f>
        <v>0.8486111111111112</v>
      </c>
      <c r="X20" s="23">
        <f>S21</f>
        <v>0.88680555555555562</v>
      </c>
      <c r="Y20" s="26"/>
      <c r="Z20" s="26"/>
      <c r="AA20" s="175"/>
      <c r="AB20" s="176"/>
      <c r="AC20" s="25"/>
      <c r="AD20" s="25"/>
      <c r="AE20" s="19">
        <f t="shared" si="8"/>
        <v>-93.432835820897935</v>
      </c>
      <c r="AF20" s="21">
        <f t="shared" si="9"/>
        <v>0.953283582089551</v>
      </c>
      <c r="AG20" s="172"/>
    </row>
    <row r="21" spans="1:33" ht="16.5" customHeight="1">
      <c r="A21" s="199" t="s">
        <v>810</v>
      </c>
      <c r="B21" s="4" t="s">
        <v>78</v>
      </c>
      <c r="C21" s="39" t="s">
        <v>91</v>
      </c>
      <c r="D21" s="40"/>
      <c r="E21" s="37">
        <v>50.98</v>
      </c>
      <c r="F21" s="4">
        <v>1773</v>
      </c>
      <c r="G21" s="4">
        <f t="shared" si="15"/>
        <v>90387.54</v>
      </c>
      <c r="H21" s="22" t="s">
        <v>139</v>
      </c>
      <c r="I21" s="16">
        <v>16</v>
      </c>
      <c r="J21" s="18">
        <v>2000</v>
      </c>
      <c r="K21" s="17">
        <f t="shared" si="1"/>
        <v>125</v>
      </c>
      <c r="L21" s="16">
        <v>16</v>
      </c>
      <c r="M21" s="18">
        <f t="shared" si="16"/>
        <v>1934.1818181818194</v>
      </c>
      <c r="N21" s="17">
        <f t="shared" si="3"/>
        <v>120.88636363636371</v>
      </c>
      <c r="O21" s="19">
        <f t="shared" si="4"/>
        <v>0</v>
      </c>
      <c r="P21" s="20">
        <f t="shared" si="5"/>
        <v>-4.1136363636362887</v>
      </c>
      <c r="Q21" s="21">
        <f t="shared" si="6"/>
        <v>0.96709090909090967</v>
      </c>
      <c r="R21" s="172"/>
      <c r="S21" s="28">
        <v>0.88680555555555562</v>
      </c>
      <c r="T21" s="28">
        <v>0.92500000000000004</v>
      </c>
      <c r="U21" s="4">
        <f t="shared" si="18"/>
        <v>54.999999999999964</v>
      </c>
      <c r="V21" s="22">
        <f t="shared" si="17"/>
        <v>54.999999999999964</v>
      </c>
      <c r="W21" s="23"/>
      <c r="X21" s="23"/>
      <c r="Y21" s="26"/>
      <c r="Z21" s="26"/>
      <c r="AA21" s="175"/>
      <c r="AB21" s="176"/>
      <c r="AC21" s="25"/>
      <c r="AD21" s="25"/>
      <c r="AE21" s="19">
        <f t="shared" si="8"/>
        <v>-65.818181818180619</v>
      </c>
      <c r="AF21" s="21">
        <f t="shared" si="9"/>
        <v>0.96709090909090967</v>
      </c>
      <c r="AG21" s="172"/>
    </row>
    <row r="22" spans="1:33" ht="16.5" customHeight="1">
      <c r="A22" s="199" t="s">
        <v>810</v>
      </c>
      <c r="B22" s="37" t="s">
        <v>808</v>
      </c>
      <c r="C22" s="177"/>
      <c r="D22" s="177"/>
      <c r="E22" s="38"/>
      <c r="F22" s="17"/>
      <c r="G22" s="17"/>
      <c r="H22" s="4"/>
      <c r="I22" s="30">
        <v>17</v>
      </c>
      <c r="J22" s="18">
        <v>1857.1428571428571</v>
      </c>
      <c r="K22" s="17">
        <f t="shared" si="1"/>
        <v>109.24369747899159</v>
      </c>
      <c r="L22" s="30">
        <v>17</v>
      </c>
      <c r="M22" s="18">
        <f>AVERAGE(M15:M21)</f>
        <v>1789.0663400131768</v>
      </c>
      <c r="N22" s="17">
        <f t="shared" si="3"/>
        <v>105.23919647136334</v>
      </c>
      <c r="O22" s="19">
        <f t="shared" si="4"/>
        <v>0</v>
      </c>
      <c r="P22" s="20">
        <f t="shared" si="5"/>
        <v>-4.0045010076282495</v>
      </c>
      <c r="Q22" s="21">
        <f t="shared" si="6"/>
        <v>0.96334341385324906</v>
      </c>
      <c r="R22" s="172"/>
      <c r="S22" s="28"/>
      <c r="T22" s="28"/>
      <c r="U22" s="4"/>
      <c r="V22" s="22"/>
      <c r="W22" s="17"/>
      <c r="X22" s="17"/>
      <c r="Y22" s="31">
        <f>SUM(Y15:Y21)</f>
        <v>0</v>
      </c>
      <c r="Z22" s="31">
        <f>SUM(Z15:Z21)</f>
        <v>0</v>
      </c>
      <c r="AA22" s="168"/>
      <c r="AB22" s="168"/>
      <c r="AC22" s="31">
        <f>SUM(AC15:AC21)</f>
        <v>7</v>
      </c>
      <c r="AD22" s="31">
        <f>SUM(AD15:AD21)</f>
        <v>0</v>
      </c>
      <c r="AE22" s="19">
        <f t="shared" si="8"/>
        <v>-68.076517129680269</v>
      </c>
      <c r="AF22" s="21">
        <f t="shared" si="9"/>
        <v>0.96334341385324906</v>
      </c>
      <c r="AG22" s="172"/>
    </row>
    <row r="23" spans="1:33" ht="15.75" customHeight="1">
      <c r="A23" s="194" t="s">
        <v>812</v>
      </c>
      <c r="B23" s="37" t="s">
        <v>78</v>
      </c>
      <c r="C23" s="190" t="s">
        <v>95</v>
      </c>
      <c r="D23" s="190"/>
      <c r="E23" s="37">
        <v>57.73</v>
      </c>
      <c r="F23" s="4">
        <v>2883</v>
      </c>
      <c r="G23" s="4">
        <f t="shared" ref="G23:G28" si="19">E23*F23</f>
        <v>166435.59</v>
      </c>
      <c r="H23" s="22" t="s">
        <v>139</v>
      </c>
      <c r="I23" s="16">
        <v>14</v>
      </c>
      <c r="J23" s="18">
        <v>2000</v>
      </c>
      <c r="K23" s="17">
        <f t="shared" si="1"/>
        <v>142.85714285714286</v>
      </c>
      <c r="L23" s="16">
        <v>14</v>
      </c>
      <c r="M23" s="18">
        <f t="shared" ref="M23:M28" si="20">F23/V23*60</f>
        <v>1921.9999999999991</v>
      </c>
      <c r="N23" s="17">
        <f t="shared" si="3"/>
        <v>137.28571428571422</v>
      </c>
      <c r="O23" s="19">
        <f t="shared" si="4"/>
        <v>0</v>
      </c>
      <c r="P23" s="20">
        <f t="shared" si="5"/>
        <v>-5.5714285714286405</v>
      </c>
      <c r="Q23" s="21">
        <f t="shared" si="6"/>
        <v>0.96099999999999952</v>
      </c>
      <c r="R23" s="172">
        <f>Q29</f>
        <v>0.96265797101449258</v>
      </c>
      <c r="S23" s="28">
        <v>0.20833333333333334</v>
      </c>
      <c r="T23" s="28">
        <v>0.27083333333333337</v>
      </c>
      <c r="U23" s="4"/>
      <c r="V23" s="22">
        <f t="shared" ref="V23:V28" si="21">(T23-S23)*24*60</f>
        <v>90.000000000000043</v>
      </c>
      <c r="W23" s="28"/>
      <c r="X23" s="28"/>
      <c r="Y23" s="28"/>
      <c r="Z23" s="28"/>
      <c r="AA23" s="164"/>
      <c r="AB23" s="164"/>
      <c r="AC23" s="25">
        <v>6</v>
      </c>
      <c r="AD23" s="25"/>
      <c r="AE23" s="19">
        <f t="shared" si="8"/>
        <v>-78.000000000000909</v>
      </c>
      <c r="AF23" s="21">
        <f t="shared" si="9"/>
        <v>0.96099999999999952</v>
      </c>
      <c r="AG23" s="172">
        <f>AF29</f>
        <v>0.96265797101449258</v>
      </c>
    </row>
    <row r="24" spans="1:33" ht="15.75" customHeight="1">
      <c r="A24" s="195" t="s">
        <v>812</v>
      </c>
      <c r="B24" s="37" t="s">
        <v>78</v>
      </c>
      <c r="C24" s="190" t="s">
        <v>96</v>
      </c>
      <c r="D24" s="190"/>
      <c r="E24" s="37">
        <v>53.68</v>
      </c>
      <c r="F24" s="4">
        <v>1592</v>
      </c>
      <c r="G24" s="4">
        <f t="shared" si="19"/>
        <v>85458.559999999998</v>
      </c>
      <c r="H24" s="22" t="s">
        <v>139</v>
      </c>
      <c r="I24" s="16">
        <v>16</v>
      </c>
      <c r="J24" s="18">
        <v>2000</v>
      </c>
      <c r="K24" s="17">
        <f t="shared" si="1"/>
        <v>125</v>
      </c>
      <c r="L24" s="16">
        <v>16</v>
      </c>
      <c r="M24" s="18">
        <f t="shared" si="20"/>
        <v>1910.4000000000005</v>
      </c>
      <c r="N24" s="17">
        <f t="shared" si="3"/>
        <v>119.40000000000003</v>
      </c>
      <c r="O24" s="19">
        <f t="shared" si="4"/>
        <v>0</v>
      </c>
      <c r="P24" s="20">
        <f t="shared" si="5"/>
        <v>-5.5999999999999659</v>
      </c>
      <c r="Q24" s="21">
        <f t="shared" si="6"/>
        <v>0.95520000000000027</v>
      </c>
      <c r="R24" s="172"/>
      <c r="S24" s="28">
        <v>0.27638888888888891</v>
      </c>
      <c r="T24" s="28">
        <v>0.31111111111111112</v>
      </c>
      <c r="U24" s="4">
        <f t="shared" ref="U24:U28" si="22">IF(S24=TIME(17,0,0),"",(S24-T23)*24*60)</f>
        <v>7.9999999999999716</v>
      </c>
      <c r="V24" s="22">
        <f t="shared" si="21"/>
        <v>49.999999999999986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-89.599999999999454</v>
      </c>
      <c r="AF24" s="21">
        <f t="shared" si="9"/>
        <v>0.95520000000000027</v>
      </c>
      <c r="AG24" s="172"/>
    </row>
    <row r="25" spans="1:33" ht="15.75" customHeight="1">
      <c r="A25" s="195" t="s">
        <v>812</v>
      </c>
      <c r="B25" s="37" t="s">
        <v>78</v>
      </c>
      <c r="C25" s="190" t="s">
        <v>97</v>
      </c>
      <c r="D25" s="190"/>
      <c r="E25" s="37">
        <v>50.49</v>
      </c>
      <c r="F25" s="4">
        <v>2311</v>
      </c>
      <c r="G25" s="4">
        <f t="shared" si="19"/>
        <v>116682.39</v>
      </c>
      <c r="H25" s="22" t="s">
        <v>139</v>
      </c>
      <c r="I25" s="16">
        <v>15</v>
      </c>
      <c r="J25" s="18">
        <v>2000</v>
      </c>
      <c r="K25" s="17">
        <f t="shared" si="1"/>
        <v>133.33333333333334</v>
      </c>
      <c r="L25" s="16">
        <v>15</v>
      </c>
      <c r="M25" s="18">
        <f t="shared" si="20"/>
        <v>1925.8333333333321</v>
      </c>
      <c r="N25" s="17">
        <f t="shared" si="3"/>
        <v>128.3888888888888</v>
      </c>
      <c r="O25" s="19">
        <f t="shared" si="4"/>
        <v>0</v>
      </c>
      <c r="P25" s="20">
        <f t="shared" si="5"/>
        <v>-4.9444444444445423</v>
      </c>
      <c r="Q25" s="21">
        <f t="shared" si="6"/>
        <v>0.96291666666666598</v>
      </c>
      <c r="R25" s="172"/>
      <c r="S25" s="28">
        <v>0.70833333333333337</v>
      </c>
      <c r="T25" s="28">
        <v>0.75833333333333341</v>
      </c>
      <c r="U25" s="4" t="str">
        <f t="shared" si="22"/>
        <v/>
      </c>
      <c r="V25" s="22">
        <f t="shared" si="21"/>
        <v>72.000000000000057</v>
      </c>
      <c r="W25" s="23"/>
      <c r="X25" s="4"/>
      <c r="Y25" s="4"/>
      <c r="Z25" s="4"/>
      <c r="AA25" s="164"/>
      <c r="AB25" s="164"/>
      <c r="AC25" s="25"/>
      <c r="AD25" s="25"/>
      <c r="AE25" s="19">
        <f t="shared" si="8"/>
        <v>-74.166666666667879</v>
      </c>
      <c r="AF25" s="21">
        <f t="shared" si="9"/>
        <v>0.96291666666666609</v>
      </c>
      <c r="AG25" s="172"/>
    </row>
    <row r="26" spans="1:33" ht="15.75" customHeight="1">
      <c r="A26" s="195" t="s">
        <v>812</v>
      </c>
      <c r="B26" s="37" t="s">
        <v>78</v>
      </c>
      <c r="C26" s="190" t="s">
        <v>98</v>
      </c>
      <c r="D26" s="190"/>
      <c r="E26" s="37">
        <v>50.67</v>
      </c>
      <c r="F26" s="4">
        <v>1161</v>
      </c>
      <c r="G26" s="4">
        <f t="shared" si="19"/>
        <v>58827.87</v>
      </c>
      <c r="H26" s="22" t="s">
        <v>139</v>
      </c>
      <c r="I26" s="16">
        <v>16</v>
      </c>
      <c r="J26" s="18">
        <v>2000</v>
      </c>
      <c r="K26" s="17">
        <f t="shared" si="1"/>
        <v>125</v>
      </c>
      <c r="L26" s="16">
        <v>16</v>
      </c>
      <c r="M26" s="18">
        <f t="shared" si="20"/>
        <v>1934.9999999999982</v>
      </c>
      <c r="N26" s="17">
        <f t="shared" si="3"/>
        <v>120.93749999999989</v>
      </c>
      <c r="O26" s="19">
        <f t="shared" si="4"/>
        <v>0</v>
      </c>
      <c r="P26" s="20">
        <f t="shared" si="5"/>
        <v>-4.0625000000001137</v>
      </c>
      <c r="Q26" s="21">
        <f t="shared" si="6"/>
        <v>0.96749999999999914</v>
      </c>
      <c r="R26" s="172"/>
      <c r="S26" s="28">
        <v>0.76319444444444451</v>
      </c>
      <c r="T26" s="28">
        <v>0.78819444444444453</v>
      </c>
      <c r="U26" s="4">
        <f t="shared" si="22"/>
        <v>6.9999999999999751</v>
      </c>
      <c r="V26" s="22">
        <f t="shared" si="21"/>
        <v>36.000000000000028</v>
      </c>
      <c r="W26" s="23"/>
      <c r="X26" s="4"/>
      <c r="Y26" s="4"/>
      <c r="Z26" s="4"/>
      <c r="AA26" s="164"/>
      <c r="AB26" s="164"/>
      <c r="AC26" s="25"/>
      <c r="AD26" s="25"/>
      <c r="AE26" s="19">
        <f t="shared" si="8"/>
        <v>-65.000000000001819</v>
      </c>
      <c r="AF26" s="21">
        <f t="shared" si="9"/>
        <v>0.96749999999999914</v>
      </c>
      <c r="AG26" s="172"/>
    </row>
    <row r="27" spans="1:33" ht="15.75" customHeight="1">
      <c r="A27" s="195" t="s">
        <v>812</v>
      </c>
      <c r="B27" s="37" t="s">
        <v>78</v>
      </c>
      <c r="C27" s="190" t="s">
        <v>99</v>
      </c>
      <c r="D27" s="190"/>
      <c r="E27" s="37">
        <v>53.68</v>
      </c>
      <c r="F27" s="4">
        <v>2165</v>
      </c>
      <c r="G27" s="4">
        <f t="shared" si="19"/>
        <v>116217.2</v>
      </c>
      <c r="H27" s="22" t="s">
        <v>139</v>
      </c>
      <c r="I27" s="16">
        <v>16</v>
      </c>
      <c r="J27" s="18">
        <v>1500</v>
      </c>
      <c r="K27" s="17">
        <f t="shared" si="1"/>
        <v>93.75</v>
      </c>
      <c r="L27" s="16">
        <v>16</v>
      </c>
      <c r="M27" s="18">
        <f t="shared" si="20"/>
        <v>1443.3333333333335</v>
      </c>
      <c r="N27" s="17">
        <f t="shared" si="3"/>
        <v>90.208333333333343</v>
      </c>
      <c r="O27" s="19">
        <f t="shared" si="4"/>
        <v>0</v>
      </c>
      <c r="P27" s="20">
        <f t="shared" si="5"/>
        <v>-3.5416666666666572</v>
      </c>
      <c r="Q27" s="21">
        <f t="shared" si="6"/>
        <v>0.96222222222222231</v>
      </c>
      <c r="R27" s="172"/>
      <c r="S27" s="28">
        <v>0.79236111111111118</v>
      </c>
      <c r="T27" s="28">
        <v>0.85486111111111118</v>
      </c>
      <c r="U27" s="4">
        <f t="shared" si="22"/>
        <v>5.9999999999999787</v>
      </c>
      <c r="V27" s="22">
        <f t="shared" si="21"/>
        <v>90</v>
      </c>
      <c r="W27" s="23">
        <f>T27</f>
        <v>0.85486111111111118</v>
      </c>
      <c r="X27" s="23">
        <f>S28</f>
        <v>0.89513888888888893</v>
      </c>
      <c r="Y27" s="4"/>
      <c r="Z27" s="4"/>
      <c r="AA27" s="164"/>
      <c r="AB27" s="164"/>
      <c r="AC27" s="25"/>
      <c r="AD27" s="25"/>
      <c r="AE27" s="19">
        <f t="shared" si="8"/>
        <v>-56.666666666666515</v>
      </c>
      <c r="AF27" s="21">
        <f t="shared" si="9"/>
        <v>0.96222222222222231</v>
      </c>
      <c r="AG27" s="172"/>
    </row>
    <row r="28" spans="1:33" ht="15.75" customHeight="1">
      <c r="A28" s="195" t="s">
        <v>812</v>
      </c>
      <c r="B28" s="37" t="s">
        <v>78</v>
      </c>
      <c r="C28" s="190" t="s">
        <v>92</v>
      </c>
      <c r="D28" s="190"/>
      <c r="E28" s="37">
        <v>50.92</v>
      </c>
      <c r="F28" s="4">
        <v>1934</v>
      </c>
      <c r="G28" s="4">
        <f t="shared" si="19"/>
        <v>98479.28</v>
      </c>
      <c r="H28" s="22" t="s">
        <v>139</v>
      </c>
      <c r="I28" s="16">
        <v>15</v>
      </c>
      <c r="J28" s="18">
        <v>2000</v>
      </c>
      <c r="K28" s="17">
        <f t="shared" si="1"/>
        <v>133.33333333333334</v>
      </c>
      <c r="L28" s="16">
        <v>15</v>
      </c>
      <c r="M28" s="18">
        <f t="shared" si="20"/>
        <v>1934.0000000000018</v>
      </c>
      <c r="N28" s="17">
        <f t="shared" si="3"/>
        <v>128.93333333333345</v>
      </c>
      <c r="O28" s="19">
        <f t="shared" si="4"/>
        <v>0</v>
      </c>
      <c r="P28" s="20">
        <f t="shared" si="5"/>
        <v>-4.399999999999892</v>
      </c>
      <c r="Q28" s="21">
        <f t="shared" si="6"/>
        <v>0.96700000000000086</v>
      </c>
      <c r="R28" s="172"/>
      <c r="S28" s="28">
        <v>0.89513888888888893</v>
      </c>
      <c r="T28" s="28">
        <v>0.93680555555555556</v>
      </c>
      <c r="U28" s="4">
        <f t="shared" si="22"/>
        <v>57.999999999999957</v>
      </c>
      <c r="V28" s="22">
        <f t="shared" si="21"/>
        <v>59.999999999999943</v>
      </c>
      <c r="W28" s="23"/>
      <c r="X28" s="28"/>
      <c r="Y28" s="28"/>
      <c r="Z28" s="28"/>
      <c r="AA28" s="164"/>
      <c r="AB28" s="164"/>
      <c r="AC28" s="25"/>
      <c r="AD28" s="25"/>
      <c r="AE28" s="19">
        <f t="shared" si="8"/>
        <v>-65.999999999998181</v>
      </c>
      <c r="AF28" s="21">
        <f t="shared" si="9"/>
        <v>0.96700000000000086</v>
      </c>
      <c r="AG28" s="172"/>
    </row>
    <row r="29" spans="1:33" ht="15.75" customHeight="1">
      <c r="A29" s="195" t="s">
        <v>812</v>
      </c>
      <c r="B29" s="37" t="s">
        <v>808</v>
      </c>
      <c r="C29" s="177"/>
      <c r="D29" s="177"/>
      <c r="E29" s="38"/>
      <c r="F29" s="4"/>
      <c r="G29" s="4"/>
      <c r="H29" s="4"/>
      <c r="I29" s="30">
        <v>15.333333333333334</v>
      </c>
      <c r="J29" s="18">
        <v>1916.6666666666667</v>
      </c>
      <c r="K29" s="17">
        <f t="shared" si="1"/>
        <v>125</v>
      </c>
      <c r="L29" s="30">
        <v>15.333333333333334</v>
      </c>
      <c r="M29" s="18">
        <f>AVERAGE(M23:M28)</f>
        <v>1845.0944444444442</v>
      </c>
      <c r="N29" s="17">
        <f t="shared" si="3"/>
        <v>120.33224637681157</v>
      </c>
      <c r="O29" s="19">
        <f t="shared" si="4"/>
        <v>0</v>
      </c>
      <c r="P29" s="20">
        <f t="shared" si="5"/>
        <v>-4.6677536231884318</v>
      </c>
      <c r="Q29" s="21">
        <f t="shared" si="6"/>
        <v>0.96265797101449258</v>
      </c>
      <c r="R29" s="172"/>
      <c r="S29" s="28"/>
      <c r="T29" s="28"/>
      <c r="U29" s="17"/>
      <c r="V29" s="22"/>
      <c r="W29" s="17"/>
      <c r="X29" s="17"/>
      <c r="Y29" s="31">
        <f>SUM(Y23:Y28)</f>
        <v>0</v>
      </c>
      <c r="Z29" s="31">
        <f>SUM(Z23:Z28)</f>
        <v>0</v>
      </c>
      <c r="AA29" s="168"/>
      <c r="AB29" s="168"/>
      <c r="AC29" s="31">
        <f>SUM(AC23:AC28)</f>
        <v>6</v>
      </c>
      <c r="AD29" s="31">
        <f>SUM(AD23:AD28)</f>
        <v>0</v>
      </c>
      <c r="AE29" s="19">
        <f t="shared" si="8"/>
        <v>-71.572222222222535</v>
      </c>
      <c r="AF29" s="21">
        <f t="shared" si="9"/>
        <v>0.96265797101449258</v>
      </c>
      <c r="AG29" s="172"/>
    </row>
    <row r="30" spans="1:33" ht="15.75" customHeight="1">
      <c r="A30" s="193" t="s">
        <v>813</v>
      </c>
      <c r="B30" s="37" t="s">
        <v>100</v>
      </c>
      <c r="C30" s="190" t="s">
        <v>101</v>
      </c>
      <c r="D30" s="190"/>
      <c r="E30" s="37">
        <v>31.29</v>
      </c>
      <c r="F30" s="4">
        <v>5600</v>
      </c>
      <c r="G30" s="4">
        <f t="shared" ref="G30:G35" si="23">E30*F30</f>
        <v>175224</v>
      </c>
      <c r="H30" s="22">
        <v>2</v>
      </c>
      <c r="I30" s="16">
        <v>18</v>
      </c>
      <c r="J30" s="18">
        <v>2400</v>
      </c>
      <c r="K30" s="17">
        <f t="shared" si="1"/>
        <v>133.33333333333334</v>
      </c>
      <c r="L30" s="16">
        <v>18</v>
      </c>
      <c r="M30" s="18">
        <f t="shared" ref="M30:M35" si="24">F30/V30*60</f>
        <v>2285.7142857142858</v>
      </c>
      <c r="N30" s="17">
        <f t="shared" si="3"/>
        <v>126.98412698412699</v>
      </c>
      <c r="O30" s="19">
        <f t="shared" si="4"/>
        <v>0</v>
      </c>
      <c r="P30" s="20">
        <f t="shared" si="5"/>
        <v>-6.3492063492063551</v>
      </c>
      <c r="Q30" s="21">
        <f t="shared" si="6"/>
        <v>0.95238095238095233</v>
      </c>
      <c r="R30" s="172">
        <f>Q36</f>
        <v>0.95613287090068244</v>
      </c>
      <c r="S30" s="28">
        <v>8.3333333333333329E-2</v>
      </c>
      <c r="T30" s="28">
        <v>0.18541666666666667</v>
      </c>
      <c r="U30" s="4"/>
      <c r="V30" s="22">
        <f t="shared" ref="V30:V35" si="25">(T30-S30)*24*60</f>
        <v>147</v>
      </c>
      <c r="W30" s="23">
        <f>T30</f>
        <v>0.18541666666666667</v>
      </c>
      <c r="X30" s="23">
        <f>S31</f>
        <v>0.20416666666666669</v>
      </c>
      <c r="Y30" s="23"/>
      <c r="Z30" s="23"/>
      <c r="AA30" s="164"/>
      <c r="AB30" s="164"/>
      <c r="AC30" s="25">
        <v>6</v>
      </c>
      <c r="AD30" s="25"/>
      <c r="AE30" s="19">
        <f t="shared" si="8"/>
        <v>-114.28571428571422</v>
      </c>
      <c r="AF30" s="21">
        <f t="shared" si="9"/>
        <v>0.95238095238095244</v>
      </c>
      <c r="AG30" s="172">
        <f>AF36</f>
        <v>0.95613287090068244</v>
      </c>
    </row>
    <row r="31" spans="1:33" ht="15.75" customHeight="1">
      <c r="A31" s="193" t="s">
        <v>813</v>
      </c>
      <c r="B31" s="37" t="s">
        <v>100</v>
      </c>
      <c r="C31" s="190" t="s">
        <v>102</v>
      </c>
      <c r="D31" s="190"/>
      <c r="E31" s="37">
        <v>26.2</v>
      </c>
      <c r="F31" s="4">
        <v>3000</v>
      </c>
      <c r="G31" s="4">
        <f t="shared" si="23"/>
        <v>78600</v>
      </c>
      <c r="H31" s="22">
        <v>2</v>
      </c>
      <c r="I31" s="16">
        <v>20</v>
      </c>
      <c r="J31" s="18">
        <v>2400</v>
      </c>
      <c r="K31" s="17">
        <f t="shared" si="1"/>
        <v>120</v>
      </c>
      <c r="L31" s="16">
        <v>20</v>
      </c>
      <c r="M31" s="18">
        <f t="shared" si="24"/>
        <v>2307.6923076923076</v>
      </c>
      <c r="N31" s="17">
        <f t="shared" si="3"/>
        <v>115.38461538461539</v>
      </c>
      <c r="O31" s="19">
        <f t="shared" si="4"/>
        <v>0</v>
      </c>
      <c r="P31" s="20">
        <f t="shared" si="5"/>
        <v>-4.6153846153846132</v>
      </c>
      <c r="Q31" s="21">
        <f t="shared" si="6"/>
        <v>0.96153846153846156</v>
      </c>
      <c r="R31" s="172"/>
      <c r="S31" s="28">
        <v>0.20416666666666669</v>
      </c>
      <c r="T31" s="28">
        <v>0.25833333333333336</v>
      </c>
      <c r="U31" s="4">
        <f t="shared" ref="U31:U35" si="26">(S31-T30)*24*60</f>
        <v>27.000000000000025</v>
      </c>
      <c r="V31" s="22">
        <f t="shared" si="25"/>
        <v>78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8"/>
        <v>-92.307692307692378</v>
      </c>
      <c r="AF31" s="21">
        <f t="shared" si="9"/>
        <v>0.96153846153846156</v>
      </c>
      <c r="AG31" s="172"/>
    </row>
    <row r="32" spans="1:33" ht="15.75" customHeight="1">
      <c r="A32" s="193" t="s">
        <v>813</v>
      </c>
      <c r="B32" s="37" t="s">
        <v>100</v>
      </c>
      <c r="C32" s="190" t="s">
        <v>103</v>
      </c>
      <c r="D32" s="190"/>
      <c r="E32" s="37">
        <v>25.99</v>
      </c>
      <c r="F32" s="4">
        <v>4428</v>
      </c>
      <c r="G32" s="4">
        <f t="shared" si="23"/>
        <v>115083.71999999999</v>
      </c>
      <c r="H32" s="22" t="s">
        <v>139</v>
      </c>
      <c r="I32" s="16">
        <v>14</v>
      </c>
      <c r="J32" s="18">
        <v>2400</v>
      </c>
      <c r="K32" s="17">
        <f t="shared" si="1"/>
        <v>171.42857142857142</v>
      </c>
      <c r="L32" s="16">
        <v>14</v>
      </c>
      <c r="M32" s="18">
        <f t="shared" si="24"/>
        <v>2290.344827586207</v>
      </c>
      <c r="N32" s="17">
        <f t="shared" si="3"/>
        <v>163.5960591133005</v>
      </c>
      <c r="O32" s="19">
        <f t="shared" si="4"/>
        <v>0</v>
      </c>
      <c r="P32" s="20">
        <f t="shared" si="5"/>
        <v>-7.8325123152709182</v>
      </c>
      <c r="Q32" s="21">
        <f t="shared" si="6"/>
        <v>0.95431034482758625</v>
      </c>
      <c r="R32" s="172"/>
      <c r="S32" s="28">
        <v>0.2638888888888889</v>
      </c>
      <c r="T32" s="28">
        <v>0.34444444444444444</v>
      </c>
      <c r="U32" s="4">
        <f t="shared" si="26"/>
        <v>7.9999999999999716</v>
      </c>
      <c r="V32" s="22">
        <f t="shared" si="25"/>
        <v>115.99999999999999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8"/>
        <v>-109.65517241379303</v>
      </c>
      <c r="AF32" s="21">
        <f t="shared" si="9"/>
        <v>0.95431034482758625</v>
      </c>
      <c r="AG32" s="172"/>
    </row>
    <row r="33" spans="1:33" ht="15.75" customHeight="1">
      <c r="A33" s="193" t="s">
        <v>813</v>
      </c>
      <c r="B33" s="37" t="s">
        <v>100</v>
      </c>
      <c r="C33" s="190" t="s">
        <v>104</v>
      </c>
      <c r="D33" s="190"/>
      <c r="E33" s="37">
        <v>20.52</v>
      </c>
      <c r="F33" s="4">
        <v>4557</v>
      </c>
      <c r="G33" s="4">
        <f t="shared" si="23"/>
        <v>93509.64</v>
      </c>
      <c r="H33" s="22" t="s">
        <v>139</v>
      </c>
      <c r="I33" s="16">
        <v>18</v>
      </c>
      <c r="J33" s="18">
        <v>2400</v>
      </c>
      <c r="K33" s="17">
        <f t="shared" si="1"/>
        <v>133.33333333333334</v>
      </c>
      <c r="L33" s="16">
        <v>18</v>
      </c>
      <c r="M33" s="18">
        <f t="shared" si="24"/>
        <v>2297.6470588235302</v>
      </c>
      <c r="N33" s="17">
        <f t="shared" si="3"/>
        <v>127.64705882352945</v>
      </c>
      <c r="O33" s="19">
        <f t="shared" si="4"/>
        <v>0</v>
      </c>
      <c r="P33" s="20">
        <f t="shared" si="5"/>
        <v>-5.6862745098038943</v>
      </c>
      <c r="Q33" s="21">
        <f t="shared" si="6"/>
        <v>0.95735294117647085</v>
      </c>
      <c r="R33" s="172"/>
      <c r="S33" s="28">
        <v>0.34791666666666665</v>
      </c>
      <c r="T33" s="28">
        <v>0.43055555555555552</v>
      </c>
      <c r="U33" s="4">
        <f t="shared" si="26"/>
        <v>4.9999999999999822</v>
      </c>
      <c r="V33" s="22">
        <f t="shared" si="25"/>
        <v>118.99999999999997</v>
      </c>
      <c r="W33" s="23"/>
      <c r="X33" s="23"/>
      <c r="Y33" s="23"/>
      <c r="Z33" s="23"/>
      <c r="AA33" s="164"/>
      <c r="AB33" s="164"/>
      <c r="AC33" s="25"/>
      <c r="AD33" s="25"/>
      <c r="AE33" s="19">
        <f t="shared" si="8"/>
        <v>-102.35294117646981</v>
      </c>
      <c r="AF33" s="21">
        <f t="shared" si="9"/>
        <v>0.95735294117647096</v>
      </c>
      <c r="AG33" s="172"/>
    </row>
    <row r="34" spans="1:33" ht="15.75" customHeight="1">
      <c r="A34" s="193" t="s">
        <v>813</v>
      </c>
      <c r="B34" s="37" t="s">
        <v>100</v>
      </c>
      <c r="C34" s="190" t="s">
        <v>105</v>
      </c>
      <c r="D34" s="190"/>
      <c r="E34" s="37">
        <v>25.98</v>
      </c>
      <c r="F34" s="4">
        <v>3315</v>
      </c>
      <c r="G34" s="4">
        <f t="shared" si="23"/>
        <v>86123.7</v>
      </c>
      <c r="H34" s="22" t="s">
        <v>139</v>
      </c>
      <c r="I34" s="16">
        <v>21</v>
      </c>
      <c r="J34" s="18">
        <v>2400</v>
      </c>
      <c r="K34" s="17">
        <f t="shared" si="1"/>
        <v>114.28571428571429</v>
      </c>
      <c r="L34" s="16">
        <v>21</v>
      </c>
      <c r="M34" s="18">
        <f t="shared" si="24"/>
        <v>2286.2068965517237</v>
      </c>
      <c r="N34" s="17">
        <f t="shared" si="3"/>
        <v>108.8669950738916</v>
      </c>
      <c r="O34" s="19">
        <f t="shared" si="4"/>
        <v>0</v>
      </c>
      <c r="P34" s="20">
        <f t="shared" si="5"/>
        <v>-5.4187192118226903</v>
      </c>
      <c r="Q34" s="21">
        <f t="shared" si="6"/>
        <v>0.95258620689655149</v>
      </c>
      <c r="R34" s="172"/>
      <c r="S34" s="28">
        <v>0.43402777777777773</v>
      </c>
      <c r="T34" s="28">
        <v>0.49444444444444441</v>
      </c>
      <c r="U34" s="4">
        <f t="shared" si="26"/>
        <v>4.9999999999999822</v>
      </c>
      <c r="V34" s="22">
        <f t="shared" si="25"/>
        <v>87.000000000000014</v>
      </c>
      <c r="W34" s="23">
        <f>T34</f>
        <v>0.49444444444444441</v>
      </c>
      <c r="X34" s="23">
        <f>S35</f>
        <v>0.53472222222222221</v>
      </c>
      <c r="Y34" s="23"/>
      <c r="Z34" s="23"/>
      <c r="AA34" s="164"/>
      <c r="AB34" s="164"/>
      <c r="AC34" s="25"/>
      <c r="AD34" s="25"/>
      <c r="AE34" s="19">
        <f t="shared" si="8"/>
        <v>-113.79310344827627</v>
      </c>
      <c r="AF34" s="21">
        <f t="shared" si="9"/>
        <v>0.9525862068965516</v>
      </c>
      <c r="AG34" s="172"/>
    </row>
    <row r="35" spans="1:33" ht="15.75" customHeight="1">
      <c r="A35" s="193" t="s">
        <v>813</v>
      </c>
      <c r="B35" s="37" t="s">
        <v>100</v>
      </c>
      <c r="C35" s="190" t="s">
        <v>101</v>
      </c>
      <c r="D35" s="190"/>
      <c r="E35" s="37">
        <v>31.29</v>
      </c>
      <c r="F35" s="4">
        <v>4333</v>
      </c>
      <c r="G35" s="4">
        <f t="shared" si="23"/>
        <v>135579.57</v>
      </c>
      <c r="H35" s="22" t="s">
        <v>139</v>
      </c>
      <c r="I35" s="16">
        <v>18</v>
      </c>
      <c r="J35" s="18">
        <v>2400</v>
      </c>
      <c r="K35" s="17">
        <f t="shared" si="1"/>
        <v>133.33333333333334</v>
      </c>
      <c r="L35" s="16">
        <v>18</v>
      </c>
      <c r="M35" s="18">
        <f t="shared" si="24"/>
        <v>2300.7079646017714</v>
      </c>
      <c r="N35" s="17">
        <f t="shared" si="3"/>
        <v>127.81710914454285</v>
      </c>
      <c r="O35" s="19">
        <f t="shared" si="4"/>
        <v>0</v>
      </c>
      <c r="P35" s="20">
        <f t="shared" si="5"/>
        <v>-5.5162241887904884</v>
      </c>
      <c r="Q35" s="21">
        <f t="shared" si="6"/>
        <v>0.95862831858407138</v>
      </c>
      <c r="R35" s="172"/>
      <c r="S35" s="28">
        <v>0.53472222222222221</v>
      </c>
      <c r="T35" s="28">
        <v>0.61319444444444438</v>
      </c>
      <c r="U35" s="4">
        <f t="shared" si="26"/>
        <v>58.000000000000036</v>
      </c>
      <c r="V35" s="22">
        <f t="shared" si="25"/>
        <v>112.99999999999991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8"/>
        <v>-99.292035398228563</v>
      </c>
      <c r="AF35" s="21">
        <f t="shared" si="9"/>
        <v>0.95862831858407138</v>
      </c>
      <c r="AG35" s="172"/>
    </row>
    <row r="36" spans="1:33" ht="15.75" customHeight="1">
      <c r="A36" s="193" t="s">
        <v>813</v>
      </c>
      <c r="B36" s="37" t="s">
        <v>808</v>
      </c>
      <c r="C36" s="177"/>
      <c r="D36" s="177"/>
      <c r="E36" s="38"/>
      <c r="F36" s="4"/>
      <c r="G36" s="4"/>
      <c r="H36" s="4"/>
      <c r="I36" s="30">
        <v>18.166666666666668</v>
      </c>
      <c r="J36" s="18">
        <v>2400</v>
      </c>
      <c r="K36" s="17">
        <f t="shared" si="1"/>
        <v>132.11009174311926</v>
      </c>
      <c r="L36" s="30">
        <v>18.166666666666668</v>
      </c>
      <c r="M36" s="18">
        <f>AVERAGE(M30:M35)</f>
        <v>2294.7188901616378</v>
      </c>
      <c r="N36" s="17">
        <f t="shared" si="3"/>
        <v>126.31480129330116</v>
      </c>
      <c r="O36" s="19">
        <f t="shared" si="4"/>
        <v>0</v>
      </c>
      <c r="P36" s="20">
        <f t="shared" si="5"/>
        <v>-5.795290449818097</v>
      </c>
      <c r="Q36" s="21">
        <f t="shared" si="6"/>
        <v>0.95613287090068244</v>
      </c>
      <c r="R36" s="172"/>
      <c r="S36" s="28"/>
      <c r="T36" s="28"/>
      <c r="U36" s="4"/>
      <c r="V36" s="22"/>
      <c r="W36" s="4"/>
      <c r="X36" s="4"/>
      <c r="Y36" s="31">
        <f>SUM(Y30:Y35)</f>
        <v>0</v>
      </c>
      <c r="Z36" s="31">
        <f>SUM(Z30:Z35)</f>
        <v>0</v>
      </c>
      <c r="AA36" s="168"/>
      <c r="AB36" s="168"/>
      <c r="AC36" s="31">
        <f>SUM(AC30:AC35)</f>
        <v>6</v>
      </c>
      <c r="AD36" s="31">
        <f>SUM(AD30:AD35)</f>
        <v>0</v>
      </c>
      <c r="AE36" s="19">
        <f t="shared" si="8"/>
        <v>-105.28110983836223</v>
      </c>
      <c r="AF36" s="21">
        <f t="shared" si="9"/>
        <v>0.95613287090068244</v>
      </c>
      <c r="AG36" s="172"/>
    </row>
    <row r="37" spans="1:33" ht="15.75" customHeight="1">
      <c r="A37" s="191" t="s">
        <v>814</v>
      </c>
      <c r="B37" s="37" t="s">
        <v>100</v>
      </c>
      <c r="C37" s="165" t="s">
        <v>106</v>
      </c>
      <c r="D37" s="165"/>
      <c r="E37" s="37">
        <v>26.2</v>
      </c>
      <c r="F37" s="4">
        <v>7049</v>
      </c>
      <c r="G37" s="4">
        <f t="shared" ref="G37:G42" si="27">E37*F37</f>
        <v>184683.8</v>
      </c>
      <c r="H37" s="22" t="s">
        <v>139</v>
      </c>
      <c r="I37" s="16">
        <v>18</v>
      </c>
      <c r="J37" s="18">
        <v>2400</v>
      </c>
      <c r="K37" s="17">
        <f t="shared" si="1"/>
        <v>133.33333333333334</v>
      </c>
      <c r="L37" s="16">
        <v>18</v>
      </c>
      <c r="M37" s="18">
        <f t="shared" ref="M37:M42" si="28">F37/V37*60</f>
        <v>2286.1621621621616</v>
      </c>
      <c r="N37" s="17">
        <f t="shared" si="3"/>
        <v>127.00900900900898</v>
      </c>
      <c r="O37" s="19">
        <f t="shared" si="4"/>
        <v>0</v>
      </c>
      <c r="P37" s="20">
        <f t="shared" si="5"/>
        <v>-6.3243243243243654</v>
      </c>
      <c r="Q37" s="21">
        <f t="shared" si="6"/>
        <v>0.95256756756756722</v>
      </c>
      <c r="R37" s="172">
        <f>Q43</f>
        <v>0.95591918053670299</v>
      </c>
      <c r="S37" s="28">
        <v>8.3333333333333329E-2</v>
      </c>
      <c r="T37" s="28">
        <v>0.21180555555555558</v>
      </c>
      <c r="U37" s="4"/>
      <c r="V37" s="22">
        <f t="shared" ref="V37:V42" si="29">(T37-S37)*24*60</f>
        <v>185.00000000000006</v>
      </c>
      <c r="W37" s="28">
        <f>T37</f>
        <v>0.21180555555555558</v>
      </c>
      <c r="X37" s="28">
        <f>S38</f>
        <v>0.23125000000000004</v>
      </c>
      <c r="Y37" s="28"/>
      <c r="Z37" s="28"/>
      <c r="AA37" s="164"/>
      <c r="AB37" s="164"/>
      <c r="AC37" s="25">
        <v>6</v>
      </c>
      <c r="AD37" s="25"/>
      <c r="AE37" s="19">
        <f t="shared" si="8"/>
        <v>-113.83783783783838</v>
      </c>
      <c r="AF37" s="21">
        <f t="shared" si="9"/>
        <v>0.95256756756756733</v>
      </c>
      <c r="AG37" s="172">
        <f>AF43</f>
        <v>0.95591918053670288</v>
      </c>
    </row>
    <row r="38" spans="1:33" ht="15.75" customHeight="1">
      <c r="A38" s="191" t="s">
        <v>814</v>
      </c>
      <c r="B38" s="37" t="s">
        <v>100</v>
      </c>
      <c r="C38" s="165" t="s">
        <v>107</v>
      </c>
      <c r="D38" s="165"/>
      <c r="E38" s="37">
        <v>26.18</v>
      </c>
      <c r="F38" s="4">
        <v>2432</v>
      </c>
      <c r="G38" s="4">
        <f t="shared" si="27"/>
        <v>63669.760000000002</v>
      </c>
      <c r="H38" s="22" t="s">
        <v>139</v>
      </c>
      <c r="I38" s="16">
        <v>19</v>
      </c>
      <c r="J38" s="18">
        <v>2400</v>
      </c>
      <c r="K38" s="17">
        <f t="shared" si="1"/>
        <v>126.31578947368421</v>
      </c>
      <c r="L38" s="16">
        <v>19</v>
      </c>
      <c r="M38" s="18">
        <f t="shared" si="28"/>
        <v>2316.1904761904771</v>
      </c>
      <c r="N38" s="17">
        <f t="shared" si="3"/>
        <v>121.90476190476195</v>
      </c>
      <c r="O38" s="19">
        <f t="shared" si="4"/>
        <v>0</v>
      </c>
      <c r="P38" s="20">
        <f t="shared" si="5"/>
        <v>-4.4110275689222505</v>
      </c>
      <c r="Q38" s="21">
        <f t="shared" si="6"/>
        <v>0.96507936507936554</v>
      </c>
      <c r="R38" s="172"/>
      <c r="S38" s="28">
        <v>0.23125000000000004</v>
      </c>
      <c r="T38" s="28">
        <v>0.27500000000000002</v>
      </c>
      <c r="U38" s="4">
        <f t="shared" ref="U38:U42" si="30">(S38-T37)*24*60</f>
        <v>28.000000000000021</v>
      </c>
      <c r="V38" s="22">
        <f t="shared" si="29"/>
        <v>62.999999999999979</v>
      </c>
      <c r="W38" s="4"/>
      <c r="X38" s="4"/>
      <c r="Y38" s="4"/>
      <c r="Z38" s="4"/>
      <c r="AA38" s="164"/>
      <c r="AB38" s="164"/>
      <c r="AC38" s="25"/>
      <c r="AD38" s="25"/>
      <c r="AE38" s="19">
        <f t="shared" si="8"/>
        <v>-83.809523809522943</v>
      </c>
      <c r="AF38" s="21">
        <f t="shared" si="9"/>
        <v>0.96507936507936543</v>
      </c>
      <c r="AG38" s="172"/>
    </row>
    <row r="39" spans="1:33">
      <c r="A39" s="192" t="s">
        <v>814</v>
      </c>
      <c r="B39" s="37" t="s">
        <v>100</v>
      </c>
      <c r="C39" s="165" t="s">
        <v>108</v>
      </c>
      <c r="D39" s="165"/>
      <c r="E39" s="37">
        <v>26.39</v>
      </c>
      <c r="F39" s="4">
        <v>6420</v>
      </c>
      <c r="G39" s="4">
        <f t="shared" si="27"/>
        <v>169423.80000000002</v>
      </c>
      <c r="H39" s="22" t="s">
        <v>139</v>
      </c>
      <c r="I39" s="16">
        <v>19</v>
      </c>
      <c r="J39" s="18">
        <v>2400</v>
      </c>
      <c r="K39" s="17">
        <f t="shared" si="1"/>
        <v>126.31578947368421</v>
      </c>
      <c r="L39" s="16">
        <v>19</v>
      </c>
      <c r="M39" s="18">
        <f t="shared" si="28"/>
        <v>2292.8571428571431</v>
      </c>
      <c r="N39" s="17">
        <f t="shared" si="3"/>
        <v>120.67669172932332</v>
      </c>
      <c r="O39" s="19">
        <f t="shared" si="4"/>
        <v>0</v>
      </c>
      <c r="P39" s="20">
        <f t="shared" si="5"/>
        <v>-5.6390977443608818</v>
      </c>
      <c r="Q39" s="21">
        <f t="shared" si="6"/>
        <v>0.95535714285714302</v>
      </c>
      <c r="R39" s="172"/>
      <c r="S39" s="28">
        <v>0.27916666666666667</v>
      </c>
      <c r="T39" s="28">
        <v>0.39583333333333331</v>
      </c>
      <c r="U39" s="4">
        <f t="shared" si="30"/>
        <v>5.9999999999999787</v>
      </c>
      <c r="V39" s="22">
        <f t="shared" si="29"/>
        <v>167.99999999999997</v>
      </c>
      <c r="W39" s="4"/>
      <c r="X39" s="4"/>
      <c r="Y39" s="4"/>
      <c r="Z39" s="4"/>
      <c r="AA39" s="164"/>
      <c r="AB39" s="164"/>
      <c r="AC39" s="25"/>
      <c r="AD39" s="25"/>
      <c r="AE39" s="19">
        <f t="shared" si="8"/>
        <v>-107.14285714285688</v>
      </c>
      <c r="AF39" s="21">
        <f t="shared" si="9"/>
        <v>0.95535714285714302</v>
      </c>
      <c r="AG39" s="172"/>
    </row>
    <row r="40" spans="1:33">
      <c r="A40" s="192" t="s">
        <v>814</v>
      </c>
      <c r="B40" s="37" t="s">
        <v>100</v>
      </c>
      <c r="C40" s="165" t="s">
        <v>109</v>
      </c>
      <c r="D40" s="165"/>
      <c r="E40" s="37">
        <v>24.45</v>
      </c>
      <c r="F40" s="4">
        <v>2713</v>
      </c>
      <c r="G40" s="4">
        <f t="shared" si="27"/>
        <v>66332.849999999991</v>
      </c>
      <c r="H40" s="22" t="s">
        <v>139</v>
      </c>
      <c r="I40" s="16">
        <v>20</v>
      </c>
      <c r="J40" s="18">
        <v>2400</v>
      </c>
      <c r="K40" s="17">
        <f t="shared" si="1"/>
        <v>120</v>
      </c>
      <c r="L40" s="16">
        <v>20</v>
      </c>
      <c r="M40" s="18">
        <f t="shared" si="28"/>
        <v>2292.6760563380285</v>
      </c>
      <c r="N40" s="17">
        <f t="shared" si="3"/>
        <v>114.63380281690142</v>
      </c>
      <c r="O40" s="19">
        <f t="shared" si="4"/>
        <v>0</v>
      </c>
      <c r="P40" s="20">
        <f t="shared" si="5"/>
        <v>-5.3661971830985777</v>
      </c>
      <c r="Q40" s="21">
        <f t="shared" si="6"/>
        <v>0.95528169014084519</v>
      </c>
      <c r="R40" s="172"/>
      <c r="S40" s="28">
        <v>0.40138888888888885</v>
      </c>
      <c r="T40" s="28">
        <v>0.4506944444444444</v>
      </c>
      <c r="U40" s="4">
        <f t="shared" si="30"/>
        <v>7.9999999999999716</v>
      </c>
      <c r="V40" s="22">
        <f t="shared" si="29"/>
        <v>70.999999999999986</v>
      </c>
      <c r="W40" s="23"/>
      <c r="X40" s="23"/>
      <c r="Y40" s="23"/>
      <c r="Z40" s="23"/>
      <c r="AA40" s="164"/>
      <c r="AB40" s="164"/>
      <c r="AC40" s="25"/>
      <c r="AD40" s="25"/>
      <c r="AE40" s="19">
        <f t="shared" si="8"/>
        <v>-107.3239436619715</v>
      </c>
      <c r="AF40" s="21">
        <f t="shared" si="9"/>
        <v>0.95528169014084519</v>
      </c>
      <c r="AG40" s="172"/>
    </row>
    <row r="41" spans="1:33">
      <c r="A41" s="192" t="s">
        <v>814</v>
      </c>
      <c r="B41" s="37" t="s">
        <v>100</v>
      </c>
      <c r="C41" s="165" t="s">
        <v>134</v>
      </c>
      <c r="D41" s="165"/>
      <c r="E41" s="37">
        <v>20.52</v>
      </c>
      <c r="F41" s="4">
        <v>3283</v>
      </c>
      <c r="G41" s="4">
        <f t="shared" si="27"/>
        <v>67367.16</v>
      </c>
      <c r="H41" s="22" t="s">
        <v>139</v>
      </c>
      <c r="I41" s="16">
        <v>18</v>
      </c>
      <c r="J41" s="18">
        <v>2400</v>
      </c>
      <c r="K41" s="17">
        <f t="shared" si="1"/>
        <v>133.33333333333334</v>
      </c>
      <c r="L41" s="16">
        <v>18</v>
      </c>
      <c r="M41" s="18">
        <f t="shared" si="28"/>
        <v>2290.4651162790697</v>
      </c>
      <c r="N41" s="17">
        <f t="shared" si="3"/>
        <v>127.24806201550388</v>
      </c>
      <c r="O41" s="19">
        <f t="shared" si="4"/>
        <v>0</v>
      </c>
      <c r="P41" s="20">
        <f t="shared" si="5"/>
        <v>-6.0852713178294664</v>
      </c>
      <c r="Q41" s="21">
        <f t="shared" si="6"/>
        <v>0.95436046511627903</v>
      </c>
      <c r="R41" s="172"/>
      <c r="S41" s="28">
        <v>0.45486111111111105</v>
      </c>
      <c r="T41" s="28">
        <v>0.51458333333333328</v>
      </c>
      <c r="U41" s="4">
        <f t="shared" si="30"/>
        <v>5.9999999999999787</v>
      </c>
      <c r="V41" s="22">
        <f t="shared" si="29"/>
        <v>86.000000000000014</v>
      </c>
      <c r="W41" s="23">
        <f>T41</f>
        <v>0.51458333333333328</v>
      </c>
      <c r="X41" s="23">
        <f>S42</f>
        <v>0.55694444444444435</v>
      </c>
      <c r="Y41" s="23"/>
      <c r="Z41" s="23"/>
      <c r="AA41" s="164"/>
      <c r="AB41" s="164"/>
      <c r="AC41" s="25"/>
      <c r="AD41" s="25"/>
      <c r="AE41" s="19">
        <f t="shared" si="8"/>
        <v>-109.53488372093034</v>
      </c>
      <c r="AF41" s="21">
        <f t="shared" si="9"/>
        <v>0.95436046511627903</v>
      </c>
      <c r="AG41" s="172"/>
    </row>
    <row r="42" spans="1:33">
      <c r="A42" s="192" t="s">
        <v>814</v>
      </c>
      <c r="B42" s="37" t="s">
        <v>100</v>
      </c>
      <c r="C42" s="165" t="s">
        <v>102</v>
      </c>
      <c r="D42" s="165"/>
      <c r="E42" s="37">
        <v>26.2</v>
      </c>
      <c r="F42" s="4">
        <v>2325</v>
      </c>
      <c r="G42" s="4">
        <f t="shared" si="27"/>
        <v>60915</v>
      </c>
      <c r="H42" s="22" t="s">
        <v>139</v>
      </c>
      <c r="I42" s="16">
        <v>20</v>
      </c>
      <c r="J42" s="18">
        <v>2400</v>
      </c>
      <c r="K42" s="17">
        <f t="shared" si="1"/>
        <v>120</v>
      </c>
      <c r="L42" s="16">
        <v>20</v>
      </c>
      <c r="M42" s="18">
        <f t="shared" si="28"/>
        <v>2286.8852459016416</v>
      </c>
      <c r="N42" s="17">
        <f t="shared" si="3"/>
        <v>114.34426229508207</v>
      </c>
      <c r="O42" s="19">
        <f t="shared" si="4"/>
        <v>0</v>
      </c>
      <c r="P42" s="20">
        <f t="shared" si="5"/>
        <v>-5.6557377049179252</v>
      </c>
      <c r="Q42" s="21">
        <f t="shared" si="6"/>
        <v>0.95286885245901731</v>
      </c>
      <c r="R42" s="172"/>
      <c r="S42" s="28">
        <v>0.55694444444444435</v>
      </c>
      <c r="T42" s="28">
        <v>0.59930555555555542</v>
      </c>
      <c r="U42" s="4">
        <f t="shared" si="30"/>
        <v>60.999999999999943</v>
      </c>
      <c r="V42" s="22">
        <f t="shared" si="29"/>
        <v>60.999999999999943</v>
      </c>
      <c r="W42" s="23"/>
      <c r="X42" s="23"/>
      <c r="Y42" s="23"/>
      <c r="Z42" s="23"/>
      <c r="AA42" s="164"/>
      <c r="AB42" s="164"/>
      <c r="AC42" s="25"/>
      <c r="AD42" s="25"/>
      <c r="AE42" s="19">
        <f t="shared" si="8"/>
        <v>-113.11475409835839</v>
      </c>
      <c r="AF42" s="21">
        <f t="shared" si="9"/>
        <v>0.95286885245901731</v>
      </c>
      <c r="AG42" s="172"/>
    </row>
    <row r="43" spans="1:33">
      <c r="A43" s="192" t="s">
        <v>814</v>
      </c>
      <c r="B43" s="17" t="s">
        <v>808</v>
      </c>
      <c r="C43" s="177"/>
      <c r="D43" s="177"/>
      <c r="E43" s="38"/>
      <c r="F43" s="17"/>
      <c r="G43" s="17"/>
      <c r="H43" s="4"/>
      <c r="I43" s="30">
        <v>19</v>
      </c>
      <c r="J43" s="18">
        <v>2400</v>
      </c>
      <c r="K43" s="17">
        <f t="shared" si="1"/>
        <v>126.31578947368421</v>
      </c>
      <c r="L43" s="30">
        <v>19</v>
      </c>
      <c r="M43" s="18">
        <f>AVERAGE(M37:M42)</f>
        <v>2294.2060332880869</v>
      </c>
      <c r="N43" s="17">
        <f t="shared" si="3"/>
        <v>120.74768596253089</v>
      </c>
      <c r="O43" s="19">
        <f t="shared" si="4"/>
        <v>0</v>
      </c>
      <c r="P43" s="20">
        <f t="shared" si="5"/>
        <v>-5.5681035111533106</v>
      </c>
      <c r="Q43" s="21">
        <f t="shared" si="6"/>
        <v>0.95591918053670299</v>
      </c>
      <c r="R43" s="172"/>
      <c r="S43" s="28"/>
      <c r="T43" s="28"/>
      <c r="U43" s="17"/>
      <c r="V43" s="22"/>
      <c r="W43" s="17"/>
      <c r="X43" s="17"/>
      <c r="Y43" s="31">
        <f>SUM(Y37:Y42)</f>
        <v>0</v>
      </c>
      <c r="Z43" s="31">
        <f>SUM(Z37:Z42)</f>
        <v>0</v>
      </c>
      <c r="AA43" s="168"/>
      <c r="AB43" s="168"/>
      <c r="AC43" s="31">
        <f>SUM(AC37:AC42)</f>
        <v>6</v>
      </c>
      <c r="AD43" s="31">
        <f>SUM(AD37:AD42)</f>
        <v>0</v>
      </c>
      <c r="AE43" s="19">
        <f t="shared" si="8"/>
        <v>-105.79396671191307</v>
      </c>
      <c r="AF43" s="21">
        <f t="shared" si="9"/>
        <v>0.95591918053670288</v>
      </c>
      <c r="AG43" s="172"/>
    </row>
    <row r="44" spans="1:33" ht="15.75" customHeight="1">
      <c r="A44" s="184" t="s">
        <v>815</v>
      </c>
      <c r="B44" s="37" t="s">
        <v>111</v>
      </c>
      <c r="C44" s="173" t="s">
        <v>403</v>
      </c>
      <c r="D44" s="174"/>
      <c r="E44" s="37">
        <v>34.36</v>
      </c>
      <c r="F44" s="4">
        <v>5380</v>
      </c>
      <c r="G44" s="4">
        <f t="shared" ref="G44:G52" si="31">E44*F44</f>
        <v>184856.8</v>
      </c>
      <c r="H44" s="22" t="s">
        <v>139</v>
      </c>
      <c r="I44" s="16">
        <v>10</v>
      </c>
      <c r="J44" s="18">
        <v>3000</v>
      </c>
      <c r="K44" s="17">
        <f t="shared" si="1"/>
        <v>300</v>
      </c>
      <c r="L44" s="16">
        <v>10</v>
      </c>
      <c r="M44" s="18">
        <f t="shared" ref="M44:M52" si="32">F44/V44*60</f>
        <v>2856.6371681415935</v>
      </c>
      <c r="N44" s="18">
        <f t="shared" si="3"/>
        <v>285.66371681415933</v>
      </c>
      <c r="O44" s="19">
        <f t="shared" si="4"/>
        <v>0</v>
      </c>
      <c r="P44" s="20">
        <f t="shared" si="5"/>
        <v>-14.336283185840671</v>
      </c>
      <c r="Q44" s="21">
        <f t="shared" si="6"/>
        <v>0.9522123893805311</v>
      </c>
      <c r="R44" s="187">
        <f>Q53</f>
        <v>0.95743880968358464</v>
      </c>
      <c r="S44" s="28">
        <v>8.3333333333333329E-2</v>
      </c>
      <c r="T44" s="28">
        <v>0.16180555555555554</v>
      </c>
      <c r="U44" s="28"/>
      <c r="V44" s="22">
        <f t="shared" ref="V44:V52" si="33">(T44-S44)*24*60</f>
        <v>112.99999999999997</v>
      </c>
      <c r="W44" s="23">
        <f>T44</f>
        <v>0.16180555555555554</v>
      </c>
      <c r="X44" s="23">
        <f>S45</f>
        <v>0.17916666666666661</v>
      </c>
      <c r="Y44" s="26"/>
      <c r="Z44" s="26"/>
      <c r="AA44" s="175"/>
      <c r="AB44" s="176"/>
      <c r="AC44" s="25">
        <v>9</v>
      </c>
      <c r="AD44" s="25"/>
      <c r="AE44" s="19">
        <f t="shared" si="8"/>
        <v>-143.36283185840648</v>
      </c>
      <c r="AF44" s="21">
        <f t="shared" si="9"/>
        <v>0.95221238938053121</v>
      </c>
      <c r="AG44" s="187">
        <f>AF53</f>
        <v>0.95743880968358464</v>
      </c>
    </row>
    <row r="45" spans="1:33" ht="15.75" customHeight="1">
      <c r="A45" s="185" t="s">
        <v>815</v>
      </c>
      <c r="B45" s="37" t="s">
        <v>111</v>
      </c>
      <c r="C45" s="173" t="s">
        <v>114</v>
      </c>
      <c r="D45" s="174"/>
      <c r="E45" s="37">
        <v>35.119999999999997</v>
      </c>
      <c r="F45" s="4">
        <v>5710</v>
      </c>
      <c r="G45" s="4">
        <f t="shared" si="31"/>
        <v>200535.19999999998</v>
      </c>
      <c r="H45" s="22" t="s">
        <v>139</v>
      </c>
      <c r="I45" s="16">
        <v>10</v>
      </c>
      <c r="J45" s="18">
        <v>3000</v>
      </c>
      <c r="K45" s="17">
        <f t="shared" si="1"/>
        <v>300</v>
      </c>
      <c r="L45" s="16">
        <v>10</v>
      </c>
      <c r="M45" s="18">
        <f t="shared" si="32"/>
        <v>2855</v>
      </c>
      <c r="N45" s="18">
        <f t="shared" si="3"/>
        <v>285.5</v>
      </c>
      <c r="O45" s="19">
        <f t="shared" si="4"/>
        <v>0</v>
      </c>
      <c r="P45" s="20">
        <f t="shared" si="5"/>
        <v>-14.5</v>
      </c>
      <c r="Q45" s="21">
        <f t="shared" si="6"/>
        <v>0.95166666666666666</v>
      </c>
      <c r="R45" s="188"/>
      <c r="S45" s="28">
        <v>0.17916666666666661</v>
      </c>
      <c r="T45" s="28">
        <v>0.26249999999999996</v>
      </c>
      <c r="U45" s="4">
        <f t="shared" ref="U45:U52" si="34">(S45-T44)*24*60</f>
        <v>24.99999999999995</v>
      </c>
      <c r="V45" s="22">
        <f t="shared" si="33"/>
        <v>120</v>
      </c>
      <c r="W45" s="23"/>
      <c r="X45" s="23"/>
      <c r="Y45" s="26"/>
      <c r="Z45" s="26"/>
      <c r="AA45" s="175"/>
      <c r="AB45" s="176"/>
      <c r="AC45" s="25"/>
      <c r="AD45" s="25"/>
      <c r="AE45" s="19">
        <f t="shared" si="8"/>
        <v>-145</v>
      </c>
      <c r="AF45" s="21">
        <f t="shared" si="9"/>
        <v>0.95166666666666666</v>
      </c>
      <c r="AG45" s="188"/>
    </row>
    <row r="46" spans="1:33" ht="15.75" customHeight="1">
      <c r="A46" s="185" t="s">
        <v>815</v>
      </c>
      <c r="B46" s="37" t="s">
        <v>111</v>
      </c>
      <c r="C46" s="173" t="s">
        <v>115</v>
      </c>
      <c r="D46" s="174"/>
      <c r="E46" s="37">
        <v>26.78</v>
      </c>
      <c r="F46" s="4">
        <v>2761</v>
      </c>
      <c r="G46" s="4">
        <f t="shared" si="31"/>
        <v>73939.58</v>
      </c>
      <c r="H46" s="22" t="s">
        <v>139</v>
      </c>
      <c r="I46" s="16">
        <v>10</v>
      </c>
      <c r="J46" s="18">
        <v>3000</v>
      </c>
      <c r="K46" s="17">
        <f t="shared" si="1"/>
        <v>300</v>
      </c>
      <c r="L46" s="16">
        <v>10</v>
      </c>
      <c r="M46" s="18">
        <f t="shared" si="32"/>
        <v>2856.2068965517224</v>
      </c>
      <c r="N46" s="18">
        <f t="shared" si="3"/>
        <v>285.62068965517221</v>
      </c>
      <c r="O46" s="19">
        <f t="shared" si="4"/>
        <v>0</v>
      </c>
      <c r="P46" s="20">
        <f t="shared" si="5"/>
        <v>-14.379310344827786</v>
      </c>
      <c r="Q46" s="21">
        <f t="shared" si="6"/>
        <v>0.95206896551724074</v>
      </c>
      <c r="R46" s="188"/>
      <c r="S46" s="28">
        <v>0.26736111111111105</v>
      </c>
      <c r="T46" s="28">
        <v>0.30763888888888885</v>
      </c>
      <c r="U46" s="4">
        <f t="shared" si="34"/>
        <v>6.9999999999999751</v>
      </c>
      <c r="V46" s="22">
        <f t="shared" si="33"/>
        <v>58.000000000000036</v>
      </c>
      <c r="W46" s="23"/>
      <c r="X46" s="23"/>
      <c r="Y46" s="26"/>
      <c r="Z46" s="26"/>
      <c r="AA46" s="175"/>
      <c r="AB46" s="176"/>
      <c r="AC46" s="25"/>
      <c r="AD46" s="25"/>
      <c r="AE46" s="19">
        <f t="shared" si="8"/>
        <v>-143.79310344827763</v>
      </c>
      <c r="AF46" s="21">
        <f t="shared" si="9"/>
        <v>0.95206896551724074</v>
      </c>
      <c r="AG46" s="188"/>
    </row>
    <row r="47" spans="1:33" ht="15.75" customHeight="1">
      <c r="A47" s="185" t="s">
        <v>815</v>
      </c>
      <c r="B47" s="37" t="s">
        <v>111</v>
      </c>
      <c r="C47" s="173" t="s">
        <v>116</v>
      </c>
      <c r="D47" s="174"/>
      <c r="E47" s="37">
        <v>35.869999999999997</v>
      </c>
      <c r="F47" s="4">
        <v>3588</v>
      </c>
      <c r="G47" s="4">
        <f t="shared" si="31"/>
        <v>128701.56</v>
      </c>
      <c r="H47" s="22" t="s">
        <v>139</v>
      </c>
      <c r="I47" s="16">
        <v>9</v>
      </c>
      <c r="J47" s="18">
        <v>3000</v>
      </c>
      <c r="K47" s="17">
        <f t="shared" si="1"/>
        <v>333.33333333333331</v>
      </c>
      <c r="L47" s="16">
        <v>9</v>
      </c>
      <c r="M47" s="18">
        <f t="shared" si="32"/>
        <v>2870.400000000001</v>
      </c>
      <c r="N47" s="18">
        <f t="shared" si="3"/>
        <v>318.93333333333345</v>
      </c>
      <c r="O47" s="19">
        <f t="shared" si="4"/>
        <v>0</v>
      </c>
      <c r="P47" s="20">
        <f t="shared" si="5"/>
        <v>-14.399999999999864</v>
      </c>
      <c r="Q47" s="21">
        <f t="shared" si="6"/>
        <v>0.95680000000000043</v>
      </c>
      <c r="R47" s="188"/>
      <c r="S47" s="28">
        <v>0.31319444444444439</v>
      </c>
      <c r="T47" s="28">
        <v>0.3652777777777777</v>
      </c>
      <c r="U47" s="4">
        <f t="shared" si="34"/>
        <v>7.9999999999999716</v>
      </c>
      <c r="V47" s="22">
        <f t="shared" si="33"/>
        <v>74.999999999999972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8"/>
        <v>-129.599999999999</v>
      </c>
      <c r="AF47" s="21">
        <f t="shared" si="9"/>
        <v>0.95680000000000032</v>
      </c>
      <c r="AG47" s="188"/>
    </row>
    <row r="48" spans="1:33" ht="15.75" customHeight="1">
      <c r="A48" s="185" t="s">
        <v>815</v>
      </c>
      <c r="B48" s="37" t="s">
        <v>111</v>
      </c>
      <c r="C48" s="173" t="s">
        <v>117</v>
      </c>
      <c r="D48" s="174"/>
      <c r="E48" s="37">
        <v>44.03</v>
      </c>
      <c r="F48" s="4">
        <v>1735</v>
      </c>
      <c r="G48" s="4">
        <f t="shared" si="31"/>
        <v>76392.05</v>
      </c>
      <c r="H48" s="22" t="s">
        <v>139</v>
      </c>
      <c r="I48" s="16">
        <v>10</v>
      </c>
      <c r="J48" s="18">
        <v>3000</v>
      </c>
      <c r="K48" s="17">
        <f t="shared" si="1"/>
        <v>300</v>
      </c>
      <c r="L48" s="16">
        <v>10</v>
      </c>
      <c r="M48" s="18">
        <f t="shared" si="32"/>
        <v>2891.6666666666642</v>
      </c>
      <c r="N48" s="18">
        <f t="shared" si="3"/>
        <v>289.1666666666664</v>
      </c>
      <c r="O48" s="19">
        <f t="shared" si="4"/>
        <v>0</v>
      </c>
      <c r="P48" s="20">
        <f t="shared" si="5"/>
        <v>-10.833333333333599</v>
      </c>
      <c r="Q48" s="21">
        <f t="shared" si="6"/>
        <v>0.96388888888888802</v>
      </c>
      <c r="R48" s="188"/>
      <c r="S48" s="28">
        <v>0.36874999999999991</v>
      </c>
      <c r="T48" s="28">
        <v>0.39374999999999993</v>
      </c>
      <c r="U48" s="4">
        <f t="shared" si="34"/>
        <v>4.9999999999999822</v>
      </c>
      <c r="V48" s="22">
        <f t="shared" si="33"/>
        <v>36.000000000000028</v>
      </c>
      <c r="W48" s="23"/>
      <c r="X48" s="23"/>
      <c r="Y48" s="26"/>
      <c r="Z48" s="26"/>
      <c r="AA48" s="175"/>
      <c r="AB48" s="176"/>
      <c r="AC48" s="25"/>
      <c r="AD48" s="25"/>
      <c r="AE48" s="19">
        <f t="shared" si="8"/>
        <v>-108.33333333333576</v>
      </c>
      <c r="AF48" s="21">
        <f t="shared" si="9"/>
        <v>0.96388888888888813</v>
      </c>
      <c r="AG48" s="188"/>
    </row>
    <row r="49" spans="1:33" ht="15.75" customHeight="1">
      <c r="A49" s="185" t="s">
        <v>815</v>
      </c>
      <c r="B49" s="37" t="s">
        <v>111</v>
      </c>
      <c r="C49" s="173" t="s">
        <v>112</v>
      </c>
      <c r="D49" s="174"/>
      <c r="E49" s="37">
        <v>21.13</v>
      </c>
      <c r="F49" s="4">
        <v>3100</v>
      </c>
      <c r="G49" s="4">
        <f t="shared" si="31"/>
        <v>65503</v>
      </c>
      <c r="H49" s="22">
        <v>2</v>
      </c>
      <c r="I49" s="16">
        <v>10</v>
      </c>
      <c r="J49" s="18">
        <v>3000</v>
      </c>
      <c r="K49" s="17">
        <f t="shared" si="1"/>
        <v>300</v>
      </c>
      <c r="L49" s="16">
        <v>10</v>
      </c>
      <c r="M49" s="18">
        <f t="shared" si="32"/>
        <v>2861.538461538461</v>
      </c>
      <c r="N49" s="18">
        <f t="shared" si="3"/>
        <v>286.15384615384608</v>
      </c>
      <c r="O49" s="19">
        <f t="shared" si="4"/>
        <v>0</v>
      </c>
      <c r="P49" s="20">
        <f t="shared" si="5"/>
        <v>-13.846153846153925</v>
      </c>
      <c r="Q49" s="21">
        <f t="shared" si="6"/>
        <v>0.95384615384615357</v>
      </c>
      <c r="R49" s="188"/>
      <c r="S49" s="28">
        <v>0.39861111111111103</v>
      </c>
      <c r="T49" s="28">
        <v>0.44374999999999992</v>
      </c>
      <c r="U49" s="4">
        <f t="shared" si="34"/>
        <v>6.9999999999999751</v>
      </c>
      <c r="V49" s="22">
        <f t="shared" si="33"/>
        <v>65.000000000000014</v>
      </c>
      <c r="W49" s="23"/>
      <c r="X49" s="23"/>
      <c r="Y49" s="26"/>
      <c r="Z49" s="26"/>
      <c r="AA49" s="175"/>
      <c r="AB49" s="176"/>
      <c r="AC49" s="25"/>
      <c r="AD49" s="25"/>
      <c r="AE49" s="19">
        <f t="shared" si="8"/>
        <v>-138.46153846153902</v>
      </c>
      <c r="AF49" s="21">
        <f t="shared" si="9"/>
        <v>0.95384615384615368</v>
      </c>
      <c r="AG49" s="188"/>
    </row>
    <row r="50" spans="1:33" ht="15.75" customHeight="1">
      <c r="A50" s="185" t="s">
        <v>815</v>
      </c>
      <c r="B50" s="37" t="s">
        <v>111</v>
      </c>
      <c r="C50" s="173" t="s">
        <v>113</v>
      </c>
      <c r="D50" s="174"/>
      <c r="E50" s="37">
        <v>27.17</v>
      </c>
      <c r="F50" s="4">
        <v>4200</v>
      </c>
      <c r="G50" s="4">
        <f t="shared" si="31"/>
        <v>114114</v>
      </c>
      <c r="H50" s="22">
        <v>2</v>
      </c>
      <c r="I50" s="16">
        <v>10</v>
      </c>
      <c r="J50" s="18">
        <v>3000</v>
      </c>
      <c r="K50" s="17">
        <f t="shared" si="1"/>
        <v>300</v>
      </c>
      <c r="L50" s="16">
        <v>10</v>
      </c>
      <c r="M50" s="18">
        <f t="shared" si="32"/>
        <v>2863.6363636363662</v>
      </c>
      <c r="N50" s="18">
        <f t="shared" si="3"/>
        <v>286.3636363636366</v>
      </c>
      <c r="O50" s="19">
        <f t="shared" si="4"/>
        <v>0</v>
      </c>
      <c r="P50" s="20">
        <f t="shared" si="5"/>
        <v>-13.636363636363399</v>
      </c>
      <c r="Q50" s="21">
        <f t="shared" si="6"/>
        <v>0.95454545454545536</v>
      </c>
      <c r="R50" s="188"/>
      <c r="S50" s="28">
        <v>0.44791666666666657</v>
      </c>
      <c r="T50" s="28">
        <v>0.50902777777777763</v>
      </c>
      <c r="U50" s="4">
        <f t="shared" si="34"/>
        <v>5.9999999999999787</v>
      </c>
      <c r="V50" s="22">
        <f t="shared" si="33"/>
        <v>87.999999999999929</v>
      </c>
      <c r="W50" s="23">
        <f>T50</f>
        <v>0.50902777777777763</v>
      </c>
      <c r="X50" s="23">
        <f>S51</f>
        <v>0.54930555555555538</v>
      </c>
      <c r="Y50" s="26"/>
      <c r="Z50" s="26"/>
      <c r="AA50" s="175"/>
      <c r="AB50" s="176"/>
      <c r="AC50" s="25"/>
      <c r="AD50" s="25"/>
      <c r="AE50" s="19">
        <f t="shared" si="8"/>
        <v>-136.36363636363376</v>
      </c>
      <c r="AF50" s="21">
        <f t="shared" si="9"/>
        <v>0.95454545454545536</v>
      </c>
      <c r="AG50" s="188"/>
    </row>
    <row r="51" spans="1:33" ht="15.75" customHeight="1">
      <c r="A51" s="185" t="s">
        <v>816</v>
      </c>
      <c r="B51" s="37" t="s">
        <v>111</v>
      </c>
      <c r="C51" s="173" t="s">
        <v>113</v>
      </c>
      <c r="D51" s="174"/>
      <c r="E51" s="37">
        <v>27.17</v>
      </c>
      <c r="F51" s="4">
        <v>3274</v>
      </c>
      <c r="G51" s="4">
        <f t="shared" si="31"/>
        <v>88954.58</v>
      </c>
      <c r="H51" s="22" t="s">
        <v>139</v>
      </c>
      <c r="I51" s="16">
        <v>10</v>
      </c>
      <c r="J51" s="18">
        <v>3000</v>
      </c>
      <c r="K51" s="17">
        <f t="shared" si="1"/>
        <v>300</v>
      </c>
      <c r="L51" s="16">
        <v>10</v>
      </c>
      <c r="M51" s="18">
        <f t="shared" si="32"/>
        <v>2888.823529411768</v>
      </c>
      <c r="N51" s="18">
        <f t="shared" si="3"/>
        <v>288.8823529411768</v>
      </c>
      <c r="O51" s="19">
        <f t="shared" si="4"/>
        <v>0</v>
      </c>
      <c r="P51" s="20">
        <f t="shared" si="5"/>
        <v>-11.117647058823195</v>
      </c>
      <c r="Q51" s="21">
        <f t="shared" si="6"/>
        <v>0.9629411764705893</v>
      </c>
      <c r="R51" s="188"/>
      <c r="S51" s="28">
        <v>0.54930555555555538</v>
      </c>
      <c r="T51" s="28">
        <v>0.59652777777777755</v>
      </c>
      <c r="U51" s="4">
        <f t="shared" si="34"/>
        <v>57.999999999999957</v>
      </c>
      <c r="V51" s="22">
        <f t="shared" si="33"/>
        <v>67.999999999999915</v>
      </c>
      <c r="W51" s="23"/>
      <c r="X51" s="23"/>
      <c r="Y51" s="26"/>
      <c r="Z51" s="26"/>
      <c r="AA51" s="175"/>
      <c r="AB51" s="176"/>
      <c r="AC51" s="25"/>
      <c r="AD51" s="25"/>
      <c r="AE51" s="19">
        <f t="shared" si="8"/>
        <v>-111.17647058823195</v>
      </c>
      <c r="AF51" s="21">
        <f t="shared" si="9"/>
        <v>0.9629411764705893</v>
      </c>
      <c r="AG51" s="188"/>
    </row>
    <row r="52" spans="1:33" ht="15.75" customHeight="1">
      <c r="A52" s="185" t="s">
        <v>815</v>
      </c>
      <c r="B52" s="37" t="s">
        <v>111</v>
      </c>
      <c r="C52" s="173" t="s">
        <v>112</v>
      </c>
      <c r="D52" s="174"/>
      <c r="E52" s="37">
        <v>21.13</v>
      </c>
      <c r="F52" s="4">
        <v>2374</v>
      </c>
      <c r="G52" s="4">
        <f t="shared" si="31"/>
        <v>50162.619999999995</v>
      </c>
      <c r="H52" s="22" t="s">
        <v>139</v>
      </c>
      <c r="I52" s="16">
        <v>10</v>
      </c>
      <c r="J52" s="18">
        <v>3000</v>
      </c>
      <c r="K52" s="17">
        <f t="shared" si="1"/>
        <v>300</v>
      </c>
      <c r="L52" s="16">
        <v>10</v>
      </c>
      <c r="M52" s="18">
        <f t="shared" si="32"/>
        <v>2906.9387755102048</v>
      </c>
      <c r="N52" s="18">
        <f t="shared" si="3"/>
        <v>290.69387755102048</v>
      </c>
      <c r="O52" s="19">
        <f t="shared" si="4"/>
        <v>0</v>
      </c>
      <c r="P52" s="20">
        <f t="shared" si="5"/>
        <v>-9.3061224489795222</v>
      </c>
      <c r="Q52" s="21">
        <f t="shared" si="6"/>
        <v>0.96897959183673488</v>
      </c>
      <c r="R52" s="188"/>
      <c r="S52" s="28">
        <v>0.60138888888888864</v>
      </c>
      <c r="T52" s="28">
        <v>0.63541666666666641</v>
      </c>
      <c r="U52" s="4">
        <f t="shared" si="34"/>
        <v>6.9999999999999751</v>
      </c>
      <c r="V52" s="22">
        <f t="shared" si="33"/>
        <v>48.999999999999986</v>
      </c>
      <c r="W52" s="23"/>
      <c r="X52" s="23"/>
      <c r="Y52" s="26"/>
      <c r="Z52" s="26"/>
      <c r="AA52" s="175"/>
      <c r="AB52" s="176"/>
      <c r="AC52" s="25"/>
      <c r="AD52" s="25"/>
      <c r="AE52" s="19">
        <f t="shared" si="8"/>
        <v>-93.061224489795222</v>
      </c>
      <c r="AF52" s="21">
        <f t="shared" si="9"/>
        <v>0.96897959183673488</v>
      </c>
      <c r="AG52" s="188"/>
    </row>
    <row r="53" spans="1:33" ht="15.75" customHeight="1">
      <c r="A53" s="186" t="s">
        <v>815</v>
      </c>
      <c r="B53" s="37" t="s">
        <v>808</v>
      </c>
      <c r="C53" s="166"/>
      <c r="D53" s="167"/>
      <c r="E53" s="41"/>
      <c r="F53" s="4"/>
      <c r="G53" s="4"/>
      <c r="H53" s="4"/>
      <c r="I53" s="30">
        <v>9.8888888888888893</v>
      </c>
      <c r="J53" s="18">
        <v>3000</v>
      </c>
      <c r="K53" s="17">
        <f t="shared" si="1"/>
        <v>303.37078651685391</v>
      </c>
      <c r="L53" s="30">
        <v>9.8888888888888893</v>
      </c>
      <c r="M53" s="18">
        <f>AVERAGE(M44:M52)</f>
        <v>2872.3164290507539</v>
      </c>
      <c r="N53" s="17">
        <f t="shared" si="3"/>
        <v>290.45896473546946</v>
      </c>
      <c r="O53" s="19">
        <f t="shared" si="4"/>
        <v>0</v>
      </c>
      <c r="P53" s="20">
        <f t="shared" si="5"/>
        <v>-12.911821781384447</v>
      </c>
      <c r="Q53" s="21">
        <f t="shared" si="6"/>
        <v>0.95743880968358464</v>
      </c>
      <c r="R53" s="189"/>
      <c r="S53" s="28"/>
      <c r="T53" s="28"/>
      <c r="U53" s="4"/>
      <c r="V53" s="22"/>
      <c r="W53" s="23"/>
      <c r="X53" s="23"/>
      <c r="Y53" s="31">
        <f>SUM(Y44:Y52)</f>
        <v>0</v>
      </c>
      <c r="Z53" s="31">
        <f>SUM(Z44:Z52)</f>
        <v>0</v>
      </c>
      <c r="AA53" s="180"/>
      <c r="AB53" s="181"/>
      <c r="AC53" s="31">
        <f>SUM(AC44:AC52)</f>
        <v>9</v>
      </c>
      <c r="AD53" s="31">
        <f>SUM(AD44:AD52)</f>
        <v>0</v>
      </c>
      <c r="AE53" s="19">
        <f t="shared" si="8"/>
        <v>-127.68357094924613</v>
      </c>
      <c r="AF53" s="21">
        <f t="shared" si="9"/>
        <v>0.95743880968358464</v>
      </c>
      <c r="AG53" s="189"/>
    </row>
    <row r="54" spans="1:33" ht="15.75" customHeight="1">
      <c r="A54" s="182" t="s">
        <v>817</v>
      </c>
      <c r="B54" s="37" t="s">
        <v>84</v>
      </c>
      <c r="C54" s="165" t="s">
        <v>118</v>
      </c>
      <c r="D54" s="165"/>
      <c r="E54" s="37">
        <v>46</v>
      </c>
      <c r="F54" s="42">
        <v>1616</v>
      </c>
      <c r="G54" s="4">
        <f t="shared" ref="G54:G63" si="35">E54*F54</f>
        <v>74336</v>
      </c>
      <c r="H54" s="22" t="s">
        <v>139</v>
      </c>
      <c r="I54" s="16">
        <v>17</v>
      </c>
      <c r="J54" s="18">
        <v>2000</v>
      </c>
      <c r="K54" s="17">
        <f t="shared" si="1"/>
        <v>117.64705882352941</v>
      </c>
      <c r="L54" s="16">
        <v>17</v>
      </c>
      <c r="M54" s="18">
        <f t="shared" ref="M54:M63" si="36">F54/V54*60</f>
        <v>1939.1999999999991</v>
      </c>
      <c r="N54" s="18">
        <f t="shared" si="3"/>
        <v>114.07058823529407</v>
      </c>
      <c r="O54" s="19">
        <f t="shared" si="4"/>
        <v>0</v>
      </c>
      <c r="P54" s="20">
        <f t="shared" si="5"/>
        <v>-3.5764705882353383</v>
      </c>
      <c r="Q54" s="21">
        <f t="shared" si="6"/>
        <v>0.96959999999999957</v>
      </c>
      <c r="R54" s="172">
        <f>Q64</f>
        <v>0.93861683071800195</v>
      </c>
      <c r="S54" s="28">
        <v>0.20833333333333334</v>
      </c>
      <c r="T54" s="28">
        <v>0.24305555555555558</v>
      </c>
      <c r="U54" s="28"/>
      <c r="V54" s="22">
        <f t="shared" ref="V54:V63" si="37">(T54-S54)*24*60</f>
        <v>50.000000000000021</v>
      </c>
      <c r="W54" s="28"/>
      <c r="X54" s="28"/>
      <c r="Y54" s="28"/>
      <c r="Z54" s="28"/>
      <c r="AA54" s="164"/>
      <c r="AB54" s="164"/>
      <c r="AC54" s="25">
        <v>10</v>
      </c>
      <c r="AD54" s="25"/>
      <c r="AE54" s="19">
        <f t="shared" si="8"/>
        <v>-60.800000000000864</v>
      </c>
      <c r="AF54" s="21">
        <f t="shared" si="9"/>
        <v>0.96959999999999957</v>
      </c>
      <c r="AG54" s="172">
        <f>AF64</f>
        <v>0.93861683071800195</v>
      </c>
    </row>
    <row r="55" spans="1:33" ht="15.75" customHeight="1">
      <c r="A55" s="182" t="s">
        <v>817</v>
      </c>
      <c r="B55" s="37" t="s">
        <v>84</v>
      </c>
      <c r="C55" s="165" t="s">
        <v>119</v>
      </c>
      <c r="D55" s="165"/>
      <c r="E55" s="37">
        <v>46</v>
      </c>
      <c r="F55" s="42">
        <v>1731</v>
      </c>
      <c r="G55" s="4">
        <f t="shared" si="35"/>
        <v>79626</v>
      </c>
      <c r="H55" s="22" t="s">
        <v>139</v>
      </c>
      <c r="I55" s="16">
        <v>17</v>
      </c>
      <c r="J55" s="18">
        <v>2000</v>
      </c>
      <c r="K55" s="17">
        <f t="shared" si="1"/>
        <v>117.64705882352941</v>
      </c>
      <c r="L55" s="16">
        <v>17</v>
      </c>
      <c r="M55" s="18">
        <f t="shared" si="36"/>
        <v>1923.333333333333</v>
      </c>
      <c r="N55" s="18">
        <f t="shared" si="3"/>
        <v>113.13725490196077</v>
      </c>
      <c r="O55" s="19">
        <f t="shared" si="4"/>
        <v>0</v>
      </c>
      <c r="P55" s="20">
        <f t="shared" si="5"/>
        <v>-4.5098039215686327</v>
      </c>
      <c r="Q55" s="21">
        <f t="shared" si="6"/>
        <v>0.96166666666666667</v>
      </c>
      <c r="R55" s="172"/>
      <c r="S55" s="28">
        <v>0.24722222222222226</v>
      </c>
      <c r="T55" s="28">
        <v>0.28472222222222227</v>
      </c>
      <c r="U55" s="4">
        <f t="shared" ref="U55:U63" si="38">IF(S55=TIME(17,0,0),"",(S55-T54)*24*60)</f>
        <v>6.0000000000000187</v>
      </c>
      <c r="V55" s="22">
        <f t="shared" si="37"/>
        <v>54.000000000000007</v>
      </c>
      <c r="W55" s="23"/>
      <c r="X55" s="23"/>
      <c r="Y55" s="23"/>
      <c r="Z55" s="23"/>
      <c r="AA55" s="164"/>
      <c r="AB55" s="164"/>
      <c r="AC55" s="25"/>
      <c r="AD55" s="25"/>
      <c r="AE55" s="19">
        <f t="shared" si="8"/>
        <v>-76.66666666666697</v>
      </c>
      <c r="AF55" s="21">
        <f t="shared" si="9"/>
        <v>0.96166666666666656</v>
      </c>
      <c r="AG55" s="172"/>
    </row>
    <row r="56" spans="1:33" ht="15.75" customHeight="1">
      <c r="A56" s="182" t="s">
        <v>817</v>
      </c>
      <c r="B56" s="37" t="s">
        <v>78</v>
      </c>
      <c r="C56" s="173" t="s">
        <v>120</v>
      </c>
      <c r="D56" s="174"/>
      <c r="E56" s="37">
        <v>56.43</v>
      </c>
      <c r="F56" s="42">
        <v>2102</v>
      </c>
      <c r="G56" s="4">
        <f t="shared" si="35"/>
        <v>118615.86</v>
      </c>
      <c r="H56" s="22" t="s">
        <v>139</v>
      </c>
      <c r="I56" s="16">
        <v>22</v>
      </c>
      <c r="J56" s="18">
        <v>2000</v>
      </c>
      <c r="K56" s="17">
        <f t="shared" si="1"/>
        <v>90.909090909090907</v>
      </c>
      <c r="L56" s="16">
        <v>22</v>
      </c>
      <c r="M56" s="18">
        <f t="shared" si="36"/>
        <v>1776.3380281690145</v>
      </c>
      <c r="N56" s="18">
        <f t="shared" si="3"/>
        <v>80.742637644046113</v>
      </c>
      <c r="O56" s="19">
        <f t="shared" si="4"/>
        <v>0</v>
      </c>
      <c r="P56" s="20">
        <f t="shared" si="5"/>
        <v>-10.166453265044794</v>
      </c>
      <c r="Q56" s="21">
        <f t="shared" si="6"/>
        <v>0.88816901408450721</v>
      </c>
      <c r="R56" s="172"/>
      <c r="S56" s="28">
        <v>0.28958333333333336</v>
      </c>
      <c r="T56" s="28">
        <v>0.33888888888888891</v>
      </c>
      <c r="U56" s="4">
        <f t="shared" si="38"/>
        <v>6.9999999999999751</v>
      </c>
      <c r="V56" s="22">
        <f t="shared" si="37"/>
        <v>70.999999999999986</v>
      </c>
      <c r="W56" s="23"/>
      <c r="X56" s="23"/>
      <c r="Y56" s="26"/>
      <c r="Z56" s="26"/>
      <c r="AA56" s="164"/>
      <c r="AB56" s="164"/>
      <c r="AC56" s="25"/>
      <c r="AD56" s="25"/>
      <c r="AE56" s="19">
        <f t="shared" si="8"/>
        <v>-223.66197183098552</v>
      </c>
      <c r="AF56" s="21">
        <f t="shared" si="9"/>
        <v>0.88816901408450721</v>
      </c>
      <c r="AG56" s="172"/>
    </row>
    <row r="57" spans="1:33" ht="15.75" customHeight="1">
      <c r="A57" s="182" t="s">
        <v>817</v>
      </c>
      <c r="B57" s="37" t="s">
        <v>78</v>
      </c>
      <c r="C57" s="43" t="s">
        <v>121</v>
      </c>
      <c r="D57" s="44"/>
      <c r="E57" s="37">
        <v>51.75</v>
      </c>
      <c r="F57" s="42">
        <v>1938</v>
      </c>
      <c r="G57" s="4">
        <f t="shared" si="35"/>
        <v>100291.5</v>
      </c>
      <c r="H57" s="22" t="s">
        <v>139</v>
      </c>
      <c r="I57" s="16">
        <v>25</v>
      </c>
      <c r="J57" s="18">
        <v>2000</v>
      </c>
      <c r="K57" s="17">
        <f t="shared" si="1"/>
        <v>80</v>
      </c>
      <c r="L57" s="16">
        <v>25</v>
      </c>
      <c r="M57" s="18">
        <f t="shared" si="36"/>
        <v>1710</v>
      </c>
      <c r="N57" s="18">
        <f t="shared" si="3"/>
        <v>68.400000000000006</v>
      </c>
      <c r="O57" s="19">
        <f t="shared" si="4"/>
        <v>0</v>
      </c>
      <c r="P57" s="20">
        <f t="shared" si="5"/>
        <v>-11.599999999999994</v>
      </c>
      <c r="Q57" s="21">
        <f t="shared" si="6"/>
        <v>0.85500000000000009</v>
      </c>
      <c r="R57" s="172"/>
      <c r="S57" s="28">
        <v>0.34305555555555556</v>
      </c>
      <c r="T57" s="28">
        <v>0.39027777777777778</v>
      </c>
      <c r="U57" s="4">
        <f t="shared" si="38"/>
        <v>5.9999999999999787</v>
      </c>
      <c r="V57" s="22">
        <f t="shared" si="37"/>
        <v>68</v>
      </c>
      <c r="W57" s="23"/>
      <c r="X57" s="23"/>
      <c r="Y57" s="26"/>
      <c r="Z57" s="26"/>
      <c r="AA57" s="164"/>
      <c r="AB57" s="164"/>
      <c r="AC57" s="25"/>
      <c r="AD57" s="25"/>
      <c r="AE57" s="19">
        <f t="shared" si="8"/>
        <v>-290</v>
      </c>
      <c r="AF57" s="21">
        <f t="shared" si="9"/>
        <v>0.85499999999999998</v>
      </c>
      <c r="AG57" s="172"/>
    </row>
    <row r="58" spans="1:33" ht="15.75" customHeight="1">
      <c r="A58" s="182" t="s">
        <v>817</v>
      </c>
      <c r="B58" s="37" t="s">
        <v>78</v>
      </c>
      <c r="C58" s="43" t="s">
        <v>122</v>
      </c>
      <c r="D58" s="44"/>
      <c r="E58" s="37">
        <v>54.09</v>
      </c>
      <c r="F58" s="42">
        <v>1812</v>
      </c>
      <c r="G58" s="4">
        <f t="shared" si="35"/>
        <v>98011.08</v>
      </c>
      <c r="H58" s="22" t="s">
        <v>139</v>
      </c>
      <c r="I58" s="16">
        <v>19</v>
      </c>
      <c r="J58" s="18">
        <v>2000</v>
      </c>
      <c r="K58" s="17">
        <f t="shared" si="1"/>
        <v>105.26315789473684</v>
      </c>
      <c r="L58" s="16">
        <v>19</v>
      </c>
      <c r="M58" s="18">
        <f t="shared" si="36"/>
        <v>1842.7118644067789</v>
      </c>
      <c r="N58" s="18">
        <f t="shared" si="3"/>
        <v>96.984834968777832</v>
      </c>
      <c r="O58" s="19">
        <f t="shared" si="4"/>
        <v>0</v>
      </c>
      <c r="P58" s="20">
        <f t="shared" si="5"/>
        <v>-8.278322925959003</v>
      </c>
      <c r="Q58" s="21">
        <f t="shared" si="6"/>
        <v>0.92135593220338952</v>
      </c>
      <c r="R58" s="172"/>
      <c r="S58" s="28">
        <v>0.39583333333333331</v>
      </c>
      <c r="T58" s="28">
        <v>0.43680555555555556</v>
      </c>
      <c r="U58" s="4">
        <f t="shared" si="38"/>
        <v>7.9999999999999716</v>
      </c>
      <c r="V58" s="22">
        <f t="shared" si="37"/>
        <v>59.000000000000028</v>
      </c>
      <c r="W58" s="23"/>
      <c r="X58" s="23"/>
      <c r="Y58" s="26"/>
      <c r="Z58" s="26"/>
      <c r="AA58" s="164"/>
      <c r="AB58" s="164"/>
      <c r="AC58" s="25"/>
      <c r="AD58" s="25"/>
      <c r="AE58" s="19">
        <f t="shared" si="8"/>
        <v>-157.28813559322111</v>
      </c>
      <c r="AF58" s="21">
        <f t="shared" si="9"/>
        <v>0.92135593220338941</v>
      </c>
      <c r="AG58" s="172"/>
    </row>
    <row r="59" spans="1:33" ht="15.75" customHeight="1">
      <c r="A59" s="182" t="s">
        <v>817</v>
      </c>
      <c r="B59" s="37" t="s">
        <v>78</v>
      </c>
      <c r="C59" s="173" t="s">
        <v>123</v>
      </c>
      <c r="D59" s="174"/>
      <c r="E59" s="37">
        <v>55.56</v>
      </c>
      <c r="F59" s="42">
        <v>2194</v>
      </c>
      <c r="G59" s="4">
        <f t="shared" si="35"/>
        <v>121898.64</v>
      </c>
      <c r="H59" s="22" t="s">
        <v>139</v>
      </c>
      <c r="I59" s="16">
        <v>17</v>
      </c>
      <c r="J59" s="18">
        <v>2000</v>
      </c>
      <c r="K59" s="17">
        <f t="shared" si="1"/>
        <v>117.64705882352941</v>
      </c>
      <c r="L59" s="16">
        <v>17</v>
      </c>
      <c r="M59" s="18">
        <f t="shared" si="36"/>
        <v>1907.8260869565199</v>
      </c>
      <c r="N59" s="18">
        <f t="shared" si="3"/>
        <v>112.22506393861882</v>
      </c>
      <c r="O59" s="19">
        <f t="shared" si="4"/>
        <v>0</v>
      </c>
      <c r="P59" s="20">
        <f t="shared" si="5"/>
        <v>-5.421994884910589</v>
      </c>
      <c r="Q59" s="21">
        <f t="shared" si="6"/>
        <v>0.95391304347826</v>
      </c>
      <c r="R59" s="172"/>
      <c r="S59" s="28">
        <v>0.70833333333333337</v>
      </c>
      <c r="T59" s="28">
        <v>0.75625000000000009</v>
      </c>
      <c r="U59" s="4" t="str">
        <f t="shared" si="38"/>
        <v/>
      </c>
      <c r="V59" s="22">
        <f t="shared" si="37"/>
        <v>69.000000000000071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8"/>
        <v>-92.17391304348007</v>
      </c>
      <c r="AF59" s="21">
        <f t="shared" si="9"/>
        <v>0.95391304347826</v>
      </c>
      <c r="AG59" s="172"/>
    </row>
    <row r="60" spans="1:33" ht="15.75" customHeight="1">
      <c r="A60" s="182" t="s">
        <v>817</v>
      </c>
      <c r="B60" s="37" t="s">
        <v>78</v>
      </c>
      <c r="C60" s="173" t="s">
        <v>124</v>
      </c>
      <c r="D60" s="174"/>
      <c r="E60" s="37">
        <v>55.32</v>
      </c>
      <c r="F60" s="42">
        <v>1615</v>
      </c>
      <c r="G60" s="4">
        <f t="shared" si="35"/>
        <v>89341.8</v>
      </c>
      <c r="H60" s="22" t="s">
        <v>139</v>
      </c>
      <c r="I60" s="16">
        <v>15</v>
      </c>
      <c r="J60" s="18">
        <v>2000</v>
      </c>
      <c r="K60" s="17">
        <f t="shared" si="1"/>
        <v>133.33333333333334</v>
      </c>
      <c r="L60" s="16">
        <v>15</v>
      </c>
      <c r="M60" s="18">
        <f t="shared" si="36"/>
        <v>1938.0000000000007</v>
      </c>
      <c r="N60" s="18">
        <f t="shared" si="3"/>
        <v>129.20000000000005</v>
      </c>
      <c r="O60" s="19">
        <f t="shared" si="4"/>
        <v>0</v>
      </c>
      <c r="P60" s="20">
        <f t="shared" si="5"/>
        <v>-4.1333333333332973</v>
      </c>
      <c r="Q60" s="21">
        <f t="shared" si="6"/>
        <v>0.96900000000000031</v>
      </c>
      <c r="R60" s="172"/>
      <c r="S60" s="28">
        <v>0.76041666666666674</v>
      </c>
      <c r="T60" s="28">
        <v>0.79513888888888895</v>
      </c>
      <c r="U60" s="4">
        <f t="shared" si="38"/>
        <v>5.9999999999999787</v>
      </c>
      <c r="V60" s="22">
        <f t="shared" si="37"/>
        <v>49.999999999999986</v>
      </c>
      <c r="W60" s="23"/>
      <c r="X60" s="23"/>
      <c r="Y60" s="26"/>
      <c r="Z60" s="26"/>
      <c r="AA60" s="175"/>
      <c r="AB60" s="176"/>
      <c r="AC60" s="25"/>
      <c r="AD60" s="25"/>
      <c r="AE60" s="19">
        <f t="shared" si="8"/>
        <v>-61.999999999999318</v>
      </c>
      <c r="AF60" s="21">
        <f t="shared" si="9"/>
        <v>0.96900000000000031</v>
      </c>
      <c r="AG60" s="172"/>
    </row>
    <row r="61" spans="1:33" ht="15.75" customHeight="1">
      <c r="A61" s="182" t="s">
        <v>817</v>
      </c>
      <c r="B61" s="37" t="s">
        <v>78</v>
      </c>
      <c r="C61" s="173" t="s">
        <v>125</v>
      </c>
      <c r="D61" s="174"/>
      <c r="E61" s="37">
        <v>54.29</v>
      </c>
      <c r="F61" s="42">
        <v>700</v>
      </c>
      <c r="G61" s="4">
        <f t="shared" si="35"/>
        <v>38003</v>
      </c>
      <c r="H61" s="22">
        <v>2</v>
      </c>
      <c r="I61" s="16">
        <v>20</v>
      </c>
      <c r="J61" s="18">
        <v>2000</v>
      </c>
      <c r="K61" s="17">
        <f t="shared" si="1"/>
        <v>100</v>
      </c>
      <c r="L61" s="16">
        <v>20</v>
      </c>
      <c r="M61" s="18">
        <f t="shared" si="36"/>
        <v>1909.0909090909158</v>
      </c>
      <c r="N61" s="18">
        <f t="shared" si="3"/>
        <v>95.454545454545794</v>
      </c>
      <c r="O61" s="19">
        <f t="shared" si="4"/>
        <v>0</v>
      </c>
      <c r="P61" s="20">
        <f t="shared" si="5"/>
        <v>-4.5454545454542057</v>
      </c>
      <c r="Q61" s="21">
        <f t="shared" si="6"/>
        <v>0.95454545454545792</v>
      </c>
      <c r="R61" s="172"/>
      <c r="S61" s="28">
        <v>0.80069444444444449</v>
      </c>
      <c r="T61" s="28">
        <v>0.81597222222222221</v>
      </c>
      <c r="U61" s="4">
        <f t="shared" si="38"/>
        <v>7.9999999999999716</v>
      </c>
      <c r="V61" s="22">
        <f t="shared" si="37"/>
        <v>21.999999999999922</v>
      </c>
      <c r="W61" s="23"/>
      <c r="X61" s="23"/>
      <c r="Y61" s="26"/>
      <c r="Z61" s="26"/>
      <c r="AA61" s="175"/>
      <c r="AB61" s="176"/>
      <c r="AC61" s="25"/>
      <c r="AD61" s="25"/>
      <c r="AE61" s="19">
        <f t="shared" si="8"/>
        <v>-90.909090909084171</v>
      </c>
      <c r="AF61" s="21">
        <f t="shared" si="9"/>
        <v>0.95454545454545792</v>
      </c>
      <c r="AG61" s="172"/>
    </row>
    <row r="62" spans="1:33">
      <c r="A62" s="182" t="s">
        <v>817</v>
      </c>
      <c r="B62" s="37" t="s">
        <v>78</v>
      </c>
      <c r="C62" s="173" t="s">
        <v>126</v>
      </c>
      <c r="D62" s="174"/>
      <c r="E62" s="37">
        <v>57.73</v>
      </c>
      <c r="F62" s="42">
        <v>1231</v>
      </c>
      <c r="G62" s="4">
        <f t="shared" si="35"/>
        <v>71065.62999999999</v>
      </c>
      <c r="H62" s="22" t="s">
        <v>139</v>
      </c>
      <c r="I62" s="16">
        <v>16</v>
      </c>
      <c r="J62" s="18">
        <v>1500</v>
      </c>
      <c r="K62" s="17">
        <f t="shared" si="1"/>
        <v>93.75</v>
      </c>
      <c r="L62" s="16">
        <v>16</v>
      </c>
      <c r="M62" s="18">
        <f t="shared" si="36"/>
        <v>1448.2352941176478</v>
      </c>
      <c r="N62" s="18">
        <f t="shared" si="3"/>
        <v>90.514705882352985</v>
      </c>
      <c r="O62" s="19">
        <f t="shared" si="4"/>
        <v>0</v>
      </c>
      <c r="P62" s="20">
        <f t="shared" si="5"/>
        <v>-3.2352941176470154</v>
      </c>
      <c r="Q62" s="21">
        <f t="shared" si="6"/>
        <v>0.96549019607843178</v>
      </c>
      <c r="R62" s="172"/>
      <c r="S62" s="28">
        <v>0.82013888888888886</v>
      </c>
      <c r="T62" s="28">
        <v>0.85555555555555551</v>
      </c>
      <c r="U62" s="4">
        <f t="shared" si="38"/>
        <v>5.9999999999999787</v>
      </c>
      <c r="V62" s="22">
        <f t="shared" si="37"/>
        <v>50.999999999999979</v>
      </c>
      <c r="W62" s="23">
        <f>T62</f>
        <v>0.85555555555555551</v>
      </c>
      <c r="X62" s="23">
        <f>S63</f>
        <v>0.89583333333333326</v>
      </c>
      <c r="Y62" s="26"/>
      <c r="Z62" s="26"/>
      <c r="AA62" s="175"/>
      <c r="AB62" s="176"/>
      <c r="AC62" s="25"/>
      <c r="AD62" s="25"/>
      <c r="AE62" s="19">
        <f t="shared" si="8"/>
        <v>-51.764705882352246</v>
      </c>
      <c r="AF62" s="21">
        <f t="shared" si="9"/>
        <v>0.96549019607843178</v>
      </c>
      <c r="AG62" s="172"/>
    </row>
    <row r="63" spans="1:33">
      <c r="A63" s="182" t="s">
        <v>817</v>
      </c>
      <c r="B63" s="37" t="s">
        <v>78</v>
      </c>
      <c r="C63" s="173" t="s">
        <v>125</v>
      </c>
      <c r="D63" s="174"/>
      <c r="E63" s="37">
        <v>54.29</v>
      </c>
      <c r="F63" s="42">
        <v>1304</v>
      </c>
      <c r="G63" s="4">
        <f t="shared" si="35"/>
        <v>70794.16</v>
      </c>
      <c r="H63" s="22" t="s">
        <v>139</v>
      </c>
      <c r="I63" s="16">
        <v>20</v>
      </c>
      <c r="J63" s="18">
        <v>2000</v>
      </c>
      <c r="K63" s="17">
        <f t="shared" si="1"/>
        <v>100</v>
      </c>
      <c r="L63" s="16">
        <v>20</v>
      </c>
      <c r="M63" s="18">
        <f t="shared" si="36"/>
        <v>1908.2926829268285</v>
      </c>
      <c r="N63" s="18">
        <f t="shared" si="3"/>
        <v>95.414634146341427</v>
      </c>
      <c r="O63" s="19">
        <f t="shared" si="4"/>
        <v>0</v>
      </c>
      <c r="P63" s="20">
        <f t="shared" si="5"/>
        <v>-4.5853658536585726</v>
      </c>
      <c r="Q63" s="21">
        <f t="shared" si="6"/>
        <v>0.95414634146341426</v>
      </c>
      <c r="R63" s="172"/>
      <c r="S63" s="28">
        <v>0.89583333333333326</v>
      </c>
      <c r="T63" s="28">
        <v>0.92430555555555549</v>
      </c>
      <c r="U63" s="4">
        <f t="shared" si="38"/>
        <v>57.999999999999957</v>
      </c>
      <c r="V63" s="22">
        <f t="shared" si="37"/>
        <v>41.000000000000014</v>
      </c>
      <c r="W63" s="23"/>
      <c r="X63" s="23"/>
      <c r="Y63" s="26"/>
      <c r="Z63" s="26"/>
      <c r="AA63" s="175"/>
      <c r="AB63" s="176"/>
      <c r="AC63" s="25"/>
      <c r="AD63" s="25"/>
      <c r="AE63" s="19">
        <f t="shared" si="8"/>
        <v>-91.707317073171453</v>
      </c>
      <c r="AF63" s="21">
        <f t="shared" si="9"/>
        <v>0.95414634146341426</v>
      </c>
      <c r="AG63" s="172"/>
    </row>
    <row r="64" spans="1:33">
      <c r="A64" s="183" t="s">
        <v>817</v>
      </c>
      <c r="B64" s="37" t="s">
        <v>808</v>
      </c>
      <c r="C64" s="177"/>
      <c r="D64" s="177"/>
      <c r="E64" s="38"/>
      <c r="F64" s="17"/>
      <c r="G64" s="17"/>
      <c r="H64" s="4"/>
      <c r="I64" s="30">
        <v>18.8</v>
      </c>
      <c r="J64" s="18">
        <v>1950</v>
      </c>
      <c r="K64" s="17">
        <f t="shared" si="1"/>
        <v>103.72340425531914</v>
      </c>
      <c r="L64" s="30">
        <v>18.8</v>
      </c>
      <c r="M64" s="18">
        <f>AVERAGE(M54:M63)</f>
        <v>1830.3028199001037</v>
      </c>
      <c r="N64" s="17">
        <f t="shared" si="3"/>
        <v>97.35653297340977</v>
      </c>
      <c r="O64" s="19">
        <f t="shared" si="4"/>
        <v>0</v>
      </c>
      <c r="P64" s="20">
        <f t="shared" si="5"/>
        <v>-6.3668712819093685</v>
      </c>
      <c r="Q64" s="21">
        <f t="shared" si="6"/>
        <v>0.93861683071800195</v>
      </c>
      <c r="R64" s="172"/>
      <c r="S64" s="28"/>
      <c r="T64" s="28"/>
      <c r="U64" s="4"/>
      <c r="V64" s="22"/>
      <c r="W64" s="17"/>
      <c r="X64" s="17"/>
      <c r="Y64" s="31">
        <f>SUM(Y54:Y63)</f>
        <v>0</v>
      </c>
      <c r="Z64" s="31">
        <f>SUM(Z54:Z63)</f>
        <v>0</v>
      </c>
      <c r="AA64" s="168"/>
      <c r="AB64" s="168"/>
      <c r="AC64" s="31">
        <f>SUM(AC54:AC63)</f>
        <v>10</v>
      </c>
      <c r="AD64" s="31">
        <f>SUM(AD54:AD63)</f>
        <v>0</v>
      </c>
      <c r="AE64" s="19">
        <f>M64-J64</f>
        <v>-119.69718009989629</v>
      </c>
      <c r="AF64" s="21">
        <f t="shared" si="9"/>
        <v>0.93861683071800195</v>
      </c>
      <c r="AG64" s="172"/>
    </row>
    <row r="65" spans="1:33" ht="15.75" customHeight="1">
      <c r="A65" s="178" t="s">
        <v>818</v>
      </c>
      <c r="B65" s="4" t="s">
        <v>84</v>
      </c>
      <c r="C65" s="165" t="s">
        <v>127</v>
      </c>
      <c r="D65" s="165"/>
      <c r="E65" s="37">
        <v>26.97</v>
      </c>
      <c r="F65" s="42">
        <v>2388</v>
      </c>
      <c r="G65" s="4">
        <f t="shared" ref="G65:G69" si="39">E65*F65</f>
        <v>64404.36</v>
      </c>
      <c r="H65" s="22" t="s">
        <v>139</v>
      </c>
      <c r="I65" s="16">
        <v>8</v>
      </c>
      <c r="J65" s="18">
        <v>1500</v>
      </c>
      <c r="K65" s="17">
        <f t="shared" si="1"/>
        <v>187.5</v>
      </c>
      <c r="L65" s="16">
        <v>8</v>
      </c>
      <c r="M65" s="18">
        <f t="shared" ref="M65:M69" si="40">F65/V65*60</f>
        <v>1432.8</v>
      </c>
      <c r="N65" s="17">
        <f t="shared" si="3"/>
        <v>179.1</v>
      </c>
      <c r="O65" s="19">
        <f t="shared" si="4"/>
        <v>0</v>
      </c>
      <c r="P65" s="20">
        <f t="shared" si="5"/>
        <v>-8.4000000000000057</v>
      </c>
      <c r="Q65" s="21">
        <f t="shared" si="6"/>
        <v>0.95519999999999994</v>
      </c>
      <c r="R65" s="172">
        <f>Q70</f>
        <v>0.96948527056036693</v>
      </c>
      <c r="S65" s="28">
        <v>0.20833333333333334</v>
      </c>
      <c r="T65" s="28">
        <v>0.27777777777777779</v>
      </c>
      <c r="U65" s="4"/>
      <c r="V65" s="22">
        <f t="shared" ref="V65:V69" si="41">(T65-S65)*24*60</f>
        <v>100</v>
      </c>
      <c r="W65" s="28"/>
      <c r="X65" s="28"/>
      <c r="Y65" s="28"/>
      <c r="Z65" s="28"/>
      <c r="AA65" s="164"/>
      <c r="AB65" s="164"/>
      <c r="AC65" s="25">
        <v>5</v>
      </c>
      <c r="AD65" s="25"/>
      <c r="AE65" s="19">
        <f t="shared" ref="AE65:AE77" si="42">M65-J65</f>
        <v>-67.200000000000045</v>
      </c>
      <c r="AF65" s="21">
        <f t="shared" si="9"/>
        <v>0.95519999999999994</v>
      </c>
      <c r="AG65" s="172">
        <f>AF70</f>
        <v>0.96948527056036682</v>
      </c>
    </row>
    <row r="66" spans="1:33" ht="15.75" customHeight="1">
      <c r="A66" s="178" t="s">
        <v>818</v>
      </c>
      <c r="B66" s="4" t="s">
        <v>84</v>
      </c>
      <c r="C66" s="165" t="s">
        <v>128</v>
      </c>
      <c r="D66" s="165"/>
      <c r="E66" s="37">
        <v>27.4</v>
      </c>
      <c r="F66" s="42">
        <v>1306</v>
      </c>
      <c r="G66" s="4">
        <f t="shared" si="39"/>
        <v>35784.400000000001</v>
      </c>
      <c r="H66" s="22" t="s">
        <v>139</v>
      </c>
      <c r="I66" s="16">
        <v>10</v>
      </c>
      <c r="J66" s="18">
        <v>1500</v>
      </c>
      <c r="K66" s="17">
        <f t="shared" si="1"/>
        <v>150</v>
      </c>
      <c r="L66" s="16">
        <v>10</v>
      </c>
      <c r="M66" s="18">
        <f t="shared" si="40"/>
        <v>1451.1111111111118</v>
      </c>
      <c r="N66" s="17">
        <f t="shared" si="3"/>
        <v>145.11111111111117</v>
      </c>
      <c r="O66" s="19">
        <f t="shared" si="4"/>
        <v>0</v>
      </c>
      <c r="P66" s="20">
        <f t="shared" si="5"/>
        <v>-4.8888888888888289</v>
      </c>
      <c r="Q66" s="21">
        <f t="shared" si="6"/>
        <v>0.96740740740740783</v>
      </c>
      <c r="R66" s="172"/>
      <c r="S66" s="28">
        <v>0.28333333333333333</v>
      </c>
      <c r="T66" s="28">
        <v>0.3208333333333333</v>
      </c>
      <c r="U66" s="4">
        <f t="shared" ref="U66:U69" si="43">(S66-T65)*24*60</f>
        <v>7.9999999999999716</v>
      </c>
      <c r="V66" s="22">
        <f t="shared" si="41"/>
        <v>53.999999999999972</v>
      </c>
      <c r="W66" s="4"/>
      <c r="X66" s="4"/>
      <c r="Y66" s="4"/>
      <c r="Z66" s="4"/>
      <c r="AA66" s="164"/>
      <c r="AB66" s="164"/>
      <c r="AC66" s="25"/>
      <c r="AD66" s="25"/>
      <c r="AE66" s="19">
        <f t="shared" si="42"/>
        <v>-48.888888888888232</v>
      </c>
      <c r="AF66" s="21">
        <f t="shared" si="9"/>
        <v>0.96740740740740783</v>
      </c>
      <c r="AG66" s="172"/>
    </row>
    <row r="67" spans="1:33" ht="15.75" customHeight="1">
      <c r="A67" s="178" t="s">
        <v>818</v>
      </c>
      <c r="B67" s="4" t="s">
        <v>111</v>
      </c>
      <c r="C67" s="165" t="s">
        <v>129</v>
      </c>
      <c r="D67" s="165"/>
      <c r="E67" s="37">
        <v>31</v>
      </c>
      <c r="F67" s="42">
        <v>598</v>
      </c>
      <c r="G67" s="4">
        <f t="shared" si="39"/>
        <v>18538</v>
      </c>
      <c r="H67" s="22" t="s">
        <v>139</v>
      </c>
      <c r="I67" s="16">
        <v>13</v>
      </c>
      <c r="J67" s="18">
        <v>2000</v>
      </c>
      <c r="K67" s="17">
        <f t="shared" si="1"/>
        <v>153.84615384615384</v>
      </c>
      <c r="L67" s="16">
        <v>13</v>
      </c>
      <c r="M67" s="18">
        <f t="shared" si="40"/>
        <v>1993.3333333333317</v>
      </c>
      <c r="N67" s="17">
        <f t="shared" si="3"/>
        <v>153.3333333333332</v>
      </c>
      <c r="O67" s="19">
        <f t="shared" si="4"/>
        <v>0</v>
      </c>
      <c r="P67" s="20">
        <f t="shared" si="5"/>
        <v>-0.5128205128206389</v>
      </c>
      <c r="Q67" s="21">
        <f t="shared" si="6"/>
        <v>0.99666666666666581</v>
      </c>
      <c r="R67" s="172"/>
      <c r="S67" s="28">
        <v>0.3256944444444444</v>
      </c>
      <c r="T67" s="28">
        <v>0.33819444444444441</v>
      </c>
      <c r="U67" s="4">
        <f t="shared" si="43"/>
        <v>6.9999999999999751</v>
      </c>
      <c r="V67" s="22">
        <f t="shared" si="41"/>
        <v>18.000000000000014</v>
      </c>
      <c r="W67" s="4"/>
      <c r="X67" s="4"/>
      <c r="Y67" s="4"/>
      <c r="Z67" s="4"/>
      <c r="AA67" s="164"/>
      <c r="AB67" s="164"/>
      <c r="AC67" s="25"/>
      <c r="AD67" s="25"/>
      <c r="AE67" s="19">
        <f t="shared" si="42"/>
        <v>-6.6666666666683341</v>
      </c>
      <c r="AF67" s="21">
        <f t="shared" si="9"/>
        <v>0.99666666666666581</v>
      </c>
      <c r="AG67" s="172"/>
    </row>
    <row r="68" spans="1:33" ht="15.75" customHeight="1">
      <c r="A68" s="178" t="s">
        <v>818</v>
      </c>
      <c r="B68" s="4" t="s">
        <v>111</v>
      </c>
      <c r="C68" s="165" t="s">
        <v>130</v>
      </c>
      <c r="D68" s="165"/>
      <c r="E68" s="37">
        <v>37.85</v>
      </c>
      <c r="F68" s="42">
        <v>2520</v>
      </c>
      <c r="G68" s="4">
        <f t="shared" si="39"/>
        <v>95382</v>
      </c>
      <c r="H68" s="22" t="s">
        <v>139</v>
      </c>
      <c r="I68" s="16">
        <v>12</v>
      </c>
      <c r="J68" s="18">
        <v>2000</v>
      </c>
      <c r="K68" s="17">
        <f t="shared" si="1"/>
        <v>166.66666666666666</v>
      </c>
      <c r="L68" s="16">
        <v>12</v>
      </c>
      <c r="M68" s="18">
        <f t="shared" si="40"/>
        <v>1913.9240506329124</v>
      </c>
      <c r="N68" s="17">
        <f t="shared" si="3"/>
        <v>159.49367088607605</v>
      </c>
      <c r="O68" s="19">
        <f t="shared" si="4"/>
        <v>0</v>
      </c>
      <c r="P68" s="20">
        <f t="shared" si="5"/>
        <v>-7.172995780590611</v>
      </c>
      <c r="Q68" s="21">
        <f t="shared" si="6"/>
        <v>0.95696202531645636</v>
      </c>
      <c r="R68" s="172"/>
      <c r="S68" s="28">
        <v>0.34236111111111106</v>
      </c>
      <c r="T68" s="28">
        <v>0.39722222222222214</v>
      </c>
      <c r="U68" s="4">
        <f t="shared" si="43"/>
        <v>5.9999999999999787</v>
      </c>
      <c r="V68" s="22">
        <f t="shared" si="41"/>
        <v>78.999999999999957</v>
      </c>
      <c r="W68" s="4"/>
      <c r="X68" s="4"/>
      <c r="Y68" s="4"/>
      <c r="Z68" s="4"/>
      <c r="AA68" s="164"/>
      <c r="AB68" s="164"/>
      <c r="AC68" s="25"/>
      <c r="AD68" s="25"/>
      <c r="AE68" s="19">
        <f t="shared" si="42"/>
        <v>-86.07594936708756</v>
      </c>
      <c r="AF68" s="21">
        <f t="shared" si="9"/>
        <v>0.95696202531645624</v>
      </c>
      <c r="AG68" s="172"/>
    </row>
    <row r="69" spans="1:33">
      <c r="A69" s="179" t="s">
        <v>818</v>
      </c>
      <c r="B69" s="4" t="s">
        <v>111</v>
      </c>
      <c r="C69" s="165" t="s">
        <v>131</v>
      </c>
      <c r="D69" s="165"/>
      <c r="E69" s="37">
        <v>34.36</v>
      </c>
      <c r="F69" s="42">
        <v>1839</v>
      </c>
      <c r="G69" s="4">
        <f t="shared" si="39"/>
        <v>63188.04</v>
      </c>
      <c r="H69" s="22" t="s">
        <v>139</v>
      </c>
      <c r="I69" s="16">
        <v>10</v>
      </c>
      <c r="J69" s="18">
        <v>3000</v>
      </c>
      <c r="K69" s="17">
        <f t="shared" ref="K69:K77" si="44">J69/I69</f>
        <v>300</v>
      </c>
      <c r="L69" s="16">
        <v>10</v>
      </c>
      <c r="M69" s="18">
        <f t="shared" si="40"/>
        <v>2903.6842105263136</v>
      </c>
      <c r="N69" s="17">
        <f t="shared" ref="N69:N77" si="45">M69/L69</f>
        <v>290.36842105263133</v>
      </c>
      <c r="O69" s="19">
        <f t="shared" ref="O69:O77" si="46">L69-I69</f>
        <v>0</v>
      </c>
      <c r="P69" s="20">
        <f t="shared" ref="P69:P77" si="47">N69-K69</f>
        <v>-9.6315789473686664</v>
      </c>
      <c r="Q69" s="21">
        <f t="shared" ref="Q69:Q77" si="48">N69/K69</f>
        <v>0.96789473684210448</v>
      </c>
      <c r="R69" s="172"/>
      <c r="S69" s="28">
        <v>0.40208333333333324</v>
      </c>
      <c r="T69" s="28">
        <v>0.42847222222222214</v>
      </c>
      <c r="U69" s="4">
        <f t="shared" si="43"/>
        <v>6.9999999999999751</v>
      </c>
      <c r="V69" s="22">
        <f t="shared" si="41"/>
        <v>38.000000000000028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42"/>
        <v>-96.315789473686436</v>
      </c>
      <c r="AF69" s="21">
        <f t="shared" ref="AF69:AF77" si="49">M69/J69</f>
        <v>0.96789473684210448</v>
      </c>
      <c r="AG69" s="172"/>
    </row>
    <row r="70" spans="1:33">
      <c r="A70" s="179" t="s">
        <v>818</v>
      </c>
      <c r="B70" s="37" t="s">
        <v>808</v>
      </c>
      <c r="C70" s="177"/>
      <c r="D70" s="177"/>
      <c r="E70" s="38"/>
      <c r="F70" s="17"/>
      <c r="G70" s="17"/>
      <c r="H70" s="4"/>
      <c r="I70" s="30">
        <v>10.6</v>
      </c>
      <c r="J70" s="18">
        <v>2000</v>
      </c>
      <c r="K70" s="17">
        <f t="shared" si="44"/>
        <v>188.67924528301887</v>
      </c>
      <c r="L70" s="30">
        <v>10.6</v>
      </c>
      <c r="M70" s="18">
        <f>AVERAGE(M65:M69)</f>
        <v>1938.9705411207337</v>
      </c>
      <c r="N70" s="17">
        <f t="shared" si="45"/>
        <v>182.92174916233338</v>
      </c>
      <c r="O70" s="19">
        <f t="shared" si="46"/>
        <v>0</v>
      </c>
      <c r="P70" s="20">
        <f t="shared" si="47"/>
        <v>-5.757496120685488</v>
      </c>
      <c r="Q70" s="21">
        <f t="shared" si="48"/>
        <v>0.96948527056036693</v>
      </c>
      <c r="R70" s="172"/>
      <c r="S70" s="28"/>
      <c r="T70" s="28"/>
      <c r="U70" s="17"/>
      <c r="V70" s="22"/>
      <c r="W70" s="17"/>
      <c r="X70" s="17"/>
      <c r="Y70" s="31">
        <f>SUM(Y65:Y69)</f>
        <v>0</v>
      </c>
      <c r="Z70" s="31">
        <f>SUM(Z65:Z69)</f>
        <v>0</v>
      </c>
      <c r="AA70" s="168"/>
      <c r="AB70" s="168"/>
      <c r="AC70" s="31">
        <f>SUM(AC65:AC69)</f>
        <v>5</v>
      </c>
      <c r="AD70" s="31">
        <f>SUM(AD65:AD69)</f>
        <v>0</v>
      </c>
      <c r="AE70" s="19">
        <f t="shared" si="42"/>
        <v>-61.029458879266258</v>
      </c>
      <c r="AF70" s="21">
        <f t="shared" si="49"/>
        <v>0.96948527056036682</v>
      </c>
      <c r="AG70" s="172"/>
    </row>
    <row r="71" spans="1:33" ht="15.75" customHeight="1">
      <c r="A71" s="169" t="s">
        <v>819</v>
      </c>
      <c r="B71" s="4" t="s">
        <v>100</v>
      </c>
      <c r="C71" s="165" t="s">
        <v>133</v>
      </c>
      <c r="D71" s="165"/>
      <c r="E71" s="37">
        <v>20.2</v>
      </c>
      <c r="F71" s="4">
        <v>2388</v>
      </c>
      <c r="G71" s="4">
        <f t="shared" ref="G71:G76" si="50">E71*F71</f>
        <v>48237.599999999999</v>
      </c>
      <c r="H71" s="22" t="s">
        <v>139</v>
      </c>
      <c r="I71" s="16">
        <v>19</v>
      </c>
      <c r="J71" s="18">
        <v>2400</v>
      </c>
      <c r="K71" s="17">
        <f t="shared" si="44"/>
        <v>126.31578947368421</v>
      </c>
      <c r="L71" s="16">
        <v>19</v>
      </c>
      <c r="M71" s="18">
        <f t="shared" ref="M71:M76" si="51">F71/V71*60</f>
        <v>2310.9677419354844</v>
      </c>
      <c r="N71" s="17">
        <f t="shared" si="45"/>
        <v>121.62988115449917</v>
      </c>
      <c r="O71" s="19">
        <f t="shared" si="46"/>
        <v>0</v>
      </c>
      <c r="P71" s="20">
        <f t="shared" si="47"/>
        <v>-4.6859083191850317</v>
      </c>
      <c r="Q71" s="21">
        <f t="shared" si="48"/>
        <v>0.96290322580645182</v>
      </c>
      <c r="R71" s="172">
        <f>Q77</f>
        <v>0.95681733605680841</v>
      </c>
      <c r="S71" s="28">
        <v>8.3333333333333329E-2</v>
      </c>
      <c r="T71" s="28">
        <v>0.12638888888888888</v>
      </c>
      <c r="U71" s="28"/>
      <c r="V71" s="22">
        <f t="shared" ref="V71:V76" si="52">(T71-S71)*24*60</f>
        <v>61.999999999999993</v>
      </c>
      <c r="W71" s="23">
        <f>T71</f>
        <v>0.12638888888888888</v>
      </c>
      <c r="X71" s="23">
        <f>S72</f>
        <v>0.14444444444444443</v>
      </c>
      <c r="Y71" s="23"/>
      <c r="Z71" s="23"/>
      <c r="AA71" s="164"/>
      <c r="AB71" s="164"/>
      <c r="AC71" s="25">
        <v>6</v>
      </c>
      <c r="AD71" s="25"/>
      <c r="AE71" s="19">
        <f t="shared" si="42"/>
        <v>-89.032258064515645</v>
      </c>
      <c r="AF71" s="21">
        <f t="shared" si="49"/>
        <v>0.96290322580645182</v>
      </c>
      <c r="AG71" s="172">
        <f>AF77</f>
        <v>0.95681733605680852</v>
      </c>
    </row>
    <row r="72" spans="1:33" ht="15.75" customHeight="1">
      <c r="A72" s="170" t="s">
        <v>819</v>
      </c>
      <c r="B72" s="4" t="s">
        <v>100</v>
      </c>
      <c r="C72" s="165" t="s">
        <v>137</v>
      </c>
      <c r="D72" s="165"/>
      <c r="E72" s="37">
        <v>20.21</v>
      </c>
      <c r="F72" s="4">
        <v>3426</v>
      </c>
      <c r="G72" s="4">
        <f t="shared" si="50"/>
        <v>69239.460000000006</v>
      </c>
      <c r="H72" s="22" t="s">
        <v>139</v>
      </c>
      <c r="I72" s="16">
        <v>16</v>
      </c>
      <c r="J72" s="18">
        <v>2400</v>
      </c>
      <c r="K72" s="17">
        <f t="shared" si="44"/>
        <v>150</v>
      </c>
      <c r="L72" s="16">
        <v>16</v>
      </c>
      <c r="M72" s="18">
        <f t="shared" si="51"/>
        <v>2284</v>
      </c>
      <c r="N72" s="17">
        <f t="shared" si="45"/>
        <v>142.75</v>
      </c>
      <c r="O72" s="19">
        <f t="shared" si="46"/>
        <v>0</v>
      </c>
      <c r="P72" s="20">
        <f t="shared" si="47"/>
        <v>-7.25</v>
      </c>
      <c r="Q72" s="21">
        <f t="shared" si="48"/>
        <v>0.95166666666666666</v>
      </c>
      <c r="R72" s="172"/>
      <c r="S72" s="28">
        <v>0.14444444444444443</v>
      </c>
      <c r="T72" s="28">
        <v>0.20694444444444443</v>
      </c>
      <c r="U72" s="4">
        <f t="shared" ref="U72:U76" si="53">(S72-T71)*24*60</f>
        <v>25.999999999999986</v>
      </c>
      <c r="V72" s="22">
        <f t="shared" si="52"/>
        <v>90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42"/>
        <v>-116</v>
      </c>
      <c r="AF72" s="21">
        <f t="shared" si="49"/>
        <v>0.95166666666666666</v>
      </c>
      <c r="AG72" s="172"/>
    </row>
    <row r="73" spans="1:33" ht="15.75" customHeight="1">
      <c r="A73" s="170" t="s">
        <v>819</v>
      </c>
      <c r="B73" s="4" t="s">
        <v>100</v>
      </c>
      <c r="C73" s="165" t="s">
        <v>136</v>
      </c>
      <c r="D73" s="165"/>
      <c r="E73" s="37">
        <v>24.43</v>
      </c>
      <c r="F73" s="4">
        <v>6747</v>
      </c>
      <c r="G73" s="4">
        <f t="shared" si="50"/>
        <v>164829.21</v>
      </c>
      <c r="H73" s="22" t="s">
        <v>139</v>
      </c>
      <c r="I73" s="16">
        <v>14</v>
      </c>
      <c r="J73" s="18">
        <v>2400</v>
      </c>
      <c r="K73" s="17">
        <f t="shared" si="44"/>
        <v>171.42857142857142</v>
      </c>
      <c r="L73" s="16">
        <v>14</v>
      </c>
      <c r="M73" s="18">
        <f t="shared" si="51"/>
        <v>2287.1186440677957</v>
      </c>
      <c r="N73" s="17">
        <f t="shared" si="45"/>
        <v>163.36561743341397</v>
      </c>
      <c r="O73" s="19">
        <f t="shared" si="46"/>
        <v>0</v>
      </c>
      <c r="P73" s="20">
        <f t="shared" si="47"/>
        <v>-8.0629539951574429</v>
      </c>
      <c r="Q73" s="21">
        <f t="shared" si="48"/>
        <v>0.95296610169491491</v>
      </c>
      <c r="R73" s="172"/>
      <c r="S73" s="28">
        <v>0.21180555555555555</v>
      </c>
      <c r="T73" s="28">
        <v>0.33472222222222225</v>
      </c>
      <c r="U73" s="4">
        <f t="shared" si="53"/>
        <v>7.0000000000000151</v>
      </c>
      <c r="V73" s="22">
        <f t="shared" si="52"/>
        <v>177.00000000000006</v>
      </c>
      <c r="W73" s="23"/>
      <c r="X73" s="23"/>
      <c r="Y73" s="23"/>
      <c r="Z73" s="23"/>
      <c r="AA73" s="164"/>
      <c r="AB73" s="164"/>
      <c r="AC73" s="25"/>
      <c r="AD73" s="25"/>
      <c r="AE73" s="19">
        <f t="shared" si="42"/>
        <v>-112.88135593220431</v>
      </c>
      <c r="AF73" s="21">
        <f t="shared" si="49"/>
        <v>0.95296610169491491</v>
      </c>
      <c r="AG73" s="172"/>
    </row>
    <row r="74" spans="1:33" ht="15.75" customHeight="1">
      <c r="A74" s="170" t="s">
        <v>819</v>
      </c>
      <c r="B74" s="4" t="s">
        <v>100</v>
      </c>
      <c r="C74" s="165" t="s">
        <v>138</v>
      </c>
      <c r="D74" s="165"/>
      <c r="E74" s="37">
        <v>22.69</v>
      </c>
      <c r="F74" s="4">
        <v>1226</v>
      </c>
      <c r="G74" s="4">
        <f t="shared" si="50"/>
        <v>27817.940000000002</v>
      </c>
      <c r="H74" s="22" t="s">
        <v>139</v>
      </c>
      <c r="I74" s="16">
        <v>15</v>
      </c>
      <c r="J74" s="18">
        <v>2400</v>
      </c>
      <c r="K74" s="17">
        <f t="shared" si="44"/>
        <v>160</v>
      </c>
      <c r="L74" s="16">
        <v>15</v>
      </c>
      <c r="M74" s="18">
        <f t="shared" si="51"/>
        <v>2298.7500000000027</v>
      </c>
      <c r="N74" s="17">
        <f t="shared" si="45"/>
        <v>153.25000000000017</v>
      </c>
      <c r="O74" s="19">
        <f t="shared" si="46"/>
        <v>0</v>
      </c>
      <c r="P74" s="20">
        <f t="shared" si="47"/>
        <v>-6.7499999999998295</v>
      </c>
      <c r="Q74" s="21">
        <f t="shared" si="48"/>
        <v>0.95781250000000107</v>
      </c>
      <c r="R74" s="172"/>
      <c r="S74" s="28">
        <v>0.33819444444444446</v>
      </c>
      <c r="T74" s="28">
        <v>0.36041666666666666</v>
      </c>
      <c r="U74" s="4">
        <f t="shared" si="53"/>
        <v>4.9999999999999822</v>
      </c>
      <c r="V74" s="22">
        <f t="shared" si="52"/>
        <v>31.999999999999964</v>
      </c>
      <c r="W74" s="23"/>
      <c r="X74" s="23"/>
      <c r="Y74" s="23"/>
      <c r="Z74" s="23"/>
      <c r="AA74" s="164"/>
      <c r="AB74" s="164"/>
      <c r="AC74" s="25"/>
      <c r="AD74" s="25"/>
      <c r="AE74" s="19">
        <f t="shared" si="42"/>
        <v>-101.24999999999727</v>
      </c>
      <c r="AF74" s="21">
        <f t="shared" si="49"/>
        <v>0.95781250000000118</v>
      </c>
      <c r="AG74" s="172"/>
    </row>
    <row r="75" spans="1:33" ht="15.75" customHeight="1">
      <c r="A75" s="170" t="s">
        <v>819</v>
      </c>
      <c r="B75" s="4" t="s">
        <v>100</v>
      </c>
      <c r="C75" s="165" t="s">
        <v>135</v>
      </c>
      <c r="D75" s="165"/>
      <c r="E75" s="37">
        <v>19.02</v>
      </c>
      <c r="F75" s="4">
        <v>6000</v>
      </c>
      <c r="G75" s="4">
        <f t="shared" si="50"/>
        <v>114120</v>
      </c>
      <c r="H75" s="22">
        <v>2</v>
      </c>
      <c r="I75" s="16">
        <v>15</v>
      </c>
      <c r="J75" s="18">
        <v>2400</v>
      </c>
      <c r="K75" s="17">
        <f t="shared" si="44"/>
        <v>160</v>
      </c>
      <c r="L75" s="16">
        <v>15</v>
      </c>
      <c r="M75" s="18">
        <f t="shared" si="51"/>
        <v>2292.9936305732485</v>
      </c>
      <c r="N75" s="17">
        <f t="shared" si="45"/>
        <v>152.86624203821657</v>
      </c>
      <c r="O75" s="19">
        <f t="shared" si="46"/>
        <v>0</v>
      </c>
      <c r="P75" s="20">
        <f t="shared" si="47"/>
        <v>-7.1337579617834308</v>
      </c>
      <c r="Q75" s="21">
        <f t="shared" si="48"/>
        <v>0.95541401273885351</v>
      </c>
      <c r="R75" s="172"/>
      <c r="S75" s="28">
        <v>0.36458333333333331</v>
      </c>
      <c r="T75" s="28">
        <v>0.47361111111111109</v>
      </c>
      <c r="U75" s="4">
        <f t="shared" si="53"/>
        <v>5.9999999999999787</v>
      </c>
      <c r="V75" s="22">
        <f t="shared" si="52"/>
        <v>157</v>
      </c>
      <c r="W75" s="23">
        <f>T75</f>
        <v>0.47361111111111109</v>
      </c>
      <c r="X75" s="23">
        <f>S76</f>
        <v>0.5131944444444444</v>
      </c>
      <c r="Y75" s="23"/>
      <c r="Z75" s="23"/>
      <c r="AA75" s="164"/>
      <c r="AB75" s="164"/>
      <c r="AC75" s="25"/>
      <c r="AD75" s="25"/>
      <c r="AE75" s="19">
        <f t="shared" si="42"/>
        <v>-107.00636942675146</v>
      </c>
      <c r="AF75" s="21">
        <f t="shared" si="49"/>
        <v>0.95541401273885351</v>
      </c>
      <c r="AG75" s="172"/>
    </row>
    <row r="76" spans="1:33" ht="15.75" customHeight="1">
      <c r="A76" s="170" t="s">
        <v>819</v>
      </c>
      <c r="B76" s="4" t="s">
        <v>100</v>
      </c>
      <c r="C76" s="165" t="s">
        <v>135</v>
      </c>
      <c r="D76" s="165"/>
      <c r="E76" s="37">
        <v>19.02</v>
      </c>
      <c r="F76" s="4">
        <v>4071</v>
      </c>
      <c r="G76" s="4">
        <f t="shared" si="50"/>
        <v>77430.42</v>
      </c>
      <c r="H76" s="22" t="s">
        <v>139</v>
      </c>
      <c r="I76" s="16">
        <v>15</v>
      </c>
      <c r="J76" s="18">
        <v>2400</v>
      </c>
      <c r="K76" s="17">
        <f t="shared" si="44"/>
        <v>160</v>
      </c>
      <c r="L76" s="16">
        <v>15</v>
      </c>
      <c r="M76" s="18">
        <f t="shared" si="51"/>
        <v>2304.3396226415107</v>
      </c>
      <c r="N76" s="17">
        <f t="shared" si="45"/>
        <v>153.62264150943403</v>
      </c>
      <c r="O76" s="19">
        <f t="shared" si="46"/>
        <v>0</v>
      </c>
      <c r="P76" s="20">
        <f t="shared" si="47"/>
        <v>-6.3773584905659675</v>
      </c>
      <c r="Q76" s="21">
        <f t="shared" si="48"/>
        <v>0.9601415094339627</v>
      </c>
      <c r="R76" s="172"/>
      <c r="S76" s="28">
        <v>0.5131944444444444</v>
      </c>
      <c r="T76" s="28">
        <v>0.58680555555555547</v>
      </c>
      <c r="U76" s="4">
        <f t="shared" si="53"/>
        <v>56.999999999999957</v>
      </c>
      <c r="V76" s="22">
        <f t="shared" si="52"/>
        <v>105.99999999999994</v>
      </c>
      <c r="W76" s="23"/>
      <c r="X76" s="23"/>
      <c r="Y76" s="23"/>
      <c r="Z76" s="23"/>
      <c r="AA76" s="164"/>
      <c r="AB76" s="164"/>
      <c r="AC76" s="25"/>
      <c r="AD76" s="25"/>
      <c r="AE76" s="19">
        <f t="shared" si="42"/>
        <v>-95.660377358489313</v>
      </c>
      <c r="AF76" s="21">
        <f t="shared" si="49"/>
        <v>0.96014150943396281</v>
      </c>
      <c r="AG76" s="172"/>
    </row>
    <row r="77" spans="1:33" ht="16.5" customHeight="1">
      <c r="A77" s="171" t="s">
        <v>819</v>
      </c>
      <c r="B77" s="37" t="s">
        <v>808</v>
      </c>
      <c r="C77" s="166"/>
      <c r="D77" s="167"/>
      <c r="E77" s="38"/>
      <c r="F77" s="17"/>
      <c r="G77" s="17"/>
      <c r="H77" s="4"/>
      <c r="I77" s="30">
        <v>15.666666666666666</v>
      </c>
      <c r="J77" s="18">
        <v>2400</v>
      </c>
      <c r="K77" s="17">
        <f t="shared" si="44"/>
        <v>153.19148936170214</v>
      </c>
      <c r="L77" s="30">
        <v>15.666666666666666</v>
      </c>
      <c r="M77" s="18">
        <f>AVERAGE(M71:M76)</f>
        <v>2296.3616065363403</v>
      </c>
      <c r="N77" s="17">
        <f t="shared" si="45"/>
        <v>146.57627275763875</v>
      </c>
      <c r="O77" s="19">
        <f t="shared" si="46"/>
        <v>0</v>
      </c>
      <c r="P77" s="20">
        <f t="shared" si="47"/>
        <v>-6.6152166040633915</v>
      </c>
      <c r="Q77" s="21">
        <f t="shared" si="48"/>
        <v>0.95681733605680841</v>
      </c>
      <c r="R77" s="172"/>
      <c r="S77" s="28"/>
      <c r="T77" s="28"/>
      <c r="U77" s="17"/>
      <c r="V77" s="22"/>
      <c r="W77" s="17"/>
      <c r="X77" s="17"/>
      <c r="Y77" s="31">
        <f>SUM(Y71:Y76)</f>
        <v>0</v>
      </c>
      <c r="Z77" s="31">
        <f>SUM(Z71:Z76)</f>
        <v>0</v>
      </c>
      <c r="AA77" s="168"/>
      <c r="AB77" s="168"/>
      <c r="AC77" s="31">
        <f>SUM(AC71:AC76)</f>
        <v>6</v>
      </c>
      <c r="AD77" s="31">
        <f>SUM(AD71:AD76)</f>
        <v>0</v>
      </c>
      <c r="AE77" s="19">
        <f t="shared" si="42"/>
        <v>-103.63839346365967</v>
      </c>
      <c r="AF77" s="21">
        <f t="shared" si="49"/>
        <v>0.95681733605680852</v>
      </c>
      <c r="AG77" s="172"/>
    </row>
    <row r="78" spans="1:33">
      <c r="D78" s="33"/>
      <c r="E78" s="33"/>
    </row>
  </sheetData>
  <mergeCells count="206">
    <mergeCell ref="AG71:AG77"/>
    <mergeCell ref="C72:D72"/>
    <mergeCell ref="AA72:AB72"/>
    <mergeCell ref="C73:D73"/>
    <mergeCell ref="AA73:AB73"/>
    <mergeCell ref="C74:D74"/>
    <mergeCell ref="AA74:AB74"/>
    <mergeCell ref="C75:D75"/>
    <mergeCell ref="AA75:AB75"/>
    <mergeCell ref="C76:D76"/>
    <mergeCell ref="A71:A77"/>
    <mergeCell ref="C71:D71"/>
    <mergeCell ref="R71:R77"/>
    <mergeCell ref="AA71:AB71"/>
    <mergeCell ref="AA76:AB76"/>
    <mergeCell ref="A65:A70"/>
    <mergeCell ref="C65:D65"/>
    <mergeCell ref="R65:R70"/>
    <mergeCell ref="AA65:AB65"/>
    <mergeCell ref="C77:D77"/>
    <mergeCell ref="AA77:AB77"/>
    <mergeCell ref="AG65:AG70"/>
    <mergeCell ref="C66:D66"/>
    <mergeCell ref="AA66:AB66"/>
    <mergeCell ref="C67:D67"/>
    <mergeCell ref="AA67:AB67"/>
    <mergeCell ref="C68:D68"/>
    <mergeCell ref="C62:D62"/>
    <mergeCell ref="AA62:AB62"/>
    <mergeCell ref="C63:D63"/>
    <mergeCell ref="AA63:AB63"/>
    <mergeCell ref="C64:D64"/>
    <mergeCell ref="AA64:AB64"/>
    <mergeCell ref="AG54:AG64"/>
    <mergeCell ref="AA68:AB68"/>
    <mergeCell ref="C69:D69"/>
    <mergeCell ref="AA69:AB69"/>
    <mergeCell ref="C70:D70"/>
    <mergeCell ref="AA70:AB70"/>
    <mergeCell ref="A54:A64"/>
    <mergeCell ref="C54:D54"/>
    <mergeCell ref="R54:R64"/>
    <mergeCell ref="AA54:AB54"/>
    <mergeCell ref="C55:D55"/>
    <mergeCell ref="AA55:AB55"/>
    <mergeCell ref="C56:D56"/>
    <mergeCell ref="AA56:AB56"/>
    <mergeCell ref="AA57:AB57"/>
    <mergeCell ref="AA49:AB49"/>
    <mergeCell ref="C50:D50"/>
    <mergeCell ref="AA50:AB50"/>
    <mergeCell ref="AA58:AB58"/>
    <mergeCell ref="C59:D59"/>
    <mergeCell ref="AA59:AB59"/>
    <mergeCell ref="C60:D60"/>
    <mergeCell ref="AA60:AB60"/>
    <mergeCell ref="C61:D61"/>
    <mergeCell ref="AA61:AB61"/>
    <mergeCell ref="A37:A43"/>
    <mergeCell ref="C37:D37"/>
    <mergeCell ref="R37:R43"/>
    <mergeCell ref="AA37:AB37"/>
    <mergeCell ref="A44:A53"/>
    <mergeCell ref="C44:D44"/>
    <mergeCell ref="R44:R53"/>
    <mergeCell ref="AA44:AB44"/>
    <mergeCell ref="AG44:AG53"/>
    <mergeCell ref="C45:D45"/>
    <mergeCell ref="AA45:AB45"/>
    <mergeCell ref="C46:D46"/>
    <mergeCell ref="AA46:AB46"/>
    <mergeCell ref="C47:D47"/>
    <mergeCell ref="C51:D51"/>
    <mergeCell ref="AA51:AB51"/>
    <mergeCell ref="C52:D52"/>
    <mergeCell ref="AA52:AB52"/>
    <mergeCell ref="C53:D53"/>
    <mergeCell ref="AA53:AB53"/>
    <mergeCell ref="AA47:AB47"/>
    <mergeCell ref="C48:D48"/>
    <mergeCell ref="AA48:AB48"/>
    <mergeCell ref="C49:D49"/>
    <mergeCell ref="AG37:AG43"/>
    <mergeCell ref="C38:D38"/>
    <mergeCell ref="AA38:AB38"/>
    <mergeCell ref="C39:D39"/>
    <mergeCell ref="AA39:AB39"/>
    <mergeCell ref="C40:D40"/>
    <mergeCell ref="AA33:AB33"/>
    <mergeCell ref="C34:D34"/>
    <mergeCell ref="AA34:AB34"/>
    <mergeCell ref="C35:D35"/>
    <mergeCell ref="AA35:AB35"/>
    <mergeCell ref="C36:D36"/>
    <mergeCell ref="AA36:AB36"/>
    <mergeCell ref="AA40:AB40"/>
    <mergeCell ref="C41:D41"/>
    <mergeCell ref="AA41:AB41"/>
    <mergeCell ref="C42:D42"/>
    <mergeCell ref="AA42:AB42"/>
    <mergeCell ref="C43:D43"/>
    <mergeCell ref="AA43:AB43"/>
    <mergeCell ref="A23:A29"/>
    <mergeCell ref="C23:D23"/>
    <mergeCell ref="R23:R29"/>
    <mergeCell ref="AA23:AB23"/>
    <mergeCell ref="A30:A36"/>
    <mergeCell ref="C30:D30"/>
    <mergeCell ref="R30:R36"/>
    <mergeCell ref="AA30:AB30"/>
    <mergeCell ref="AG30:AG36"/>
    <mergeCell ref="C31:D31"/>
    <mergeCell ref="AA31:AB31"/>
    <mergeCell ref="C32:D32"/>
    <mergeCell ref="AA32:AB32"/>
    <mergeCell ref="C33:D33"/>
    <mergeCell ref="AA14:AB14"/>
    <mergeCell ref="AG23:AG29"/>
    <mergeCell ref="C24:D24"/>
    <mergeCell ref="AA24:AB24"/>
    <mergeCell ref="C25:D25"/>
    <mergeCell ref="AA25:AB25"/>
    <mergeCell ref="C26:D26"/>
    <mergeCell ref="C19:D19"/>
    <mergeCell ref="AA19:AB19"/>
    <mergeCell ref="C20:D20"/>
    <mergeCell ref="AA20:AB20"/>
    <mergeCell ref="AA21:AB21"/>
    <mergeCell ref="C22:D22"/>
    <mergeCell ref="AA22:AB22"/>
    <mergeCell ref="AA26:AB26"/>
    <mergeCell ref="C27:D27"/>
    <mergeCell ref="AA27:AB27"/>
    <mergeCell ref="C28:D28"/>
    <mergeCell ref="AA28:AB28"/>
    <mergeCell ref="C29:D29"/>
    <mergeCell ref="AA29:AB29"/>
    <mergeCell ref="A15:A22"/>
    <mergeCell ref="C15:D15"/>
    <mergeCell ref="R15:R22"/>
    <mergeCell ref="AA15:AB15"/>
    <mergeCell ref="AG15:AG22"/>
    <mergeCell ref="C10:D10"/>
    <mergeCell ref="AA10:AB10"/>
    <mergeCell ref="C11:D11"/>
    <mergeCell ref="AA11:AB11"/>
    <mergeCell ref="A12:A14"/>
    <mergeCell ref="C12:D12"/>
    <mergeCell ref="R12:R14"/>
    <mergeCell ref="AA12:AB12"/>
    <mergeCell ref="A5:A11"/>
    <mergeCell ref="C16:D16"/>
    <mergeCell ref="AA16:AB16"/>
    <mergeCell ref="C17:D17"/>
    <mergeCell ref="AA17:AB17"/>
    <mergeCell ref="C18:D18"/>
    <mergeCell ref="AA18:AB18"/>
    <mergeCell ref="AG12:AG14"/>
    <mergeCell ref="C13:D13"/>
    <mergeCell ref="AA13:AB13"/>
    <mergeCell ref="C14:D1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:O77">
    <cfRule type="cellIs" dxfId="78" priority="1" operator="greaterThan">
      <formula>0</formula>
    </cfRule>
  </conditionalFormatting>
  <conditionalFormatting sqref="P5:P77">
    <cfRule type="cellIs" dxfId="77" priority="4" operator="lessThan">
      <formula>0</formula>
    </cfRule>
  </conditionalFormatting>
  <conditionalFormatting sqref="Q5:Q77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R5:R12 AG5:AG12">
    <cfRule type="cellIs" dxfId="74" priority="80" operator="lessThan">
      <formula>0.8</formula>
    </cfRule>
  </conditionalFormatting>
  <conditionalFormatting sqref="AE5:AE77">
    <cfRule type="cellIs" dxfId="73" priority="22" operator="lessThan">
      <formula>0</formula>
    </cfRule>
  </conditionalFormatting>
  <conditionalFormatting sqref="AF5:AF77">
    <cfRule type="cellIs" dxfId="72" priority="20" operator="greaterThan">
      <formula>1</formula>
    </cfRule>
    <cfRule type="cellIs" dxfId="71" priority="21" operator="lessThan">
      <formula>0.8</formula>
    </cfRule>
  </conditionalFormatting>
  <conditionalFormatting sqref="AG15:AG68 R15:R77">
    <cfRule type="cellIs" dxfId="70" priority="5" operator="lessThan">
      <formula>0.8</formula>
    </cfRule>
  </conditionalFormatting>
  <dataValidations count="1">
    <dataValidation type="list" allowBlank="1" showInputMessage="1" showErrorMessage="1" sqref="AA5:AB9 AB10:AB11 AB69 AA10:AA69 AB13:AB65 AA70:AB77" xr:uid="{00000000-0002-0000-29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Q32"/>
  <sheetViews>
    <sheetView topLeftCell="A4" zoomScale="85" zoomScaleNormal="85" workbookViewId="0">
      <selection activeCell="M6" sqref="M6:M8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636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637</v>
      </c>
      <c r="C3" s="153" t="str">
        <f>TEXT('0207 4度C'!A2,"yyyy.mm.ddaaaa")</f>
        <v>2026.02.07星期六</v>
      </c>
      <c r="D3" s="154"/>
      <c r="E3" s="47" t="s">
        <v>638</v>
      </c>
      <c r="F3" s="155">
        <f>'0207 4度C'!D1</f>
        <v>132575</v>
      </c>
      <c r="G3" s="156"/>
      <c r="H3" s="47" t="s">
        <v>300</v>
      </c>
      <c r="I3" s="157">
        <f>'0207 4度C'!F1</f>
        <v>4602841.2500000009</v>
      </c>
      <c r="J3" s="158"/>
      <c r="K3" s="48"/>
      <c r="L3" s="49"/>
      <c r="M3" s="49"/>
      <c r="N3" s="49"/>
    </row>
    <row r="4" spans="2:17" ht="28.5" customHeight="1">
      <c r="B4" s="159" t="s">
        <v>301</v>
      </c>
      <c r="C4" s="145" t="s">
        <v>639</v>
      </c>
      <c r="D4" s="146"/>
      <c r="E4" s="162" t="s">
        <v>303</v>
      </c>
      <c r="F4" s="163"/>
      <c r="G4" s="162" t="s">
        <v>640</v>
      </c>
      <c r="H4" s="163"/>
      <c r="I4" s="162" t="s">
        <v>641</v>
      </c>
      <c r="J4" s="163"/>
      <c r="K4" s="143" t="s">
        <v>642</v>
      </c>
      <c r="L4" s="144"/>
      <c r="M4" s="144" t="s">
        <v>643</v>
      </c>
      <c r="N4" s="144"/>
    </row>
    <row r="5" spans="2:17" ht="28.5" customHeight="1">
      <c r="B5" s="160"/>
      <c r="C5" s="145" t="s">
        <v>644</v>
      </c>
      <c r="D5" s="146"/>
      <c r="E5" s="145" t="s">
        <v>309</v>
      </c>
      <c r="F5" s="146"/>
      <c r="G5" s="147" t="s">
        <v>504</v>
      </c>
      <c r="H5" s="148"/>
      <c r="I5" s="149" t="s">
        <v>645</v>
      </c>
      <c r="J5" s="150"/>
      <c r="K5" s="50" t="s">
        <v>646</v>
      </c>
      <c r="L5" s="51" t="s">
        <v>647</v>
      </c>
      <c r="M5" s="50" t="s">
        <v>648</v>
      </c>
      <c r="N5" s="51" t="s">
        <v>649</v>
      </c>
    </row>
    <row r="6" spans="2:17" ht="28.5" customHeight="1">
      <c r="B6" s="160"/>
      <c r="C6" s="145" t="s">
        <v>158</v>
      </c>
      <c r="D6" s="146"/>
      <c r="E6" s="137">
        <f>AVERAGE(D13:M13)</f>
        <v>143.9163655209581</v>
      </c>
      <c r="F6" s="138">
        <f>AVERAGE(D31:O31,D13:J13)</f>
        <v>146.91530464076149</v>
      </c>
      <c r="G6" s="139">
        <f>AVERAGE(D13:J13)</f>
        <v>146.91530464076149</v>
      </c>
      <c r="H6" s="140"/>
      <c r="I6" s="139">
        <f>AVERAGE(K13:M13)</f>
        <v>136.91884090808341</v>
      </c>
      <c r="J6" s="140"/>
      <c r="K6" s="141">
        <f>'0207 4度C'!Y2</f>
        <v>0</v>
      </c>
      <c r="L6" s="126">
        <f>'0207 4度C'!Z2</f>
        <v>0</v>
      </c>
      <c r="M6" s="142">
        <f>'0207 4度C'!AC2</f>
        <v>57</v>
      </c>
      <c r="N6" s="126">
        <f>'0207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138.00433934807805</v>
      </c>
      <c r="F7" s="130">
        <f>AVERAGE(D32:O32,D14:J14)</f>
        <v>140.97189452496303</v>
      </c>
      <c r="G7" s="131">
        <f>AVERAGE(D14:J14)</f>
        <v>140.97189452496303</v>
      </c>
      <c r="H7" s="132"/>
      <c r="I7" s="131">
        <f>AVERAGE(K14:M14)</f>
        <v>131.08004393534642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0.95821289927271247</v>
      </c>
      <c r="F8" s="134">
        <f>AVERAGE(D15:J15,D33:O33)</f>
        <v>0.95860833744331353</v>
      </c>
      <c r="G8" s="135">
        <f>AVERAGE(D15:J15)</f>
        <v>0.95860833744331353</v>
      </c>
      <c r="H8" s="136"/>
      <c r="I8" s="135">
        <f>AVERAGE(K15:M15)</f>
        <v>0.95729021020797622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650</v>
      </c>
      <c r="N9" s="49"/>
      <c r="O9" s="49"/>
      <c r="P9" s="49"/>
      <c r="Q9" s="49"/>
    </row>
    <row r="10" spans="2:17" ht="30" customHeight="1">
      <c r="B10" s="109" t="s">
        <v>651</v>
      </c>
      <c r="C10" s="110"/>
      <c r="D10" s="111" t="s">
        <v>652</v>
      </c>
      <c r="E10" s="112"/>
      <c r="F10" s="112"/>
      <c r="G10" s="112"/>
      <c r="H10" s="112"/>
      <c r="I10" s="112"/>
      <c r="J10" s="113"/>
      <c r="K10" s="114" t="s">
        <v>653</v>
      </c>
      <c r="L10" s="115"/>
      <c r="M10" s="116"/>
      <c r="P10" s="55"/>
      <c r="Q10" s="55"/>
    </row>
    <row r="11" spans="2:17" ht="17.25" customHeight="1">
      <c r="B11" s="117" t="s">
        <v>320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13</v>
      </c>
      <c r="C13" s="62" t="s">
        <v>654</v>
      </c>
      <c r="D13" s="63">
        <f>SUMIFS('0207 4度C'!$K:$K,'0207 4度C'!$A:$A,"新豐6線",'0207 4度C'!$B:$B,"平均")</f>
        <v>113.63636363636363</v>
      </c>
      <c r="E13" s="64">
        <f>SUMIFS('0207 4度C'!$K:$K,'0207 4度C'!$A:$A,"新豐2線",'0207 4度C'!$B:$B,"平均")</f>
        <v>83.333333333333329</v>
      </c>
      <c r="F13" s="65">
        <f>SUMIFS('0207 4度C'!$K:$K,'0207 4度C'!$A:$A,"新豐5線",'0207 4度C'!$B:$B,"平均")</f>
        <v>109.24369747899159</v>
      </c>
      <c r="G13" s="65">
        <f>SUMIFS('0207 4度C'!$K:$K,'0207 4度C'!$A:$A,"新豐7線",'0207 4度C'!$B:$B,"平均")</f>
        <v>125</v>
      </c>
      <c r="H13" s="65">
        <f>SUMIFS('0207 4度C'!$K:$K,'0207 4度C'!$A:$A,"新豐3線",'0207 4度C'!$B:$B,"平均")</f>
        <v>304.3478260869565</v>
      </c>
      <c r="I13" s="65">
        <f>SUMIFS('0207 4度C'!$K:$K,'0207 4度C'!$A:$A,"新豐1線",'0207 4度C'!$B:$B,"平均")</f>
        <v>104.16666666666666</v>
      </c>
      <c r="J13" s="66">
        <f>SUMIFS('0207 4度C'!$K:$K,'0207 4度C'!$A:$A,"新豐10線",'0207 4度C'!$B:$B,"平均")</f>
        <v>188.67924528301887</v>
      </c>
      <c r="K13" s="67">
        <f>SUMIFS('0207 4度C'!$K:$K,'0207 4度C'!$A:$A,"新豐8線",'0207 4度C'!$B:$B,"平均")</f>
        <v>131.86813186813188</v>
      </c>
      <c r="L13" s="68">
        <f>SUMIFS('0207 4度C'!$K:$K,'0207 4度C'!$A:$A,"新豐9線",'0207 4度C'!$B:$B,"平均")</f>
        <v>130.43478260869566</v>
      </c>
      <c r="M13" s="66">
        <f>SUMIFS('0207 4度C'!$K:$K,'0207 4度C'!$A:$A,"新豐4線",'0207 4度C'!$B:$B,"平均")</f>
        <v>148.45360824742266</v>
      </c>
    </row>
    <row r="14" spans="2:17" ht="39.6" customHeight="1">
      <c r="B14" s="122"/>
      <c r="C14" s="69" t="s">
        <v>655</v>
      </c>
      <c r="D14" s="70">
        <f>SUMIFS('0207 4度C'!$N:$N,'0207 4度C'!$A:$A,"新豐6線",'0207 4度C'!$B:$B,"平均")</f>
        <v>110.55837280010094</v>
      </c>
      <c r="E14" s="71">
        <f>SUMIFS('0207 4度C'!$N:$N,'0207 4度C'!$A:$A,"新豐2線",'0207 4度C'!$B:$B,"平均")</f>
        <v>79.782972177635102</v>
      </c>
      <c r="F14" s="71">
        <f>SUMIFS('0207 4度C'!$N:$N,'0207 4度C'!$A:$A,"新豐5線",'0207 4度C'!$B:$B,"平均")</f>
        <v>104.68124969169722</v>
      </c>
      <c r="G14" s="71">
        <f>SUMIFS('0207 4度C'!$N:$N,'0207 4度C'!$A:$A,"新豐7線",'0207 4度C'!$B:$B,"平均")</f>
        <v>120.45270764983412</v>
      </c>
      <c r="H14" s="71">
        <f>SUMIFS('0207 4度C'!$N:$N,'0207 4度C'!$A:$A,"新豐3線",'0207 4度C'!$B:$B,"平均")</f>
        <v>291.75379334045732</v>
      </c>
      <c r="I14" s="71">
        <f>SUMIFS('0207 4度C'!$N:$N,'0207 4度C'!$A:$A,"新豐1線",'0207 4度C'!$B:$B,"平均")</f>
        <v>97.146188998185892</v>
      </c>
      <c r="J14" s="72">
        <f>SUMIFS('0207 4度C'!$N:$N,'0207 4度C'!$A:$A,"新豐10線",'0207 4度C'!$B:$B,"平均")</f>
        <v>182.42797701683065</v>
      </c>
      <c r="K14" s="73">
        <f>SUMIFS('0207 4度C'!$N:$N,'0207 4度C'!$A:$A,"新豐8線",'0207 4度C'!$B:$B,"平均")</f>
        <v>126.26788074468486</v>
      </c>
      <c r="L14" s="74">
        <f>SUMIFS('0207 4度C'!$N:$N,'0207 4度C'!$A:$A,"新豐9線",'0207 4度C'!$B:$B,"平均")</f>
        <v>124.64001124728385</v>
      </c>
      <c r="M14" s="72">
        <f>SUMIFS('0207 4度C'!$N:$N,'0207 4度C'!$A:$A,"新豐4線",'0207 4度C'!$B:$B,"平均")</f>
        <v>142.33223981407059</v>
      </c>
    </row>
    <row r="15" spans="2:17" ht="40.15" customHeight="1">
      <c r="B15" s="123"/>
      <c r="C15" s="75" t="s">
        <v>656</v>
      </c>
      <c r="D15" s="76">
        <f t="shared" ref="D15:M15" si="0">D14/D13</f>
        <v>0.97291368064088835</v>
      </c>
      <c r="E15" s="77">
        <f t="shared" si="0"/>
        <v>0.9573956661316213</v>
      </c>
      <c r="F15" s="77">
        <f t="shared" si="0"/>
        <v>0.95823605487015151</v>
      </c>
      <c r="G15" s="77">
        <f t="shared" si="0"/>
        <v>0.96362166119867299</v>
      </c>
      <c r="H15" s="77">
        <f t="shared" si="0"/>
        <v>0.95861960669007407</v>
      </c>
      <c r="I15" s="77">
        <f t="shared" si="0"/>
        <v>0.93260341438258465</v>
      </c>
      <c r="J15" s="78">
        <f t="shared" si="0"/>
        <v>0.9668682781892024</v>
      </c>
      <c r="K15" s="76">
        <f t="shared" si="0"/>
        <v>0.95753142898052679</v>
      </c>
      <c r="L15" s="77">
        <f t="shared" si="0"/>
        <v>0.95557341956250952</v>
      </c>
      <c r="M15" s="78">
        <f t="shared" si="0"/>
        <v>0.95876578208089225</v>
      </c>
    </row>
    <row r="16" spans="2:17" ht="17.25" customHeight="1">
      <c r="B16" s="124" t="s">
        <v>229</v>
      </c>
      <c r="C16" s="79" t="s">
        <v>657</v>
      </c>
      <c r="D16" s="80">
        <f>VLOOKUP("新豐6線",'0207 4度C'!$A:$T,19,0)</f>
        <v>0.70833333333333337</v>
      </c>
      <c r="E16" s="81">
        <f>VLOOKUP("新豐2線",'0207 4度C'!$A:$T,19,0)</f>
        <v>0.20833333333333334</v>
      </c>
      <c r="F16" s="81">
        <f>VLOOKUP("新豐5線",'0207 4度C'!$A:$T,19,0)</f>
        <v>0.20833333333333334</v>
      </c>
      <c r="G16" s="81">
        <f>VLOOKUP("新豐7線",'0207 4度C'!$A:$T,19,0)</f>
        <v>0.20833333333333334</v>
      </c>
      <c r="H16" s="81">
        <f>VLOOKUP("新豐3線",'0207 4度C'!$A:$T,19,0)</f>
        <v>8.3333333333333329E-2</v>
      </c>
      <c r="I16" s="81">
        <f>VLOOKUP("新豐1線",'0207 4度C'!$A:$T,19,0)</f>
        <v>0.20833333333333334</v>
      </c>
      <c r="J16" s="82">
        <f>VLOOKUP("新豐10線",'0207 4度C'!$A:$T,19,0)</f>
        <v>0.20833333333333334</v>
      </c>
      <c r="K16" s="83">
        <f>VLOOKUP("新豐8線",'0207 4度C'!$A:$T,19,0)</f>
        <v>8.3333333333333329E-2</v>
      </c>
      <c r="L16" s="84">
        <f>VLOOKUP("新豐9線",'0207 4度C'!$A:$T,19,0)</f>
        <v>8.3333333333333329E-2</v>
      </c>
      <c r="M16" s="85">
        <f>VLOOKUP("新豐4線",'0207 4度C'!$A:$T,19,0)</f>
        <v>8.3333333333333329E-2</v>
      </c>
    </row>
    <row r="17" spans="2:13" ht="17.25" customHeight="1">
      <c r="B17" s="125"/>
      <c r="C17" s="79" t="s">
        <v>658</v>
      </c>
      <c r="D17" s="83">
        <f>LOOKUP(2,1/(('0207 4度C'!$A:$A="新豐6線")*('0207 4度C'!$T:$T&lt;&gt;"")),'0207 4度C'!$T:$T)</f>
        <v>0.8340277777777777</v>
      </c>
      <c r="E17" s="81">
        <f>LOOKUP(2,1/(('0207 4度C'!$A:$A="新豐2線")*('0207 4度C'!$T:$T&lt;&gt;"")),'0207 4度C'!$T:$T)</f>
        <v>0.41388888888888886</v>
      </c>
      <c r="F17" s="81">
        <f>LOOKUP(2,1/(('0207 4度C'!$A:$A="新豐5線")*('0207 4度C'!$T:$T&lt;&gt;"")),'0207 4度C'!$T:$T)</f>
        <v>0.90277777777777779</v>
      </c>
      <c r="G17" s="81">
        <f>LOOKUP(2,1/(('0207 4度C'!$A:$A="新豐7線")*('0207 4度C'!$T:$T&lt;&gt;"")),'0207 4度C'!$T:$T)</f>
        <v>0.90833333333333333</v>
      </c>
      <c r="H17" s="81">
        <f>LOOKUP(2,1/(('0207 4度C'!$A:$A="新豐3線")*('0207 4度C'!$T:$T&lt;&gt;"")),'0207 4度C'!$T:$T)</f>
        <v>0.48888888888888882</v>
      </c>
      <c r="I17" s="81">
        <f>LOOKUP(2,1/(('0207 4度C'!$A:$A="新豐1線")*('0207 4度C'!$T:$T&lt;&gt;"")),'0207 4度C'!$T:$T)</f>
        <v>0.85277777777777775</v>
      </c>
      <c r="J17" s="82">
        <f>LOOKUP(2,1/(('0207 4度C'!$A:$A="新豐10線")*('0207 4度C'!$T:$T&lt;&gt;"")),'0207 4度C'!$T:$T)</f>
        <v>0.40694444444444439</v>
      </c>
      <c r="K17" s="80">
        <f>LOOKUP(2,1/(('0207 4度C'!$A:$A="新豐8線")*('0207 4度C'!$T:$T&lt;&gt;"")),'0207 4度C'!$T:$T)</f>
        <v>0.45138888888888884</v>
      </c>
      <c r="L17" s="81">
        <f>LOOKUP(2,1/(('0207 4度C'!$A:$A="新豐9線")*('0207 4度C'!$T:$T&lt;&gt;"")),'0207 4度C'!$T:$T)</f>
        <v>0.45277777777777772</v>
      </c>
      <c r="M17" s="82">
        <f>LOOKUP(2,1/(('0207 4度C'!$A:$A="新豐4線")*('0207 4度C'!$T:$T&lt;&gt;"")),'0207 4度C'!$T:$T)</f>
        <v>0.46250000000000002</v>
      </c>
    </row>
    <row r="18" spans="2:13" ht="17.25" customHeight="1">
      <c r="B18" s="103" t="s">
        <v>659</v>
      </c>
      <c r="C18" s="86" t="s">
        <v>660</v>
      </c>
      <c r="D18" s="87">
        <f>SUMIFS('0207 4度C'!$Y:$Y,'0207 4度C'!$A:$A,"新豐6線",'0207 4度C'!$B:$B,"平均")</f>
        <v>0</v>
      </c>
      <c r="E18" s="88">
        <f>SUMIFS('0207 4度C'!$Y:$Y,'0207 4度C'!$A:$A,"新豐2線",'0207 4度C'!$B:$B,"平均")</f>
        <v>0</v>
      </c>
      <c r="F18" s="88">
        <f>SUMIFS('0207 4度C'!$Y:$Y,'0207 4度C'!$A:$A,"新豐5線",'0207 4度C'!$B:$B,"平均")</f>
        <v>0</v>
      </c>
      <c r="G18" s="88">
        <f>SUMIFS('0207 4度C'!$Y:$Y,'0207 4度C'!$A:$A,"新豐7線",'0207 4度C'!$B:$B,"平均")</f>
        <v>0</v>
      </c>
      <c r="H18" s="88">
        <f>SUMIFS('0207 4度C'!$Y:$Y,'0207 4度C'!$A:$A,"新豐3線",'0207 4度C'!$B:$B,"平均")</f>
        <v>0</v>
      </c>
      <c r="I18" s="88">
        <f>SUMIFS('0207 4度C'!$Y:$Y,'0207 4度C'!$A:$A,"新豐1線",'0207 4度C'!$B:$B,"平均")</f>
        <v>0</v>
      </c>
      <c r="J18" s="89">
        <f>SUMIFS('0207 4度C'!$Y:$Y,'0207 4度C'!$A:$A,"新豐10線",'0207 4度C'!$B:$B,"平均")</f>
        <v>0</v>
      </c>
      <c r="K18" s="90">
        <f>SUMIFS('0207 4度C'!$Y:$Y,'0207 4度C'!$A:$A,"新豐8線",'0207 4度C'!$B:$B,"平均")</f>
        <v>0</v>
      </c>
      <c r="L18" s="88">
        <f>SUMIFS('0207 4度C'!$Y:$Y,'0207 4度C'!$A:$A,"新豐9線",'0207 4度C'!$B:$B,"平均")</f>
        <v>0</v>
      </c>
      <c r="M18" s="89">
        <f>SUMIFS('0207 4度C'!$Y:$Y,'0207 4度C'!$A:$A,"新豐4線",'0207 4度C'!$B:$B,"平均")</f>
        <v>0</v>
      </c>
    </row>
    <row r="19" spans="2:13" ht="17.25" customHeight="1">
      <c r="B19" s="104"/>
      <c r="C19" s="86" t="s">
        <v>43</v>
      </c>
      <c r="D19" s="87">
        <f>SUMIFS('0207 4度C'!$Z:$Z,'0207 4度C'!$A:$A,"新豐6線",'0207 4度C'!$B:$B,"平均")</f>
        <v>0</v>
      </c>
      <c r="E19" s="88">
        <f>SUMIFS('0207 4度C'!$Z:$Z,'0207 4度C'!$A:$A,"新豐2線",'0207 4度C'!$B:$B,"平均")</f>
        <v>0</v>
      </c>
      <c r="F19" s="88">
        <f>SUMIFS('0207 4度C'!$Z:$Z,'0207 4度C'!$A:$A,"新豐5線",'0207 4度C'!$B:$B,"平均")</f>
        <v>0</v>
      </c>
      <c r="G19" s="88">
        <f>SUMIFS('0207 4度C'!$Z:$Z,'0207 4度C'!$A:$A,"新豐7線",'0207 4度C'!$B:$B,"平均")</f>
        <v>0</v>
      </c>
      <c r="H19" s="88">
        <f>SUMIFS('0207 4度C'!$Z:$Z,'0207 4度C'!$A:$A,"新豐3線",'0207 4度C'!$B:$B,"平均")</f>
        <v>0</v>
      </c>
      <c r="I19" s="88">
        <f>SUMIFS('0207 4度C'!$Z:$Z,'0207 4度C'!$A:$A,"新豐1線",'0207 4度C'!$B:$B,"平均")</f>
        <v>0</v>
      </c>
      <c r="J19" s="89">
        <f>SUMIFS('0207 4度C'!$Z:$Z,'0207 4度C'!$A:$A,"新豐10線",'0207 4度C'!$B:$B,"平均")</f>
        <v>0</v>
      </c>
      <c r="K19" s="90">
        <f>SUMIFS('0207 4度C'!$Z:$Z,'0207 4度C'!$A:$A,"新豐8線",'0207 4度C'!$B:$B,"平均")</f>
        <v>0</v>
      </c>
      <c r="L19" s="88">
        <f>SUMIFS('0207 4度C'!$Z:$Z,'0207 4度C'!$A:$A,"新豐9線",'0207 4度C'!$B:$B,"平均")</f>
        <v>0</v>
      </c>
      <c r="M19" s="89">
        <f>SUMIFS('0207 4度C'!$Z:$Z,'0207 4度C'!$A:$A,"新豐4線",'0207 4度C'!$B:$B,"平均")</f>
        <v>0</v>
      </c>
    </row>
    <row r="20" spans="2:13" ht="17.25" customHeight="1">
      <c r="B20" s="103" t="s">
        <v>661</v>
      </c>
      <c r="C20" s="86" t="s">
        <v>660</v>
      </c>
      <c r="D20" s="87">
        <f>SUMIFS('0207 4度C'!$AC:$AC,'0207 4度C'!$A:$A,"新豐6線",'0207 4度C'!$B:$B,"平均")</f>
        <v>5</v>
      </c>
      <c r="E20" s="88">
        <f>SUMIFS('0207 4度C'!$AC:$AC,'0207 4度C'!$A:$A,"新豐2線",'0207 4度C'!$B:$B,"平均")</f>
        <v>2</v>
      </c>
      <c r="F20" s="88">
        <f>SUMIFS('0207 4度C'!$AC:$AC,'0207 4度C'!$A:$A,"新豐5線",'0207 4度C'!$B:$B,"平均")</f>
        <v>7</v>
      </c>
      <c r="G20" s="88">
        <f>SUMIFS('0207 4度C'!$AC:$AC,'0207 4度C'!$A:$A,"新豐7線",'0207 4度C'!$B:$B,"平均")</f>
        <v>6</v>
      </c>
      <c r="H20" s="88">
        <f>SUMIFS('0207 4度C'!$AC:$AC,'0207 4度C'!$A:$A,"新豐3線",'0207 4度C'!$B:$B,"平均")</f>
        <v>7</v>
      </c>
      <c r="I20" s="88">
        <f>SUMIFS('0207 4度C'!$AC:$AC,'0207 4度C'!$A:$A,"新豐1線",'0207 4度C'!$B:$B,"平均")</f>
        <v>9</v>
      </c>
      <c r="J20" s="89">
        <f>SUMIFS('0207 4度C'!$AC:$AC,'0207 4度C'!$A:$A,"新豐10線",'0207 4度C'!$B:$B,"平均")</f>
        <v>5</v>
      </c>
      <c r="K20" s="90">
        <f>SUMIFS('0207 4度C'!$AC:$AC,'0207 4度C'!$A:$A,"新豐8線",'0207 4度C'!$B:$B,"平均")</f>
        <v>5</v>
      </c>
      <c r="L20" s="88">
        <f>SUMIFS('0207 4度C'!$AC:$AC,'0207 4度C'!$A:$A,"新豐9線",'0207 4度C'!$B:$B,"平均")</f>
        <v>5</v>
      </c>
      <c r="M20" s="89">
        <f>SUMIFS('0207 4度C'!$AC:$AC,'0207 4度C'!$A:$A,"新豐4線",'0207 4度C'!$B:$B,"平均")</f>
        <v>6</v>
      </c>
    </row>
    <row r="21" spans="2:13" ht="17.25" customHeight="1">
      <c r="B21" s="104"/>
      <c r="C21" s="86" t="s">
        <v>662</v>
      </c>
      <c r="D21" s="87">
        <f>SUMIFS('0207 4度C'!$AD:$AD,'0207 4度C'!$A:$A,"新豐6線",'0207 4度C'!$B:$B,"平均")</f>
        <v>0</v>
      </c>
      <c r="E21" s="88">
        <f>SUMIFS('0207 4度C'!$AD:$AD,'0207 4度C'!$A:$A,"新豐2線",'0207 4度C'!$B:$B,"平均")</f>
        <v>0</v>
      </c>
      <c r="F21" s="88">
        <f>SUMIFS('0207 4度C'!$AD:$AD,'0207 4度C'!$A:$A,"新豐5線",'0207 4度C'!$B:$B,"平均")</f>
        <v>0</v>
      </c>
      <c r="G21" s="88">
        <f>SUMIFS('0207 4度C'!$AD:$AD,'0207 4度C'!$A:$A,"新豐7線",'0207 4度C'!$B:$B,"平均")</f>
        <v>0</v>
      </c>
      <c r="H21" s="88">
        <f>SUMIFS('0207 4度C'!$AD:$AD,'0207 4度C'!$A:$A,"新豐3線",'0207 4度C'!$B:$B,"平均")</f>
        <v>0</v>
      </c>
      <c r="I21" s="88">
        <f>SUMIFS('0207 4度C'!$AD:$AD,'0207 4度C'!$A:$A,"新豐1線",'0207 4度C'!$B:$B,"平均")</f>
        <v>0</v>
      </c>
      <c r="J21" s="89">
        <f>SUMIFS('0207 4度C'!$AD:$AD,'0207 4度C'!$A:$A,"新豐10線",'0207 4度C'!$B:$B,"平均")</f>
        <v>0</v>
      </c>
      <c r="K21" s="90">
        <f>SUMIFS('0207 4度C'!$AD:$AD,'0207 4度C'!$A:$A,"新豐8線",'0207 4度C'!$B:$B,"平均")</f>
        <v>0</v>
      </c>
      <c r="L21" s="88">
        <f>SUMIFS('0207 4度C'!$AD:$AD,'0207 4度C'!$A:$A,"新豐9線",'0207 4度C'!$B:$B,"平均")</f>
        <v>0</v>
      </c>
      <c r="M21" s="89">
        <f>SUMIFS('0207 4度C'!$AD:$AD,'0207 4度C'!$A:$A,"新豐4線",'0207 4度C'!$B:$B,"平均")</f>
        <v>0</v>
      </c>
    </row>
    <row r="22" spans="2:13" ht="17.25" customHeight="1">
      <c r="B22" s="105" t="s">
        <v>663</v>
      </c>
      <c r="C22" s="106"/>
      <c r="D22" s="91">
        <f>SUMIFS('0207 4度C'!$I:$I,'0207 4度C'!$A:$A,"新豐6線",'0207 4度C'!$B:$B,"平均")</f>
        <v>17.600000000000001</v>
      </c>
      <c r="E22" s="92">
        <f>SUMIFS('0207 4度C'!$I:$I,'0207 4度C'!$A:$A,"新豐2線",'0207 4度C'!$B:$B,"平均")</f>
        <v>18</v>
      </c>
      <c r="F22" s="92">
        <f>SUMIFS('0207 4度C'!$I:$I,'0207 4度C'!$A:$A,"新豐5線",'0207 4度C'!$B:$B,"平均")</f>
        <v>17</v>
      </c>
      <c r="G22" s="92">
        <f>SUMIFS('0207 4度C'!$I:$I,'0207 4度C'!$A:$A,"新豐7線",'0207 4度C'!$B:$B,"平均")</f>
        <v>15.333333333333334</v>
      </c>
      <c r="H22" s="92">
        <f>SUMIFS('0207 4度C'!$I:$I,'0207 4度C'!$A:$A,"新豐3線",'0207 4度C'!$B:$B,"平均")</f>
        <v>9.8571428571428577</v>
      </c>
      <c r="I22" s="92">
        <f>SUMIFS('0207 4度C'!$I:$I,'0207 4度C'!$A:$A,"新豐1線",'0207 4度C'!$B:$B,"平均")</f>
        <v>18.666666666666668</v>
      </c>
      <c r="J22" s="93">
        <f>SUMIFS('0207 4度C'!$I:$I,'0207 4度C'!$A:$A,"新豐10線",'0207 4度C'!$B:$B,"平均")</f>
        <v>10.6</v>
      </c>
      <c r="K22" s="91">
        <f>SUMIFS('0207 4度C'!$I:$I,'0207 4度C'!$A:$A,"新豐8線",'0207 4度C'!$B:$B,"平均")</f>
        <v>18.2</v>
      </c>
      <c r="L22" s="92">
        <f>SUMIFS('0207 4度C'!$I:$I,'0207 4度C'!$A:$A,"新豐9線",'0207 4度C'!$B:$B,"平均")</f>
        <v>18.399999999999999</v>
      </c>
      <c r="M22" s="93">
        <f>SUMIFS('0207 4度C'!$I:$I,'0207 4度C'!$A:$A,"新豐4線",'0207 4度C'!$B:$B,"平均")</f>
        <v>16.166666666666668</v>
      </c>
    </row>
    <row r="23" spans="2:13" ht="17.25" customHeight="1">
      <c r="B23" s="105" t="s">
        <v>664</v>
      </c>
      <c r="C23" s="106"/>
      <c r="D23" s="94" t="s">
        <v>191</v>
      </c>
      <c r="E23" s="95" t="s">
        <v>192</v>
      </c>
      <c r="F23" s="95" t="s">
        <v>665</v>
      </c>
      <c r="G23" s="95" t="s">
        <v>665</v>
      </c>
      <c r="H23" s="95" t="s">
        <v>194</v>
      </c>
      <c r="I23" s="95" t="s">
        <v>191</v>
      </c>
      <c r="J23" s="96" t="s">
        <v>194</v>
      </c>
      <c r="K23" s="94" t="s">
        <v>666</v>
      </c>
      <c r="L23" s="95" t="s">
        <v>666</v>
      </c>
      <c r="M23" s="96" t="s">
        <v>666</v>
      </c>
    </row>
    <row r="24" spans="2:13" ht="17.25" customHeight="1">
      <c r="B24" s="105" t="s">
        <v>667</v>
      </c>
      <c r="C24" s="106"/>
      <c r="D24" s="94"/>
      <c r="E24" s="95"/>
      <c r="F24" s="95" t="s">
        <v>668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669</v>
      </c>
      <c r="C25" s="108"/>
      <c r="D25" s="97"/>
      <c r="E25" s="98" t="s">
        <v>670</v>
      </c>
      <c r="F25" s="101" t="s">
        <v>671</v>
      </c>
      <c r="G25" s="102"/>
      <c r="H25" s="98" t="s">
        <v>672</v>
      </c>
      <c r="I25" s="98" t="s">
        <v>673</v>
      </c>
      <c r="J25" s="99" t="s">
        <v>672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6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工作表13">
    <pageSetUpPr fitToPage="1"/>
  </sheetPr>
  <dimension ref="A1:AG72"/>
  <sheetViews>
    <sheetView topLeftCell="L1" zoomScale="80" zoomScaleNormal="80" workbookViewId="0">
      <pane ySplit="4" topLeftCell="A5" activePane="bottomLeft" state="frozen"/>
      <selection sqref="A1:XFD1048576"/>
      <selection pane="bottomLeft" activeCell="AC5" sqref="AC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674</v>
      </c>
      <c r="B1" s="1"/>
      <c r="C1" s="2" t="s">
        <v>675</v>
      </c>
      <c r="D1" s="3">
        <f>SUM(F5:F71)</f>
        <v>132575</v>
      </c>
      <c r="E1" s="4" t="s">
        <v>676</v>
      </c>
      <c r="F1" s="1">
        <f>SUM(G5:G71)</f>
        <v>4602841.2500000009</v>
      </c>
      <c r="G1" s="1" t="s">
        <v>677</v>
      </c>
      <c r="H1" s="5">
        <f>L10+L13+L48+L58+L21+L64+L34+L40+L28+L71</f>
        <v>159.82380952380953</v>
      </c>
      <c r="I1" s="214" t="s">
        <v>678</v>
      </c>
      <c r="J1" s="214"/>
      <c r="K1" s="214"/>
      <c r="L1" s="214" t="s">
        <v>679</v>
      </c>
      <c r="M1" s="214"/>
      <c r="N1" s="214"/>
      <c r="O1" s="214" t="s">
        <v>680</v>
      </c>
      <c r="P1" s="214"/>
      <c r="Q1" s="214"/>
      <c r="R1" s="214"/>
      <c r="S1" s="214" t="s">
        <v>681</v>
      </c>
      <c r="T1" s="214"/>
      <c r="U1" s="214"/>
      <c r="V1" s="214"/>
      <c r="W1" s="214"/>
      <c r="X1" s="214"/>
      <c r="Y1" s="6" t="s">
        <v>682</v>
      </c>
      <c r="Z1" s="7" t="s">
        <v>683</v>
      </c>
      <c r="AA1" s="215" t="s">
        <v>684</v>
      </c>
      <c r="AB1" s="215"/>
      <c r="AC1" s="8" t="s">
        <v>682</v>
      </c>
      <c r="AD1" s="7" t="s">
        <v>685</v>
      </c>
      <c r="AE1" s="214" t="s">
        <v>686</v>
      </c>
      <c r="AF1" s="216"/>
      <c r="AG1" s="216"/>
    </row>
    <row r="2" spans="1:33" ht="26.25" customHeight="1">
      <c r="A2" s="35">
        <v>46060</v>
      </c>
      <c r="B2" s="36" t="s">
        <v>687</v>
      </c>
      <c r="C2" s="2" t="s">
        <v>688</v>
      </c>
      <c r="D2" s="10">
        <f>AVERAGE(N10,N13,N48,N58,N21,N64,N28,N34,N40,N71)</f>
        <v>138.00433934807805</v>
      </c>
      <c r="E2" s="11" t="s">
        <v>14</v>
      </c>
      <c r="F2" s="12">
        <f>F1/D1</f>
        <v>34.718772392985109</v>
      </c>
      <c r="G2" s="1" t="s">
        <v>689</v>
      </c>
      <c r="H2" s="13">
        <f>COUNT(H5:H71)</f>
        <v>2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SUM(Y10+Y13+Y21+Y28+Y34+Y40+Y48+Y58+Y64+Y71)</f>
        <v>0</v>
      </c>
      <c r="Z2" s="14">
        <f>SUM(Z10+Z13+Z21+Z28+Z34+Z40+Z48+Z58+Z64+Z71)</f>
        <v>0</v>
      </c>
      <c r="AA2" s="215"/>
      <c r="AB2" s="215"/>
      <c r="AC2" s="14">
        <f>SUM(AC10+AC13+AC21+AC28+AC34+AC40+AC48+AC58+AC64+AC71)</f>
        <v>57</v>
      </c>
      <c r="AD2" s="14">
        <f>SUM(AD10+AD13+AD21+AD28+AD34+AD40+AD48+AD58+AD64+AD71)</f>
        <v>0</v>
      </c>
      <c r="AE2" s="216"/>
      <c r="AF2" s="216"/>
      <c r="AG2" s="216"/>
    </row>
    <row r="3" spans="1:33" ht="40.5" customHeight="1">
      <c r="A3" s="164" t="s">
        <v>690</v>
      </c>
      <c r="B3" s="164" t="s">
        <v>691</v>
      </c>
      <c r="C3" s="164" t="s">
        <v>692</v>
      </c>
      <c r="D3" s="164"/>
      <c r="E3" s="212" t="s">
        <v>693</v>
      </c>
      <c r="F3" s="164" t="s">
        <v>694</v>
      </c>
      <c r="G3" s="212" t="s">
        <v>695</v>
      </c>
      <c r="H3" s="206" t="s">
        <v>696</v>
      </c>
      <c r="I3" s="204" t="s">
        <v>697</v>
      </c>
      <c r="J3" s="201" t="s">
        <v>698</v>
      </c>
      <c r="K3" s="211" t="s">
        <v>688</v>
      </c>
      <c r="L3" s="204" t="s">
        <v>697</v>
      </c>
      <c r="M3" s="201" t="s">
        <v>698</v>
      </c>
      <c r="N3" s="211" t="s">
        <v>688</v>
      </c>
      <c r="O3" s="204" t="s">
        <v>697</v>
      </c>
      <c r="P3" s="211" t="s">
        <v>688</v>
      </c>
      <c r="Q3" s="202" t="s">
        <v>699</v>
      </c>
      <c r="R3" s="182" t="s">
        <v>700</v>
      </c>
      <c r="S3" s="164" t="s">
        <v>30</v>
      </c>
      <c r="T3" s="164"/>
      <c r="U3" s="206" t="s">
        <v>31</v>
      </c>
      <c r="V3" s="206" t="s">
        <v>701</v>
      </c>
      <c r="W3" s="164" t="s">
        <v>702</v>
      </c>
      <c r="X3" s="164"/>
      <c r="Y3" s="207" t="s">
        <v>703</v>
      </c>
      <c r="Z3" s="168"/>
      <c r="AA3" s="208" t="s">
        <v>704</v>
      </c>
      <c r="AB3" s="209"/>
      <c r="AC3" s="207" t="s">
        <v>705</v>
      </c>
      <c r="AD3" s="168"/>
      <c r="AE3" s="201" t="s">
        <v>698</v>
      </c>
      <c r="AF3" s="202" t="s">
        <v>706</v>
      </c>
      <c r="AG3" s="182" t="s">
        <v>707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708</v>
      </c>
      <c r="X4" s="4" t="s">
        <v>709</v>
      </c>
      <c r="Y4" s="15" t="s">
        <v>710</v>
      </c>
      <c r="Z4" s="15" t="s">
        <v>711</v>
      </c>
      <c r="AA4" s="210"/>
      <c r="AB4" s="209"/>
      <c r="AC4" s="15" t="s">
        <v>712</v>
      </c>
      <c r="AD4" s="15" t="s">
        <v>713</v>
      </c>
      <c r="AE4" s="201"/>
      <c r="AF4" s="202"/>
      <c r="AG4" s="182"/>
    </row>
    <row r="5" spans="1:33">
      <c r="A5" s="203" t="s">
        <v>714</v>
      </c>
      <c r="B5" s="37" t="s">
        <v>78</v>
      </c>
      <c r="C5" s="205" t="s">
        <v>79</v>
      </c>
      <c r="D5" s="205"/>
      <c r="E5" s="37">
        <v>50.67</v>
      </c>
      <c r="F5" s="4">
        <v>1288</v>
      </c>
      <c r="G5" s="4">
        <v>65262.96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9" si="1">F5/V5*60</f>
        <v>1931.9999999999993</v>
      </c>
      <c r="N5" s="17">
        <f t="shared" ref="N5:N68" si="2">M5/L5</f>
        <v>113.64705882352938</v>
      </c>
      <c r="O5" s="19">
        <f t="shared" ref="O5:O68" si="3">L5-I5</f>
        <v>0</v>
      </c>
      <c r="P5" s="20">
        <f t="shared" ref="P5:P68" si="4">N5-K5</f>
        <v>-4.0000000000000284</v>
      </c>
      <c r="Q5" s="21">
        <f t="shared" ref="Q5:Q68" si="5">N5/K5</f>
        <v>0.96599999999999975</v>
      </c>
      <c r="R5" s="172">
        <f>Q10</f>
        <v>0.97291368064088835</v>
      </c>
      <c r="S5" s="28">
        <v>0.70833333333333337</v>
      </c>
      <c r="T5" s="28">
        <v>0.73611111111111116</v>
      </c>
      <c r="U5" s="4"/>
      <c r="V5" s="22">
        <f t="shared" ref="V5:V9" si="6">(T5-S5)*24*60</f>
        <v>40.000000000000014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7" si="7">M5-J5</f>
        <v>-68.000000000000682</v>
      </c>
      <c r="AF5" s="21">
        <f t="shared" ref="AF5:AF68" si="8">M5/J5</f>
        <v>0.96599999999999964</v>
      </c>
      <c r="AG5" s="172">
        <f>AF10</f>
        <v>0.97291368064088846</v>
      </c>
    </row>
    <row r="6" spans="1:33">
      <c r="A6" s="204" t="s">
        <v>715</v>
      </c>
      <c r="B6" s="37" t="s">
        <v>78</v>
      </c>
      <c r="C6" s="205" t="s">
        <v>80</v>
      </c>
      <c r="D6" s="205"/>
      <c r="E6" s="37">
        <v>54.09</v>
      </c>
      <c r="F6" s="4">
        <v>1108</v>
      </c>
      <c r="G6" s="4">
        <v>59931.72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1955.2941176470565</v>
      </c>
      <c r="N6" s="17">
        <f t="shared" si="2"/>
        <v>102.91021671826613</v>
      </c>
      <c r="O6" s="19">
        <f t="shared" si="3"/>
        <v>0</v>
      </c>
      <c r="P6" s="20">
        <f t="shared" si="4"/>
        <v>-2.3529411764707078</v>
      </c>
      <c r="Q6" s="21">
        <f t="shared" si="5"/>
        <v>0.97764705882352831</v>
      </c>
      <c r="R6" s="172"/>
      <c r="S6" s="28">
        <v>0.73958333333333337</v>
      </c>
      <c r="T6" s="28">
        <v>0.76319444444444451</v>
      </c>
      <c r="U6" s="4">
        <f t="shared" ref="U6:U9" si="9">IF(S6=TIME(17,0,0),"",(S6-T5)*24*60)</f>
        <v>4.9999999999999822</v>
      </c>
      <c r="V6" s="22">
        <f t="shared" si="6"/>
        <v>34.000000000000043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-44.70588235294349</v>
      </c>
      <c r="AF6" s="21">
        <f t="shared" si="8"/>
        <v>0.9776470588235282</v>
      </c>
      <c r="AG6" s="172"/>
    </row>
    <row r="7" spans="1:33">
      <c r="A7" s="204" t="s">
        <v>715</v>
      </c>
      <c r="B7" s="37" t="s">
        <v>78</v>
      </c>
      <c r="C7" s="196" t="s">
        <v>81</v>
      </c>
      <c r="D7" s="197"/>
      <c r="E7" s="37">
        <v>50.29</v>
      </c>
      <c r="F7" s="4">
        <v>632</v>
      </c>
      <c r="G7" s="4">
        <v>31783.279999999999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1995.7894736842177</v>
      </c>
      <c r="N7" s="17">
        <f t="shared" si="2"/>
        <v>124.73684210526361</v>
      </c>
      <c r="O7" s="19">
        <f t="shared" si="3"/>
        <v>0</v>
      </c>
      <c r="P7" s="20">
        <f t="shared" si="4"/>
        <v>-0.26315789473639484</v>
      </c>
      <c r="Q7" s="21">
        <f t="shared" si="5"/>
        <v>0.99789473684210883</v>
      </c>
      <c r="R7" s="172"/>
      <c r="S7" s="28">
        <v>0.7680555555555556</v>
      </c>
      <c r="T7" s="28">
        <v>0.78125</v>
      </c>
      <c r="U7" s="4">
        <f t="shared" si="9"/>
        <v>6.9999999999999751</v>
      </c>
      <c r="V7" s="22">
        <f t="shared" si="6"/>
        <v>18.999999999999932</v>
      </c>
      <c r="W7" s="23"/>
      <c r="X7" s="23"/>
      <c r="Y7" s="26"/>
      <c r="Z7" s="26"/>
      <c r="AA7" s="175"/>
      <c r="AB7" s="176"/>
      <c r="AC7" s="27"/>
      <c r="AD7" s="27"/>
      <c r="AE7" s="19">
        <f t="shared" si="7"/>
        <v>-4.2105263157823174</v>
      </c>
      <c r="AF7" s="21">
        <f t="shared" si="8"/>
        <v>0.99789473684210883</v>
      </c>
      <c r="AG7" s="172"/>
    </row>
    <row r="8" spans="1:33">
      <c r="A8" s="204" t="s">
        <v>715</v>
      </c>
      <c r="B8" s="37" t="s">
        <v>78</v>
      </c>
      <c r="C8" s="196" t="s">
        <v>82</v>
      </c>
      <c r="D8" s="197"/>
      <c r="E8" s="37">
        <v>57.3</v>
      </c>
      <c r="F8" s="4">
        <v>1318</v>
      </c>
      <c r="G8" s="4">
        <v>75521.399999999994</v>
      </c>
      <c r="H8" s="22" t="s">
        <v>139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1928.7804878048773</v>
      </c>
      <c r="N8" s="17">
        <f t="shared" si="2"/>
        <v>128.58536585365849</v>
      </c>
      <c r="O8" s="19">
        <f t="shared" si="3"/>
        <v>0</v>
      </c>
      <c r="P8" s="20">
        <f t="shared" si="4"/>
        <v>-4.7479674796748554</v>
      </c>
      <c r="Q8" s="21">
        <f t="shared" si="5"/>
        <v>0.96439024390243855</v>
      </c>
      <c r="R8" s="172"/>
      <c r="S8" s="28">
        <v>0.78680555555555554</v>
      </c>
      <c r="T8" s="28">
        <v>0.81527777777777777</v>
      </c>
      <c r="U8" s="4">
        <f t="shared" si="9"/>
        <v>7.9999999999999716</v>
      </c>
      <c r="V8" s="22">
        <f t="shared" si="6"/>
        <v>41.000000000000014</v>
      </c>
      <c r="W8" s="28"/>
      <c r="X8" s="28"/>
      <c r="Y8" s="29"/>
      <c r="Z8" s="29"/>
      <c r="AA8" s="175"/>
      <c r="AB8" s="176"/>
      <c r="AC8" s="27"/>
      <c r="AD8" s="27"/>
      <c r="AE8" s="19">
        <f t="shared" si="7"/>
        <v>-71.219512195122661</v>
      </c>
      <c r="AF8" s="21">
        <f t="shared" si="8"/>
        <v>0.96439024390243866</v>
      </c>
      <c r="AG8" s="172"/>
    </row>
    <row r="9" spans="1:33">
      <c r="A9" s="204" t="s">
        <v>715</v>
      </c>
      <c r="B9" s="37" t="s">
        <v>78</v>
      </c>
      <c r="C9" s="196" t="s">
        <v>83</v>
      </c>
      <c r="D9" s="197"/>
      <c r="E9" s="37">
        <v>50.67</v>
      </c>
      <c r="F9" s="4">
        <v>703</v>
      </c>
      <c r="G9" s="4">
        <v>35621.01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1917.2727272727341</v>
      </c>
      <c r="N9" s="17">
        <f t="shared" si="2"/>
        <v>91.298701298701616</v>
      </c>
      <c r="O9" s="19">
        <f t="shared" si="3"/>
        <v>0</v>
      </c>
      <c r="P9" s="20">
        <f t="shared" si="4"/>
        <v>-3.939393939393625</v>
      </c>
      <c r="Q9" s="21">
        <f t="shared" si="5"/>
        <v>0.95863636363636695</v>
      </c>
      <c r="R9" s="172"/>
      <c r="S9" s="28">
        <v>0.81874999999999998</v>
      </c>
      <c r="T9" s="28">
        <v>0.8340277777777777</v>
      </c>
      <c r="U9" s="4">
        <f t="shared" si="9"/>
        <v>4.9999999999999822</v>
      </c>
      <c r="V9" s="22">
        <f t="shared" si="6"/>
        <v>21.999999999999922</v>
      </c>
      <c r="W9" s="23"/>
      <c r="X9" s="23"/>
      <c r="Y9" s="26"/>
      <c r="Z9" s="26"/>
      <c r="AA9" s="175"/>
      <c r="AB9" s="176"/>
      <c r="AC9" s="27"/>
      <c r="AD9" s="27"/>
      <c r="AE9" s="19">
        <f t="shared" si="7"/>
        <v>-82.727272727265927</v>
      </c>
      <c r="AF9" s="21">
        <f t="shared" si="8"/>
        <v>0.95863636363636706</v>
      </c>
      <c r="AG9" s="172"/>
    </row>
    <row r="10" spans="1:33">
      <c r="A10" s="204" t="s">
        <v>715</v>
      </c>
      <c r="B10" s="37" t="s">
        <v>716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0"/>
        <v>113.63636363636363</v>
      </c>
      <c r="L10" s="30">
        <v>17.600000000000001</v>
      </c>
      <c r="M10" s="18">
        <f>AVERAGE(M5:M9)</f>
        <v>1945.8273612817768</v>
      </c>
      <c r="N10" s="17">
        <f t="shared" si="2"/>
        <v>110.55837280010094</v>
      </c>
      <c r="O10" s="19">
        <f t="shared" si="3"/>
        <v>0</v>
      </c>
      <c r="P10" s="20">
        <f t="shared" si="4"/>
        <v>-3.0779908362626855</v>
      </c>
      <c r="Q10" s="21">
        <f t="shared" si="5"/>
        <v>0.97291368064088835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7"/>
        <v>-54.172638718223197</v>
      </c>
      <c r="AF10" s="21">
        <f t="shared" si="8"/>
        <v>0.97291368064088846</v>
      </c>
      <c r="AG10" s="172"/>
    </row>
    <row r="11" spans="1:33" ht="15.75" customHeight="1">
      <c r="A11" s="200" t="s">
        <v>717</v>
      </c>
      <c r="B11" s="37" t="s">
        <v>84</v>
      </c>
      <c r="C11" s="196" t="s">
        <v>85</v>
      </c>
      <c r="D11" s="197"/>
      <c r="E11" s="37">
        <v>39.619999999999997</v>
      </c>
      <c r="F11" s="4">
        <v>2686</v>
      </c>
      <c r="G11" s="4">
        <v>106419.31999999999</v>
      </c>
      <c r="H11" s="22" t="s">
        <v>139</v>
      </c>
      <c r="I11" s="16">
        <v>19</v>
      </c>
      <c r="J11" s="18">
        <v>1500</v>
      </c>
      <c r="K11" s="17">
        <f t="shared" si="0"/>
        <v>78.94736842105263</v>
      </c>
      <c r="L11" s="16">
        <v>19</v>
      </c>
      <c r="M11" s="18">
        <f t="shared" ref="M11:M12" si="10">F11/V11*60</f>
        <v>1438.9285714285718</v>
      </c>
      <c r="N11" s="17">
        <f t="shared" si="2"/>
        <v>75.733082706766936</v>
      </c>
      <c r="O11" s="19">
        <f t="shared" si="3"/>
        <v>0</v>
      </c>
      <c r="P11" s="20">
        <f t="shared" si="4"/>
        <v>-3.214285714285694</v>
      </c>
      <c r="Q11" s="21">
        <f t="shared" si="5"/>
        <v>0.95928571428571452</v>
      </c>
      <c r="R11" s="172">
        <f>Q13</f>
        <v>0.9573956661316213</v>
      </c>
      <c r="S11" s="28">
        <v>0.20833333333333334</v>
      </c>
      <c r="T11" s="28">
        <v>0.28611111111111109</v>
      </c>
      <c r="U11" s="4"/>
      <c r="V11" s="22">
        <f t="shared" ref="V11:V12" si="11">(T11-S11)*24*60</f>
        <v>111.99999999999996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7"/>
        <v>-61.071428571428214</v>
      </c>
      <c r="AF11" s="21">
        <f t="shared" si="8"/>
        <v>0.95928571428571452</v>
      </c>
      <c r="AG11" s="172">
        <f>AF13</f>
        <v>0.95739566613162119</v>
      </c>
    </row>
    <row r="12" spans="1:33" ht="15.75" customHeight="1">
      <c r="A12" s="200" t="s">
        <v>717</v>
      </c>
      <c r="B12" s="37" t="s">
        <v>84</v>
      </c>
      <c r="C12" s="196" t="s">
        <v>86</v>
      </c>
      <c r="D12" s="197"/>
      <c r="E12" s="37">
        <v>39.799999999999997</v>
      </c>
      <c r="F12" s="4">
        <v>4252</v>
      </c>
      <c r="G12" s="4">
        <v>169229.59999999998</v>
      </c>
      <c r="H12" s="22" t="s">
        <v>139</v>
      </c>
      <c r="I12" s="16">
        <v>17</v>
      </c>
      <c r="J12" s="18">
        <v>1500</v>
      </c>
      <c r="K12" s="17">
        <f t="shared" si="0"/>
        <v>88.235294117647058</v>
      </c>
      <c r="L12" s="16">
        <v>17</v>
      </c>
      <c r="M12" s="18">
        <f t="shared" si="10"/>
        <v>1433.2584269662921</v>
      </c>
      <c r="N12" s="17">
        <f t="shared" si="2"/>
        <v>84.3093192333113</v>
      </c>
      <c r="O12" s="19">
        <f t="shared" si="3"/>
        <v>0</v>
      </c>
      <c r="P12" s="20">
        <f t="shared" si="4"/>
        <v>-3.9259748843357585</v>
      </c>
      <c r="Q12" s="21">
        <f t="shared" si="5"/>
        <v>0.95550561797752809</v>
      </c>
      <c r="R12" s="172"/>
      <c r="S12" s="28">
        <v>0.29027777777777775</v>
      </c>
      <c r="T12" s="28">
        <v>0.41388888888888886</v>
      </c>
      <c r="U12" s="4">
        <f t="shared" ref="U12" si="12">IF(S12=TIME(17,0,0),"",(S12-T11)*24*60)</f>
        <v>5.9999999999999787</v>
      </c>
      <c r="V12" s="22">
        <f t="shared" si="11"/>
        <v>178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7"/>
        <v>-66.741573033707937</v>
      </c>
      <c r="AF12" s="21">
        <f t="shared" si="8"/>
        <v>0.95550561797752809</v>
      </c>
      <c r="AG12" s="172"/>
    </row>
    <row r="13" spans="1:33" ht="16.5" customHeight="1">
      <c r="A13" s="200" t="s">
        <v>717</v>
      </c>
      <c r="B13" s="37" t="s">
        <v>716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0"/>
        <v>83.333333333333329</v>
      </c>
      <c r="L13" s="30">
        <v>18</v>
      </c>
      <c r="M13" s="18">
        <f>AVERAGE(M11:M12)</f>
        <v>1436.0934991974318</v>
      </c>
      <c r="N13" s="17">
        <f t="shared" si="2"/>
        <v>79.782972177635102</v>
      </c>
      <c r="O13" s="19">
        <f t="shared" si="3"/>
        <v>0</v>
      </c>
      <c r="P13" s="20">
        <f t="shared" si="4"/>
        <v>-3.5503611556982264</v>
      </c>
      <c r="Q13" s="21">
        <f t="shared" si="5"/>
        <v>0.9573956661316213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7"/>
        <v>-63.906500802568189</v>
      </c>
      <c r="AF13" s="21">
        <f t="shared" si="8"/>
        <v>0.95739566613162119</v>
      </c>
      <c r="AG13" s="172"/>
    </row>
    <row r="14" spans="1:33" ht="16.5" customHeight="1">
      <c r="A14" s="198" t="s">
        <v>718</v>
      </c>
      <c r="B14" s="4" t="s">
        <v>87</v>
      </c>
      <c r="C14" s="190" t="s">
        <v>88</v>
      </c>
      <c r="D14" s="190"/>
      <c r="E14" s="37">
        <v>41</v>
      </c>
      <c r="F14" s="4">
        <v>1983</v>
      </c>
      <c r="G14" s="4">
        <v>81303</v>
      </c>
      <c r="H14" s="22" t="s">
        <v>139</v>
      </c>
      <c r="I14" s="16">
        <v>26</v>
      </c>
      <c r="J14" s="18">
        <v>1500</v>
      </c>
      <c r="K14" s="17">
        <f t="shared" si="0"/>
        <v>57.692307692307693</v>
      </c>
      <c r="L14" s="16">
        <v>26</v>
      </c>
      <c r="M14" s="18">
        <f t="shared" ref="M14:M20" si="13">F14/V14*60</f>
        <v>1433.4939759036147</v>
      </c>
      <c r="N14" s="17">
        <f t="shared" si="2"/>
        <v>55.134383688600565</v>
      </c>
      <c r="O14" s="19">
        <f t="shared" si="3"/>
        <v>0</v>
      </c>
      <c r="P14" s="20">
        <f t="shared" si="4"/>
        <v>-2.5579240037071287</v>
      </c>
      <c r="Q14" s="21">
        <f t="shared" si="5"/>
        <v>0.95566265060240974</v>
      </c>
      <c r="R14" s="172">
        <f>Q21</f>
        <v>0.95823605487015151</v>
      </c>
      <c r="S14" s="28">
        <v>0.20833333333333334</v>
      </c>
      <c r="T14" s="28">
        <v>0.26597222222222222</v>
      </c>
      <c r="U14" s="4"/>
      <c r="V14" s="22">
        <f t="shared" ref="V14:V20" si="14">(T14-S14)*24*60</f>
        <v>82.999999999999986</v>
      </c>
      <c r="W14" s="28"/>
      <c r="X14" s="28"/>
      <c r="Y14" s="28"/>
      <c r="Z14" s="28"/>
      <c r="AA14" s="164"/>
      <c r="AB14" s="164"/>
      <c r="AC14" s="25">
        <v>7</v>
      </c>
      <c r="AD14" s="25"/>
      <c r="AE14" s="19">
        <f t="shared" si="7"/>
        <v>-66.506024096385318</v>
      </c>
      <c r="AF14" s="21">
        <f t="shared" si="8"/>
        <v>0.95566265060240974</v>
      </c>
      <c r="AG14" s="172">
        <f>AF21</f>
        <v>0.95823605487015151</v>
      </c>
    </row>
    <row r="15" spans="1:33" ht="16.5" customHeight="1">
      <c r="A15" s="199" t="s">
        <v>718</v>
      </c>
      <c r="B15" s="4" t="s">
        <v>89</v>
      </c>
      <c r="C15" s="190" t="s">
        <v>90</v>
      </c>
      <c r="D15" s="190"/>
      <c r="E15" s="37">
        <v>72.400000000000006</v>
      </c>
      <c r="F15" s="4">
        <v>692</v>
      </c>
      <c r="G15" s="4">
        <v>50100.800000000003</v>
      </c>
      <c r="H15" s="22" t="s">
        <v>139</v>
      </c>
      <c r="I15" s="16">
        <v>18</v>
      </c>
      <c r="J15" s="18">
        <v>1500</v>
      </c>
      <c r="K15" s="17">
        <f t="shared" si="0"/>
        <v>83.333333333333329</v>
      </c>
      <c r="L15" s="16">
        <v>18</v>
      </c>
      <c r="M15" s="18">
        <f t="shared" si="13"/>
        <v>1431.7241379310356</v>
      </c>
      <c r="N15" s="17">
        <f t="shared" si="2"/>
        <v>79.540229885057528</v>
      </c>
      <c r="O15" s="19">
        <f t="shared" si="3"/>
        <v>0</v>
      </c>
      <c r="P15" s="20">
        <f t="shared" si="4"/>
        <v>-3.7931034482758008</v>
      </c>
      <c r="Q15" s="21">
        <f t="shared" si="5"/>
        <v>0.95448275862069043</v>
      </c>
      <c r="R15" s="172"/>
      <c r="S15" s="28">
        <v>0.27152777777777776</v>
      </c>
      <c r="T15" s="28">
        <v>0.29166666666666663</v>
      </c>
      <c r="U15" s="4">
        <f t="shared" ref="U15:U20" si="15">IF(S15=TIME(17,0,0),"",(S15-T14)*24*60)</f>
        <v>7.9999999999999716</v>
      </c>
      <c r="V15" s="22">
        <f t="shared" si="14"/>
        <v>28.999999999999979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7"/>
        <v>-68.275862068964443</v>
      </c>
      <c r="AF15" s="21">
        <f t="shared" si="8"/>
        <v>0.95448275862069032</v>
      </c>
      <c r="AG15" s="172"/>
    </row>
    <row r="16" spans="1:33" ht="16.5" customHeight="1">
      <c r="A16" s="199" t="s">
        <v>718</v>
      </c>
      <c r="B16" s="4" t="s">
        <v>78</v>
      </c>
      <c r="C16" s="190" t="s">
        <v>91</v>
      </c>
      <c r="D16" s="190"/>
      <c r="E16" s="37">
        <v>50.98</v>
      </c>
      <c r="F16" s="4">
        <v>1000</v>
      </c>
      <c r="G16" s="4">
        <v>50980</v>
      </c>
      <c r="H16" s="22">
        <v>2</v>
      </c>
      <c r="I16" s="16">
        <v>16</v>
      </c>
      <c r="J16" s="18">
        <v>2000</v>
      </c>
      <c r="K16" s="17">
        <f t="shared" si="0"/>
        <v>125</v>
      </c>
      <c r="L16" s="16">
        <v>16</v>
      </c>
      <c r="M16" s="18">
        <f t="shared" si="13"/>
        <v>1935.483870967739</v>
      </c>
      <c r="N16" s="17">
        <f t="shared" si="2"/>
        <v>120.96774193548369</v>
      </c>
      <c r="O16" s="19">
        <f t="shared" si="3"/>
        <v>0</v>
      </c>
      <c r="P16" s="20">
        <f t="shared" si="4"/>
        <v>-4.0322580645163129</v>
      </c>
      <c r="Q16" s="21">
        <f t="shared" si="5"/>
        <v>0.96774193548386944</v>
      </c>
      <c r="R16" s="172"/>
      <c r="S16" s="28">
        <v>0.70833333333333337</v>
      </c>
      <c r="T16" s="28">
        <v>0.72986111111111118</v>
      </c>
      <c r="U16" s="4" t="str">
        <f t="shared" si="15"/>
        <v/>
      </c>
      <c r="V16" s="22">
        <f t="shared" si="14"/>
        <v>31.00000000000005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-64.516129032261006</v>
      </c>
      <c r="AF16" s="21">
        <f t="shared" si="8"/>
        <v>0.96774193548386944</v>
      </c>
      <c r="AG16" s="172"/>
    </row>
    <row r="17" spans="1:33" ht="16.5" customHeight="1">
      <c r="A17" s="199" t="s">
        <v>718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v>40736</v>
      </c>
      <c r="H17" s="22">
        <v>2</v>
      </c>
      <c r="I17" s="16">
        <v>15</v>
      </c>
      <c r="J17" s="18">
        <v>2000</v>
      </c>
      <c r="K17" s="17">
        <f t="shared" si="0"/>
        <v>133.33333333333334</v>
      </c>
      <c r="L17" s="16">
        <v>15</v>
      </c>
      <c r="M17" s="18">
        <f t="shared" si="13"/>
        <v>1919.9999999999945</v>
      </c>
      <c r="N17" s="17">
        <f t="shared" si="2"/>
        <v>127.99999999999963</v>
      </c>
      <c r="O17" s="19">
        <f t="shared" si="3"/>
        <v>0</v>
      </c>
      <c r="P17" s="20">
        <f t="shared" si="4"/>
        <v>-5.3333333333337123</v>
      </c>
      <c r="Q17" s="21">
        <f t="shared" si="5"/>
        <v>0.95999999999999719</v>
      </c>
      <c r="R17" s="172"/>
      <c r="S17" s="28">
        <v>0.73472222222222228</v>
      </c>
      <c r="T17" s="28">
        <v>0.75208333333333344</v>
      </c>
      <c r="U17" s="4">
        <f t="shared" si="15"/>
        <v>6.9999999999999751</v>
      </c>
      <c r="V17" s="22">
        <f t="shared" si="14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-80.000000000005457</v>
      </c>
      <c r="AF17" s="21">
        <f t="shared" si="8"/>
        <v>0.9599999999999973</v>
      </c>
      <c r="AG17" s="172"/>
    </row>
    <row r="18" spans="1:33" ht="16.5" customHeight="1">
      <c r="A18" s="199" t="s">
        <v>718</v>
      </c>
      <c r="B18" s="4" t="s">
        <v>78</v>
      </c>
      <c r="C18" s="190" t="s">
        <v>93</v>
      </c>
      <c r="D18" s="190"/>
      <c r="E18" s="37">
        <v>50.67</v>
      </c>
      <c r="F18" s="4">
        <v>1556</v>
      </c>
      <c r="G18" s="4">
        <v>78842.52</v>
      </c>
      <c r="H18" s="22" t="s">
        <v>139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1905.3061224489802</v>
      </c>
      <c r="N18" s="17">
        <f t="shared" si="2"/>
        <v>127.02040816326534</v>
      </c>
      <c r="O18" s="19">
        <f t="shared" si="3"/>
        <v>0</v>
      </c>
      <c r="P18" s="20">
        <f t="shared" si="4"/>
        <v>-6.3129251700679987</v>
      </c>
      <c r="Q18" s="21">
        <f t="shared" si="5"/>
        <v>0.95265306122449001</v>
      </c>
      <c r="R18" s="172"/>
      <c r="S18" s="28">
        <v>0.75625000000000009</v>
      </c>
      <c r="T18" s="28">
        <v>0.79027777777777786</v>
      </c>
      <c r="U18" s="4">
        <f t="shared" si="15"/>
        <v>5.9999999999999787</v>
      </c>
      <c r="V18" s="22">
        <f t="shared" si="14"/>
        <v>48.999999999999986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-94.693877551019796</v>
      </c>
      <c r="AF18" s="21">
        <f t="shared" si="8"/>
        <v>0.95265306122449012</v>
      </c>
      <c r="AG18" s="172"/>
    </row>
    <row r="19" spans="1:33" ht="16.5" customHeight="1">
      <c r="A19" s="199" t="s">
        <v>718</v>
      </c>
      <c r="B19" s="4" t="s">
        <v>78</v>
      </c>
      <c r="C19" s="217" t="s">
        <v>94</v>
      </c>
      <c r="D19" s="218"/>
      <c r="E19" s="37">
        <v>57.3</v>
      </c>
      <c r="F19" s="4">
        <v>1731</v>
      </c>
      <c r="G19" s="4">
        <v>99186.299999999988</v>
      </c>
      <c r="H19" s="22" t="s">
        <v>139</v>
      </c>
      <c r="I19" s="16">
        <v>13</v>
      </c>
      <c r="J19" s="18">
        <v>2000</v>
      </c>
      <c r="K19" s="17">
        <f t="shared" si="0"/>
        <v>153.84615384615384</v>
      </c>
      <c r="L19" s="16">
        <v>13</v>
      </c>
      <c r="M19" s="18">
        <f t="shared" si="13"/>
        <v>1923.3333333333344</v>
      </c>
      <c r="N19" s="17">
        <f t="shared" si="2"/>
        <v>147.94871794871804</v>
      </c>
      <c r="O19" s="19">
        <f t="shared" si="3"/>
        <v>0</v>
      </c>
      <c r="P19" s="20">
        <f t="shared" si="4"/>
        <v>-5.8974358974357983</v>
      </c>
      <c r="Q19" s="21">
        <f t="shared" si="5"/>
        <v>0.96166666666666734</v>
      </c>
      <c r="R19" s="172"/>
      <c r="S19" s="28">
        <v>0.79444444444444451</v>
      </c>
      <c r="T19" s="28">
        <v>0.83194444444444449</v>
      </c>
      <c r="U19" s="4">
        <f t="shared" si="15"/>
        <v>5.9999999999999787</v>
      </c>
      <c r="V19" s="22">
        <f t="shared" si="14"/>
        <v>53.999999999999972</v>
      </c>
      <c r="W19" s="23">
        <f>T19</f>
        <v>0.83194444444444449</v>
      </c>
      <c r="X19" s="23">
        <f>S20</f>
        <v>0.87222222222222223</v>
      </c>
      <c r="Y19" s="26"/>
      <c r="Z19" s="26"/>
      <c r="AA19" s="175"/>
      <c r="AB19" s="176"/>
      <c r="AC19" s="25"/>
      <c r="AD19" s="25"/>
      <c r="AE19" s="19">
        <f t="shared" si="7"/>
        <v>-76.666666666665606</v>
      </c>
      <c r="AF19" s="21">
        <f t="shared" si="8"/>
        <v>0.96166666666666722</v>
      </c>
      <c r="AG19" s="172"/>
    </row>
    <row r="20" spans="1:33" ht="16.5" customHeight="1">
      <c r="A20" s="199" t="s">
        <v>718</v>
      </c>
      <c r="B20" s="4" t="s">
        <v>78</v>
      </c>
      <c r="C20" s="39" t="s">
        <v>91</v>
      </c>
      <c r="D20" s="40"/>
      <c r="E20" s="37">
        <v>50.98</v>
      </c>
      <c r="F20" s="4">
        <v>1399</v>
      </c>
      <c r="G20" s="4">
        <v>71321.01999999999</v>
      </c>
      <c r="H20" s="22" t="s">
        <v>139</v>
      </c>
      <c r="I20" s="16">
        <v>16</v>
      </c>
      <c r="J20" s="18">
        <v>2000</v>
      </c>
      <c r="K20" s="17">
        <f t="shared" si="0"/>
        <v>125</v>
      </c>
      <c r="L20" s="16">
        <v>16</v>
      </c>
      <c r="M20" s="18">
        <f t="shared" si="13"/>
        <v>1907.7272727272727</v>
      </c>
      <c r="N20" s="17">
        <f t="shared" si="2"/>
        <v>119.23295454545455</v>
      </c>
      <c r="O20" s="19">
        <f t="shared" si="3"/>
        <v>0</v>
      </c>
      <c r="P20" s="20">
        <f t="shared" si="4"/>
        <v>-5.7670454545454533</v>
      </c>
      <c r="Q20" s="21">
        <f t="shared" si="5"/>
        <v>0.95386363636363636</v>
      </c>
      <c r="R20" s="172"/>
      <c r="S20" s="28">
        <v>0.87222222222222223</v>
      </c>
      <c r="T20" s="28">
        <v>0.90277777777777779</v>
      </c>
      <c r="U20" s="4">
        <f t="shared" si="15"/>
        <v>57.999999999999957</v>
      </c>
      <c r="V20" s="22">
        <f t="shared" si="14"/>
        <v>44</v>
      </c>
      <c r="W20" s="23"/>
      <c r="X20" s="23"/>
      <c r="Y20" s="26"/>
      <c r="Z20" s="26"/>
      <c r="AA20" s="175"/>
      <c r="AB20" s="176"/>
      <c r="AC20" s="25"/>
      <c r="AD20" s="25"/>
      <c r="AE20" s="19">
        <f t="shared" si="7"/>
        <v>-92.272727272727252</v>
      </c>
      <c r="AF20" s="21">
        <f t="shared" si="8"/>
        <v>0.95386363636363636</v>
      </c>
      <c r="AG20" s="172"/>
    </row>
    <row r="21" spans="1:33" ht="16.5" customHeight="1">
      <c r="A21" s="199" t="s">
        <v>718</v>
      </c>
      <c r="B21" s="37" t="s">
        <v>716</v>
      </c>
      <c r="C21" s="177"/>
      <c r="D21" s="177"/>
      <c r="E21" s="38"/>
      <c r="F21" s="17"/>
      <c r="G21" s="17"/>
      <c r="H21" s="4"/>
      <c r="I21" s="30">
        <v>17</v>
      </c>
      <c r="J21" s="18">
        <v>1857.1428571428571</v>
      </c>
      <c r="K21" s="17">
        <f t="shared" si="0"/>
        <v>109.24369747899159</v>
      </c>
      <c r="L21" s="30">
        <v>17</v>
      </c>
      <c r="M21" s="18">
        <f>AVERAGE(M14:M20)</f>
        <v>1779.5812447588528</v>
      </c>
      <c r="N21" s="17">
        <f t="shared" si="2"/>
        <v>104.68124969169722</v>
      </c>
      <c r="O21" s="19">
        <f t="shared" si="3"/>
        <v>0</v>
      </c>
      <c r="P21" s="20">
        <f t="shared" si="4"/>
        <v>-4.5624477872943743</v>
      </c>
      <c r="Q21" s="21">
        <f t="shared" si="5"/>
        <v>0.95823605487015151</v>
      </c>
      <c r="R21" s="172"/>
      <c r="S21" s="28"/>
      <c r="T21" s="28"/>
      <c r="U21" s="4"/>
      <c r="V21" s="22"/>
      <c r="W21" s="17"/>
      <c r="X21" s="17"/>
      <c r="Y21" s="31">
        <f>SUM(Y14:Y20)</f>
        <v>0</v>
      </c>
      <c r="Z21" s="31">
        <f>SUM(Z14:Z20)</f>
        <v>0</v>
      </c>
      <c r="AA21" s="168"/>
      <c r="AB21" s="168"/>
      <c r="AC21" s="31">
        <v>7</v>
      </c>
      <c r="AD21" s="31">
        <f>SUM(AD14:AD20)</f>
        <v>0</v>
      </c>
      <c r="AE21" s="19">
        <f t="shared" si="7"/>
        <v>-77.56161238400432</v>
      </c>
      <c r="AF21" s="21">
        <f t="shared" si="8"/>
        <v>0.95823605487015151</v>
      </c>
      <c r="AG21" s="172"/>
    </row>
    <row r="22" spans="1:33" ht="15.75" customHeight="1">
      <c r="A22" s="194" t="s">
        <v>719</v>
      </c>
      <c r="B22" s="37" t="s">
        <v>78</v>
      </c>
      <c r="C22" s="190" t="s">
        <v>95</v>
      </c>
      <c r="D22" s="190"/>
      <c r="E22" s="37">
        <v>57.73</v>
      </c>
      <c r="F22" s="4">
        <v>2271</v>
      </c>
      <c r="G22" s="4">
        <v>131104.82999999999</v>
      </c>
      <c r="H22" s="22" t="s">
        <v>139</v>
      </c>
      <c r="I22" s="16">
        <v>14</v>
      </c>
      <c r="J22" s="18">
        <v>2000</v>
      </c>
      <c r="K22" s="17">
        <f t="shared" si="0"/>
        <v>142.85714285714286</v>
      </c>
      <c r="L22" s="16">
        <v>14</v>
      </c>
      <c r="M22" s="18">
        <f t="shared" ref="M22:M27" si="16">F22/V22*60</f>
        <v>1919.1549295774639</v>
      </c>
      <c r="N22" s="17">
        <f t="shared" si="2"/>
        <v>137.08249496981884</v>
      </c>
      <c r="O22" s="19">
        <f t="shared" si="3"/>
        <v>0</v>
      </c>
      <c r="P22" s="20">
        <f t="shared" si="4"/>
        <v>-5.7746478873240221</v>
      </c>
      <c r="Q22" s="21">
        <f t="shared" si="5"/>
        <v>0.95957746478873185</v>
      </c>
      <c r="R22" s="172">
        <f>Q28</f>
        <v>0.96362166119867299</v>
      </c>
      <c r="S22" s="28">
        <v>0.20833333333333334</v>
      </c>
      <c r="T22" s="28">
        <v>0.25763888888888892</v>
      </c>
      <c r="U22" s="4"/>
      <c r="V22" s="22">
        <f t="shared" ref="V22:V27" si="17">(T22-S22)*24*60</f>
        <v>71.000000000000028</v>
      </c>
      <c r="W22" s="28"/>
      <c r="X22" s="28"/>
      <c r="Y22" s="28"/>
      <c r="Z22" s="28"/>
      <c r="AA22" s="164"/>
      <c r="AB22" s="164"/>
      <c r="AC22" s="25">
        <v>6</v>
      </c>
      <c r="AD22" s="25"/>
      <c r="AE22" s="19">
        <f t="shared" si="7"/>
        <v>-80.845070422536082</v>
      </c>
      <c r="AF22" s="21">
        <f t="shared" si="8"/>
        <v>0.95957746478873196</v>
      </c>
      <c r="AG22" s="172">
        <f>AF28</f>
        <v>0.96362166119867299</v>
      </c>
    </row>
    <row r="23" spans="1:33" ht="15.75" customHeight="1">
      <c r="A23" s="195" t="s">
        <v>719</v>
      </c>
      <c r="B23" s="37" t="s">
        <v>78</v>
      </c>
      <c r="C23" s="190" t="s">
        <v>96</v>
      </c>
      <c r="D23" s="190"/>
      <c r="E23" s="37">
        <v>53.68</v>
      </c>
      <c r="F23" s="4">
        <v>1313</v>
      </c>
      <c r="G23" s="4">
        <v>70481.84</v>
      </c>
      <c r="H23" s="22" t="s">
        <v>139</v>
      </c>
      <c r="I23" s="16">
        <v>16</v>
      </c>
      <c r="J23" s="18">
        <v>2000</v>
      </c>
      <c r="K23" s="17">
        <f t="shared" si="0"/>
        <v>125</v>
      </c>
      <c r="L23" s="16">
        <v>16</v>
      </c>
      <c r="M23" s="18">
        <f t="shared" si="16"/>
        <v>1921.4634146341459</v>
      </c>
      <c r="N23" s="17">
        <f t="shared" si="2"/>
        <v>120.09146341463412</v>
      </c>
      <c r="O23" s="19">
        <f t="shared" si="3"/>
        <v>0</v>
      </c>
      <c r="P23" s="20">
        <f t="shared" si="4"/>
        <v>-4.90853658536588</v>
      </c>
      <c r="Q23" s="21">
        <f t="shared" si="5"/>
        <v>0.96073170731707291</v>
      </c>
      <c r="R23" s="172"/>
      <c r="S23" s="28">
        <v>0.26319444444444445</v>
      </c>
      <c r="T23" s="28">
        <v>0.29166666666666669</v>
      </c>
      <c r="U23" s="4">
        <f t="shared" ref="U23:U27" si="18">IF(S23=TIME(17,0,0),"",(S23-T22)*24*60)</f>
        <v>7.9999999999999716</v>
      </c>
      <c r="V23" s="22">
        <f t="shared" si="17"/>
        <v>41.000000000000014</v>
      </c>
      <c r="W23" s="23"/>
      <c r="X23" s="4"/>
      <c r="Y23" s="4"/>
      <c r="Z23" s="4"/>
      <c r="AA23" s="164"/>
      <c r="AB23" s="164"/>
      <c r="AC23" s="25"/>
      <c r="AD23" s="25"/>
      <c r="AE23" s="19">
        <f t="shared" si="7"/>
        <v>-78.53658536585408</v>
      </c>
      <c r="AF23" s="21">
        <f t="shared" si="8"/>
        <v>0.96073170731707291</v>
      </c>
      <c r="AG23" s="172"/>
    </row>
    <row r="24" spans="1:33" ht="15.75" customHeight="1">
      <c r="A24" s="195" t="s">
        <v>719</v>
      </c>
      <c r="B24" s="37" t="s">
        <v>78</v>
      </c>
      <c r="C24" s="190" t="s">
        <v>97</v>
      </c>
      <c r="D24" s="190"/>
      <c r="E24" s="37">
        <v>50.49</v>
      </c>
      <c r="F24" s="4">
        <v>1892</v>
      </c>
      <c r="G24" s="4">
        <v>95527.08</v>
      </c>
      <c r="H24" s="22" t="s">
        <v>139</v>
      </c>
      <c r="I24" s="16">
        <v>15</v>
      </c>
      <c r="J24" s="18">
        <v>2000</v>
      </c>
      <c r="K24" s="17">
        <f t="shared" si="0"/>
        <v>133.33333333333334</v>
      </c>
      <c r="L24" s="16">
        <v>15</v>
      </c>
      <c r="M24" s="18">
        <f t="shared" si="16"/>
        <v>1924.0677966101709</v>
      </c>
      <c r="N24" s="17">
        <f t="shared" si="2"/>
        <v>128.27118644067806</v>
      </c>
      <c r="O24" s="19">
        <f t="shared" si="3"/>
        <v>0</v>
      </c>
      <c r="P24" s="20">
        <f t="shared" si="4"/>
        <v>-5.062146892655278</v>
      </c>
      <c r="Q24" s="21">
        <f t="shared" si="5"/>
        <v>0.96203389830508546</v>
      </c>
      <c r="R24" s="172"/>
      <c r="S24" s="28">
        <v>0.70833333333333337</v>
      </c>
      <c r="T24" s="28">
        <v>0.74930555555555556</v>
      </c>
      <c r="U24" s="4" t="str">
        <f t="shared" si="18"/>
        <v/>
      </c>
      <c r="V24" s="22">
        <f t="shared" si="17"/>
        <v>58.99999999999995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-75.932203389829056</v>
      </c>
      <c r="AF24" s="21">
        <f t="shared" si="8"/>
        <v>0.96203389830508546</v>
      </c>
      <c r="AG24" s="172"/>
    </row>
    <row r="25" spans="1:33" ht="15.75" customHeight="1">
      <c r="A25" s="195" t="s">
        <v>719</v>
      </c>
      <c r="B25" s="37" t="s">
        <v>78</v>
      </c>
      <c r="C25" s="190" t="s">
        <v>98</v>
      </c>
      <c r="D25" s="190"/>
      <c r="E25" s="37">
        <v>50.67</v>
      </c>
      <c r="F25" s="4">
        <v>883</v>
      </c>
      <c r="G25" s="4">
        <v>44741.61</v>
      </c>
      <c r="H25" s="22" t="s">
        <v>139</v>
      </c>
      <c r="I25" s="16">
        <v>16</v>
      </c>
      <c r="J25" s="18">
        <v>2000</v>
      </c>
      <c r="K25" s="17">
        <f t="shared" si="0"/>
        <v>125</v>
      </c>
      <c r="L25" s="16">
        <v>16</v>
      </c>
      <c r="M25" s="18">
        <f t="shared" si="16"/>
        <v>1962.2222222222174</v>
      </c>
      <c r="N25" s="17">
        <f t="shared" si="2"/>
        <v>122.63888888888859</v>
      </c>
      <c r="O25" s="19">
        <f t="shared" si="3"/>
        <v>0</v>
      </c>
      <c r="P25" s="20">
        <f t="shared" si="4"/>
        <v>-2.3611111111114127</v>
      </c>
      <c r="Q25" s="21">
        <f t="shared" si="5"/>
        <v>0.98111111111110871</v>
      </c>
      <c r="R25" s="172"/>
      <c r="S25" s="28">
        <v>0.75347222222222221</v>
      </c>
      <c r="T25" s="28">
        <v>0.77222222222222225</v>
      </c>
      <c r="U25" s="4">
        <f t="shared" si="18"/>
        <v>5.9999999999999787</v>
      </c>
      <c r="V25" s="22">
        <f t="shared" si="17"/>
        <v>27.000000000000064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-37.777777777782603</v>
      </c>
      <c r="AF25" s="21">
        <f t="shared" si="8"/>
        <v>0.98111111111110871</v>
      </c>
      <c r="AG25" s="172"/>
    </row>
    <row r="26" spans="1:33" ht="15.75" customHeight="1">
      <c r="A26" s="195" t="s">
        <v>719</v>
      </c>
      <c r="B26" s="37" t="s">
        <v>78</v>
      </c>
      <c r="C26" s="190" t="s">
        <v>99</v>
      </c>
      <c r="D26" s="190"/>
      <c r="E26" s="37">
        <v>53.68</v>
      </c>
      <c r="F26" s="4">
        <v>1945</v>
      </c>
      <c r="G26" s="4">
        <v>104407.6</v>
      </c>
      <c r="H26" s="22" t="s">
        <v>139</v>
      </c>
      <c r="I26" s="16">
        <v>16</v>
      </c>
      <c r="J26" s="18">
        <v>1500</v>
      </c>
      <c r="K26" s="17">
        <f t="shared" si="0"/>
        <v>93.75</v>
      </c>
      <c r="L26" s="16">
        <v>16</v>
      </c>
      <c r="M26" s="18">
        <f t="shared" si="16"/>
        <v>1440.7407407407402</v>
      </c>
      <c r="N26" s="17">
        <f t="shared" si="2"/>
        <v>90.046296296296262</v>
      </c>
      <c r="O26" s="19">
        <f t="shared" si="3"/>
        <v>0</v>
      </c>
      <c r="P26" s="20">
        <f t="shared" si="4"/>
        <v>-3.7037037037037379</v>
      </c>
      <c r="Q26" s="21">
        <f t="shared" si="5"/>
        <v>0.96049382716049347</v>
      </c>
      <c r="R26" s="172"/>
      <c r="S26" s="28">
        <v>0.77777777777777779</v>
      </c>
      <c r="T26" s="28">
        <v>0.83402777777777781</v>
      </c>
      <c r="U26" s="4">
        <f t="shared" si="18"/>
        <v>7.9999999999999716</v>
      </c>
      <c r="V26" s="22">
        <f t="shared" si="17"/>
        <v>81.000000000000028</v>
      </c>
      <c r="W26" s="23">
        <f>T26</f>
        <v>0.83402777777777781</v>
      </c>
      <c r="X26" s="23">
        <f>S27</f>
        <v>0.87361111111111112</v>
      </c>
      <c r="Y26" s="4"/>
      <c r="Z26" s="4"/>
      <c r="AA26" s="164"/>
      <c r="AB26" s="164"/>
      <c r="AC26" s="25"/>
      <c r="AD26" s="25"/>
      <c r="AE26" s="19">
        <f t="shared" si="7"/>
        <v>-59.259259259259807</v>
      </c>
      <c r="AF26" s="21">
        <f t="shared" si="8"/>
        <v>0.96049382716049347</v>
      </c>
      <c r="AG26" s="172"/>
    </row>
    <row r="27" spans="1:33" ht="15.75" customHeight="1">
      <c r="A27" s="195" t="s">
        <v>719</v>
      </c>
      <c r="B27" s="37" t="s">
        <v>78</v>
      </c>
      <c r="C27" s="190" t="s">
        <v>92</v>
      </c>
      <c r="D27" s="190"/>
      <c r="E27" s="37">
        <v>50.92</v>
      </c>
      <c r="F27" s="4">
        <v>1595</v>
      </c>
      <c r="G27" s="4">
        <v>81217.400000000009</v>
      </c>
      <c r="H27" s="22" t="s">
        <v>139</v>
      </c>
      <c r="I27" s="16">
        <v>15</v>
      </c>
      <c r="J27" s="18">
        <v>2000</v>
      </c>
      <c r="K27" s="17">
        <f t="shared" si="0"/>
        <v>133.33333333333334</v>
      </c>
      <c r="L27" s="16">
        <v>15</v>
      </c>
      <c r="M27" s="18">
        <f t="shared" si="16"/>
        <v>1914.0000000000005</v>
      </c>
      <c r="N27" s="17">
        <f t="shared" si="2"/>
        <v>127.60000000000004</v>
      </c>
      <c r="O27" s="19">
        <f t="shared" si="3"/>
        <v>0</v>
      </c>
      <c r="P27" s="20">
        <f t="shared" si="4"/>
        <v>-5.7333333333333059</v>
      </c>
      <c r="Q27" s="21">
        <f t="shared" si="5"/>
        <v>0.95700000000000018</v>
      </c>
      <c r="R27" s="172"/>
      <c r="S27" s="28">
        <v>0.87361111111111112</v>
      </c>
      <c r="T27" s="28">
        <v>0.90833333333333333</v>
      </c>
      <c r="U27" s="4">
        <f t="shared" si="18"/>
        <v>56.999999999999957</v>
      </c>
      <c r="V27" s="22">
        <f t="shared" si="17"/>
        <v>49.999999999999986</v>
      </c>
      <c r="W27" s="23"/>
      <c r="X27" s="28"/>
      <c r="Y27" s="28"/>
      <c r="Z27" s="28"/>
      <c r="AA27" s="164"/>
      <c r="AB27" s="164"/>
      <c r="AC27" s="25"/>
      <c r="AD27" s="25"/>
      <c r="AE27" s="19">
        <f t="shared" si="7"/>
        <v>-85.999999999999545</v>
      </c>
      <c r="AF27" s="21">
        <f t="shared" si="8"/>
        <v>0.95700000000000018</v>
      </c>
      <c r="AG27" s="172"/>
    </row>
    <row r="28" spans="1:33" ht="15.75" customHeight="1">
      <c r="A28" s="195" t="s">
        <v>719</v>
      </c>
      <c r="B28" s="37" t="s">
        <v>716</v>
      </c>
      <c r="C28" s="177"/>
      <c r="D28" s="177"/>
      <c r="E28" s="38"/>
      <c r="F28" s="4"/>
      <c r="G28" s="4"/>
      <c r="H28" s="4"/>
      <c r="I28" s="30">
        <v>15.333333333333334</v>
      </c>
      <c r="J28" s="18">
        <v>1916.6666666666667</v>
      </c>
      <c r="K28" s="17">
        <f t="shared" si="0"/>
        <v>125</v>
      </c>
      <c r="L28" s="30">
        <v>15.333333333333334</v>
      </c>
      <c r="M28" s="18">
        <f>AVERAGE(M22:M27)</f>
        <v>1846.9415172974566</v>
      </c>
      <c r="N28" s="17">
        <f t="shared" si="2"/>
        <v>120.45270764983412</v>
      </c>
      <c r="O28" s="19">
        <f t="shared" si="3"/>
        <v>0</v>
      </c>
      <c r="P28" s="20">
        <f t="shared" si="4"/>
        <v>-4.5472923501658755</v>
      </c>
      <c r="Q28" s="21">
        <f t="shared" si="5"/>
        <v>0.96362166119867299</v>
      </c>
      <c r="R28" s="172"/>
      <c r="S28" s="28"/>
      <c r="T28" s="28"/>
      <c r="U28" s="17"/>
      <c r="V28" s="22"/>
      <c r="W28" s="17"/>
      <c r="X28" s="17"/>
      <c r="Y28" s="31">
        <f>SUM(Y22:Y27)</f>
        <v>0</v>
      </c>
      <c r="Z28" s="31">
        <f>SUM(Z22:Z27)</f>
        <v>0</v>
      </c>
      <c r="AA28" s="168"/>
      <c r="AB28" s="168"/>
      <c r="AC28" s="31">
        <v>6</v>
      </c>
      <c r="AD28" s="31">
        <f>SUM(AD22:AD27)</f>
        <v>0</v>
      </c>
      <c r="AE28" s="19">
        <f t="shared" si="7"/>
        <v>-69.725149369210158</v>
      </c>
      <c r="AF28" s="21">
        <f t="shared" si="8"/>
        <v>0.96362166119867299</v>
      </c>
      <c r="AG28" s="172"/>
    </row>
    <row r="29" spans="1:33" ht="15.75" customHeight="1">
      <c r="A29" s="193" t="s">
        <v>720</v>
      </c>
      <c r="B29" s="37" t="s">
        <v>100</v>
      </c>
      <c r="C29" s="190" t="s">
        <v>101</v>
      </c>
      <c r="D29" s="190"/>
      <c r="E29" s="37">
        <v>31.29</v>
      </c>
      <c r="F29" s="4">
        <v>6862</v>
      </c>
      <c r="G29" s="4">
        <v>214711.97999999998</v>
      </c>
      <c r="H29" s="22" t="s">
        <v>139</v>
      </c>
      <c r="I29" s="16">
        <v>18</v>
      </c>
      <c r="J29" s="18">
        <v>2400</v>
      </c>
      <c r="K29" s="17">
        <f t="shared" si="0"/>
        <v>133.33333333333334</v>
      </c>
      <c r="L29" s="16">
        <v>18</v>
      </c>
      <c r="M29" s="18">
        <f t="shared" ref="M29:M33" si="19">F29/V29*60</f>
        <v>2287.3333333333335</v>
      </c>
      <c r="N29" s="17">
        <f t="shared" si="2"/>
        <v>127.07407407407408</v>
      </c>
      <c r="O29" s="19">
        <f t="shared" si="3"/>
        <v>0</v>
      </c>
      <c r="P29" s="20">
        <f t="shared" si="4"/>
        <v>-6.2592592592592666</v>
      </c>
      <c r="Q29" s="21">
        <f t="shared" si="5"/>
        <v>0.95305555555555554</v>
      </c>
      <c r="R29" s="172">
        <f>Q34</f>
        <v>0.95753142898052679</v>
      </c>
      <c r="S29" s="28">
        <v>8.3333333333333329E-2</v>
      </c>
      <c r="T29" s="28">
        <v>0.20833333333333331</v>
      </c>
      <c r="U29" s="4"/>
      <c r="V29" s="22">
        <f t="shared" ref="V29:V33" si="20">(T29-S29)*24*60</f>
        <v>179.99999999999997</v>
      </c>
      <c r="W29" s="23">
        <f>T29</f>
        <v>0.20833333333333331</v>
      </c>
      <c r="X29" s="23">
        <f>S30</f>
        <v>0.22569444444444439</v>
      </c>
      <c r="Y29" s="23"/>
      <c r="Z29" s="23"/>
      <c r="AA29" s="164"/>
      <c r="AB29" s="164"/>
      <c r="AC29" s="25">
        <v>5</v>
      </c>
      <c r="AD29" s="25"/>
      <c r="AE29" s="19">
        <f t="shared" si="7"/>
        <v>-112.66666666666652</v>
      </c>
      <c r="AF29" s="21">
        <f t="shared" si="8"/>
        <v>0.95305555555555566</v>
      </c>
      <c r="AG29" s="172">
        <f>AF34</f>
        <v>0.95753142898052679</v>
      </c>
    </row>
    <row r="30" spans="1:33" ht="15.75" customHeight="1">
      <c r="A30" s="193" t="s">
        <v>720</v>
      </c>
      <c r="B30" s="37" t="s">
        <v>100</v>
      </c>
      <c r="C30" s="190" t="s">
        <v>102</v>
      </c>
      <c r="D30" s="190"/>
      <c r="E30" s="37">
        <v>26.2</v>
      </c>
      <c r="F30" s="4">
        <v>3718</v>
      </c>
      <c r="G30" s="4">
        <v>97411.599999999991</v>
      </c>
      <c r="H30" s="22" t="s">
        <v>139</v>
      </c>
      <c r="I30" s="16">
        <v>20</v>
      </c>
      <c r="J30" s="18">
        <v>2400</v>
      </c>
      <c r="K30" s="17">
        <f t="shared" si="0"/>
        <v>120</v>
      </c>
      <c r="L30" s="16">
        <v>20</v>
      </c>
      <c r="M30" s="18">
        <f t="shared" si="19"/>
        <v>2299.7938144329892</v>
      </c>
      <c r="N30" s="17">
        <f t="shared" si="2"/>
        <v>114.98969072164945</v>
      </c>
      <c r="O30" s="19">
        <f t="shared" si="3"/>
        <v>0</v>
      </c>
      <c r="P30" s="20">
        <f t="shared" si="4"/>
        <v>-5.0103092783505474</v>
      </c>
      <c r="Q30" s="21">
        <f t="shared" si="5"/>
        <v>0.95824742268041208</v>
      </c>
      <c r="R30" s="172"/>
      <c r="S30" s="28">
        <v>0.22569444444444439</v>
      </c>
      <c r="T30" s="28">
        <v>0.29305555555555551</v>
      </c>
      <c r="U30" s="4">
        <f t="shared" ref="U30:U33" si="21">(S30-T29)*24*60</f>
        <v>24.99999999999995</v>
      </c>
      <c r="V30" s="22">
        <f t="shared" si="20"/>
        <v>97.000000000000014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7"/>
        <v>-100.20618556701083</v>
      </c>
      <c r="AF30" s="21">
        <f t="shared" si="8"/>
        <v>0.95824742268041219</v>
      </c>
      <c r="AG30" s="172"/>
    </row>
    <row r="31" spans="1:33" ht="15.75" customHeight="1">
      <c r="A31" s="193" t="s">
        <v>720</v>
      </c>
      <c r="B31" s="37" t="s">
        <v>100</v>
      </c>
      <c r="C31" s="190" t="s">
        <v>103</v>
      </c>
      <c r="D31" s="190"/>
      <c r="E31" s="37">
        <v>25.99</v>
      </c>
      <c r="F31" s="4">
        <v>3063</v>
      </c>
      <c r="G31" s="4">
        <v>79607.37</v>
      </c>
      <c r="H31" s="22" t="s">
        <v>139</v>
      </c>
      <c r="I31" s="16">
        <v>14</v>
      </c>
      <c r="J31" s="18">
        <v>2400</v>
      </c>
      <c r="K31" s="17">
        <f t="shared" si="0"/>
        <v>171.42857142857142</v>
      </c>
      <c r="L31" s="16">
        <v>14</v>
      </c>
      <c r="M31" s="18">
        <f t="shared" si="19"/>
        <v>2297.2499999999991</v>
      </c>
      <c r="N31" s="17">
        <f t="shared" si="2"/>
        <v>164.08928571428564</v>
      </c>
      <c r="O31" s="19">
        <f t="shared" si="3"/>
        <v>0</v>
      </c>
      <c r="P31" s="20">
        <f t="shared" si="4"/>
        <v>-7.3392857142857792</v>
      </c>
      <c r="Q31" s="21">
        <f t="shared" si="5"/>
        <v>0.95718749999999964</v>
      </c>
      <c r="R31" s="172"/>
      <c r="S31" s="28">
        <v>0.29652777777777772</v>
      </c>
      <c r="T31" s="28">
        <v>0.3520833333333333</v>
      </c>
      <c r="U31" s="4">
        <f t="shared" si="21"/>
        <v>4.9999999999999822</v>
      </c>
      <c r="V31" s="22">
        <f t="shared" si="20"/>
        <v>80.000000000000028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-102.75000000000091</v>
      </c>
      <c r="AF31" s="21">
        <f t="shared" si="8"/>
        <v>0.95718749999999964</v>
      </c>
      <c r="AG31" s="172"/>
    </row>
    <row r="32" spans="1:33" ht="15.75" customHeight="1">
      <c r="A32" s="193" t="s">
        <v>720</v>
      </c>
      <c r="B32" s="37" t="s">
        <v>100</v>
      </c>
      <c r="C32" s="190" t="s">
        <v>104</v>
      </c>
      <c r="D32" s="190"/>
      <c r="E32" s="37">
        <v>20.52</v>
      </c>
      <c r="F32" s="4">
        <v>2870</v>
      </c>
      <c r="G32" s="4">
        <v>58892.4</v>
      </c>
      <c r="H32" s="22" t="s">
        <v>139</v>
      </c>
      <c r="I32" s="16">
        <v>18</v>
      </c>
      <c r="J32" s="18">
        <v>2400</v>
      </c>
      <c r="K32" s="17">
        <f t="shared" si="0"/>
        <v>133.33333333333334</v>
      </c>
      <c r="L32" s="16">
        <v>18</v>
      </c>
      <c r="M32" s="18">
        <f t="shared" si="19"/>
        <v>2296.0000000000009</v>
      </c>
      <c r="N32" s="17">
        <f t="shared" si="2"/>
        <v>127.5555555555556</v>
      </c>
      <c r="O32" s="19">
        <f t="shared" si="3"/>
        <v>0</v>
      </c>
      <c r="P32" s="20">
        <f t="shared" si="4"/>
        <v>-5.777777777777743</v>
      </c>
      <c r="Q32" s="21">
        <f t="shared" si="5"/>
        <v>0.95666666666666689</v>
      </c>
      <c r="R32" s="172"/>
      <c r="S32" s="28">
        <v>0.35624999999999996</v>
      </c>
      <c r="T32" s="28">
        <v>0.40833333333333327</v>
      </c>
      <c r="U32" s="4">
        <f t="shared" si="21"/>
        <v>5.9999999999999787</v>
      </c>
      <c r="V32" s="22">
        <f t="shared" si="20"/>
        <v>74.999999999999972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-103.99999999999909</v>
      </c>
      <c r="AF32" s="21">
        <f t="shared" si="8"/>
        <v>0.956666666666667</v>
      </c>
      <c r="AG32" s="172"/>
    </row>
    <row r="33" spans="1:33" ht="15.75" customHeight="1">
      <c r="A33" s="193" t="s">
        <v>720</v>
      </c>
      <c r="B33" s="37" t="s">
        <v>100</v>
      </c>
      <c r="C33" s="190" t="s">
        <v>105</v>
      </c>
      <c r="D33" s="190"/>
      <c r="E33" s="37">
        <v>25.98</v>
      </c>
      <c r="F33" s="4">
        <v>2156</v>
      </c>
      <c r="G33" s="4">
        <v>56012.88</v>
      </c>
      <c r="H33" s="22" t="s">
        <v>139</v>
      </c>
      <c r="I33" s="16">
        <v>21</v>
      </c>
      <c r="J33" s="18">
        <v>2400</v>
      </c>
      <c r="K33" s="17">
        <f t="shared" si="0"/>
        <v>114.28571428571429</v>
      </c>
      <c r="L33" s="16">
        <v>21</v>
      </c>
      <c r="M33" s="18">
        <f t="shared" si="19"/>
        <v>2309.9999999999982</v>
      </c>
      <c r="N33" s="17">
        <f t="shared" si="2"/>
        <v>109.99999999999991</v>
      </c>
      <c r="O33" s="19">
        <f t="shared" si="3"/>
        <v>0</v>
      </c>
      <c r="P33" s="20">
        <f t="shared" si="4"/>
        <v>-4.2857142857143771</v>
      </c>
      <c r="Q33" s="21">
        <f t="shared" si="5"/>
        <v>0.96249999999999925</v>
      </c>
      <c r="R33" s="172"/>
      <c r="S33" s="28">
        <v>0.41249999999999992</v>
      </c>
      <c r="T33" s="28">
        <v>0.45138888888888884</v>
      </c>
      <c r="U33" s="4">
        <f t="shared" si="21"/>
        <v>5.9999999999999787</v>
      </c>
      <c r="V33" s="22">
        <f t="shared" si="20"/>
        <v>56.000000000000043</v>
      </c>
      <c r="W33" s="23"/>
      <c r="X33" s="23"/>
      <c r="Y33" s="23"/>
      <c r="Z33" s="23"/>
      <c r="AA33" s="164"/>
      <c r="AB33" s="164"/>
      <c r="AC33" s="25"/>
      <c r="AD33" s="25"/>
      <c r="AE33" s="19">
        <f t="shared" si="7"/>
        <v>-90.000000000001819</v>
      </c>
      <c r="AF33" s="21">
        <f t="shared" si="8"/>
        <v>0.96249999999999925</v>
      </c>
      <c r="AG33" s="172"/>
    </row>
    <row r="34" spans="1:33" ht="15.75" customHeight="1">
      <c r="A34" s="193" t="s">
        <v>720</v>
      </c>
      <c r="B34" s="37" t="s">
        <v>716</v>
      </c>
      <c r="C34" s="177"/>
      <c r="D34" s="177"/>
      <c r="E34" s="38"/>
      <c r="F34" s="4"/>
      <c r="G34" s="4"/>
      <c r="H34" s="4"/>
      <c r="I34" s="30">
        <v>18.2</v>
      </c>
      <c r="J34" s="18">
        <v>2400</v>
      </c>
      <c r="K34" s="17">
        <f t="shared" si="0"/>
        <v>131.86813186813188</v>
      </c>
      <c r="L34" s="30">
        <v>18.2</v>
      </c>
      <c r="M34" s="18">
        <f>AVERAGE(M29:M33)</f>
        <v>2298.0754295532643</v>
      </c>
      <c r="N34" s="17">
        <f t="shared" si="2"/>
        <v>126.26788074468486</v>
      </c>
      <c r="O34" s="19">
        <f t="shared" si="3"/>
        <v>0</v>
      </c>
      <c r="P34" s="20">
        <f t="shared" si="4"/>
        <v>-5.6002511234470234</v>
      </c>
      <c r="Q34" s="21">
        <f t="shared" si="5"/>
        <v>0.95753142898052679</v>
      </c>
      <c r="R34" s="172"/>
      <c r="S34" s="28"/>
      <c r="T34" s="28"/>
      <c r="U34" s="4"/>
      <c r="V34" s="22"/>
      <c r="W34" s="4"/>
      <c r="X34" s="4"/>
      <c r="Y34" s="31">
        <f>SUM(Y29:Y33)</f>
        <v>0</v>
      </c>
      <c r="Z34" s="31">
        <f>SUM(Z29:Z33)</f>
        <v>0</v>
      </c>
      <c r="AA34" s="168"/>
      <c r="AB34" s="168"/>
      <c r="AC34" s="31">
        <v>5</v>
      </c>
      <c r="AD34" s="31">
        <f>SUM(AD29:AD33)</f>
        <v>0</v>
      </c>
      <c r="AE34" s="19">
        <f t="shared" si="7"/>
        <v>-101.92457044673574</v>
      </c>
      <c r="AF34" s="21">
        <f t="shared" si="8"/>
        <v>0.95753142898052679</v>
      </c>
      <c r="AG34" s="172"/>
    </row>
    <row r="35" spans="1:33" ht="15.75" customHeight="1">
      <c r="A35" s="191" t="s">
        <v>721</v>
      </c>
      <c r="B35" s="37" t="s">
        <v>100</v>
      </c>
      <c r="C35" s="165" t="s">
        <v>106</v>
      </c>
      <c r="D35" s="165"/>
      <c r="E35" s="37">
        <v>26.2</v>
      </c>
      <c r="F35" s="4">
        <v>4871</v>
      </c>
      <c r="G35" s="4">
        <v>127620.2</v>
      </c>
      <c r="H35" s="22" t="s">
        <v>139</v>
      </c>
      <c r="I35" s="16">
        <v>18</v>
      </c>
      <c r="J35" s="18">
        <v>2400</v>
      </c>
      <c r="K35" s="17">
        <f t="shared" si="0"/>
        <v>133.33333333333334</v>
      </c>
      <c r="L35" s="16">
        <v>18</v>
      </c>
      <c r="M35" s="18">
        <f t="shared" ref="M35:M39" si="22">F35/V35*60</f>
        <v>2283.28125</v>
      </c>
      <c r="N35" s="17">
        <f t="shared" si="2"/>
        <v>126.84895833333333</v>
      </c>
      <c r="O35" s="19">
        <f t="shared" si="3"/>
        <v>0</v>
      </c>
      <c r="P35" s="20">
        <f t="shared" si="4"/>
        <v>-6.4843750000000142</v>
      </c>
      <c r="Q35" s="21">
        <f t="shared" si="5"/>
        <v>0.95136718749999993</v>
      </c>
      <c r="R35" s="172">
        <f>Q40</f>
        <v>0.95557341956250952</v>
      </c>
      <c r="S35" s="28">
        <v>8.3333333333333329E-2</v>
      </c>
      <c r="T35" s="28">
        <v>0.17222222222222222</v>
      </c>
      <c r="U35" s="4"/>
      <c r="V35" s="22">
        <f t="shared" ref="V35:V39" si="23">(T35-S35)*24*60</f>
        <v>128</v>
      </c>
      <c r="W35" s="28">
        <f>T35</f>
        <v>0.17222222222222222</v>
      </c>
      <c r="X35" s="28">
        <f>S36</f>
        <v>0.19097222222222221</v>
      </c>
      <c r="Y35" s="28"/>
      <c r="Z35" s="28"/>
      <c r="AA35" s="164"/>
      <c r="AB35" s="164"/>
      <c r="AC35" s="25">
        <v>5</v>
      </c>
      <c r="AD35" s="25"/>
      <c r="AE35" s="19">
        <f t="shared" si="7"/>
        <v>-116.71875</v>
      </c>
      <c r="AF35" s="21">
        <f t="shared" si="8"/>
        <v>0.95136718750000004</v>
      </c>
      <c r="AG35" s="172">
        <f>AF40</f>
        <v>0.95557341956250941</v>
      </c>
    </row>
    <row r="36" spans="1:33" ht="15.75" customHeight="1">
      <c r="A36" s="191" t="s">
        <v>722</v>
      </c>
      <c r="B36" s="37" t="s">
        <v>100</v>
      </c>
      <c r="C36" s="165" t="s">
        <v>107</v>
      </c>
      <c r="D36" s="165"/>
      <c r="E36" s="37">
        <v>26.18</v>
      </c>
      <c r="F36" s="4">
        <v>1488</v>
      </c>
      <c r="G36" s="4">
        <v>38955.839999999997</v>
      </c>
      <c r="H36" s="22" t="s">
        <v>139</v>
      </c>
      <c r="I36" s="16">
        <v>19</v>
      </c>
      <c r="J36" s="18">
        <v>2400</v>
      </c>
      <c r="K36" s="17">
        <f t="shared" si="0"/>
        <v>126.31578947368421</v>
      </c>
      <c r="L36" s="16">
        <v>19</v>
      </c>
      <c r="M36" s="18">
        <f t="shared" si="22"/>
        <v>2289.2307692307677</v>
      </c>
      <c r="N36" s="17">
        <f t="shared" si="2"/>
        <v>120.48582995951409</v>
      </c>
      <c r="O36" s="19">
        <f t="shared" si="3"/>
        <v>0</v>
      </c>
      <c r="P36" s="20">
        <f t="shared" si="4"/>
        <v>-5.8299595141701133</v>
      </c>
      <c r="Q36" s="21">
        <f t="shared" si="5"/>
        <v>0.95384615384615323</v>
      </c>
      <c r="R36" s="172"/>
      <c r="S36" s="28">
        <v>0.19097222222222221</v>
      </c>
      <c r="T36" s="28">
        <v>0.21805555555555556</v>
      </c>
      <c r="U36" s="4">
        <f t="shared" ref="U36:U39" si="24">(S36-T35)*24*60</f>
        <v>26.999999999999986</v>
      </c>
      <c r="V36" s="22">
        <f t="shared" si="23"/>
        <v>39.000000000000021</v>
      </c>
      <c r="W36" s="4"/>
      <c r="X36" s="4"/>
      <c r="Y36" s="4"/>
      <c r="Z36" s="4"/>
      <c r="AA36" s="164"/>
      <c r="AB36" s="164"/>
      <c r="AC36" s="25"/>
      <c r="AD36" s="25"/>
      <c r="AE36" s="19">
        <f t="shared" si="7"/>
        <v>-110.76923076923231</v>
      </c>
      <c r="AF36" s="21">
        <f t="shared" si="8"/>
        <v>0.95384615384615323</v>
      </c>
      <c r="AG36" s="172"/>
    </row>
    <row r="37" spans="1:33">
      <c r="A37" s="192" t="s">
        <v>722</v>
      </c>
      <c r="B37" s="37" t="s">
        <v>100</v>
      </c>
      <c r="C37" s="165" t="s">
        <v>108</v>
      </c>
      <c r="D37" s="165"/>
      <c r="E37" s="37">
        <v>26.39</v>
      </c>
      <c r="F37" s="4">
        <v>4448</v>
      </c>
      <c r="G37" s="4">
        <v>117382.72</v>
      </c>
      <c r="H37" s="22" t="s">
        <v>139</v>
      </c>
      <c r="I37" s="16">
        <v>19</v>
      </c>
      <c r="J37" s="18">
        <v>2400</v>
      </c>
      <c r="K37" s="17">
        <f t="shared" si="0"/>
        <v>126.31578947368421</v>
      </c>
      <c r="L37" s="16">
        <v>19</v>
      </c>
      <c r="M37" s="18">
        <f t="shared" si="22"/>
        <v>2300.6896551724144</v>
      </c>
      <c r="N37" s="17">
        <f t="shared" si="2"/>
        <v>121.08892921960076</v>
      </c>
      <c r="O37" s="19">
        <f t="shared" si="3"/>
        <v>0</v>
      </c>
      <c r="P37" s="20">
        <f t="shared" si="4"/>
        <v>-5.2268602540834479</v>
      </c>
      <c r="Q37" s="21">
        <f t="shared" si="5"/>
        <v>0.95862068965517266</v>
      </c>
      <c r="R37" s="172"/>
      <c r="S37" s="28">
        <v>0.22152777777777777</v>
      </c>
      <c r="T37" s="28">
        <v>0.30208333333333331</v>
      </c>
      <c r="U37" s="4">
        <f t="shared" si="24"/>
        <v>4.9999999999999822</v>
      </c>
      <c r="V37" s="22">
        <f t="shared" si="23"/>
        <v>115.99999999999999</v>
      </c>
      <c r="W37" s="4"/>
      <c r="X37" s="4"/>
      <c r="Y37" s="4"/>
      <c r="Z37" s="4"/>
      <c r="AA37" s="164"/>
      <c r="AB37" s="164"/>
      <c r="AC37" s="25"/>
      <c r="AD37" s="25"/>
      <c r="AE37" s="19">
        <f t="shared" si="7"/>
        <v>-99.310344827585595</v>
      </c>
      <c r="AF37" s="21">
        <f t="shared" si="8"/>
        <v>0.95862068965517266</v>
      </c>
      <c r="AG37" s="172"/>
    </row>
    <row r="38" spans="1:33">
      <c r="A38" s="192" t="s">
        <v>722</v>
      </c>
      <c r="B38" s="37" t="s">
        <v>100</v>
      </c>
      <c r="C38" s="165" t="s">
        <v>109</v>
      </c>
      <c r="D38" s="165"/>
      <c r="E38" s="37">
        <v>24.45</v>
      </c>
      <c r="F38" s="4">
        <v>1804</v>
      </c>
      <c r="G38" s="4">
        <v>44107.799999999996</v>
      </c>
      <c r="H38" s="22" t="s">
        <v>139</v>
      </c>
      <c r="I38" s="16">
        <v>20</v>
      </c>
      <c r="J38" s="18">
        <v>2400</v>
      </c>
      <c r="K38" s="17">
        <f t="shared" si="0"/>
        <v>120</v>
      </c>
      <c r="L38" s="16">
        <v>20</v>
      </c>
      <c r="M38" s="18">
        <f t="shared" si="22"/>
        <v>2302.978723404256</v>
      </c>
      <c r="N38" s="17">
        <f t="shared" si="2"/>
        <v>115.14893617021281</v>
      </c>
      <c r="O38" s="19">
        <f t="shared" si="3"/>
        <v>0</v>
      </c>
      <c r="P38" s="20">
        <f t="shared" si="4"/>
        <v>-4.8510638297871935</v>
      </c>
      <c r="Q38" s="21">
        <f t="shared" si="5"/>
        <v>0.95957446808510671</v>
      </c>
      <c r="R38" s="172"/>
      <c r="S38" s="28">
        <v>0.30555555555555552</v>
      </c>
      <c r="T38" s="28">
        <v>0.33819444444444441</v>
      </c>
      <c r="U38" s="4">
        <f t="shared" si="24"/>
        <v>4.9999999999999822</v>
      </c>
      <c r="V38" s="22">
        <f t="shared" si="23"/>
        <v>46.999999999999993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7"/>
        <v>-97.021276595743984</v>
      </c>
      <c r="AF38" s="21">
        <f t="shared" si="8"/>
        <v>0.95957446808510671</v>
      </c>
      <c r="AG38" s="172"/>
    </row>
    <row r="39" spans="1:33">
      <c r="A39" s="192" t="s">
        <v>722</v>
      </c>
      <c r="B39" s="37" t="s">
        <v>100</v>
      </c>
      <c r="C39" s="165" t="s">
        <v>110</v>
      </c>
      <c r="D39" s="165"/>
      <c r="E39" s="37">
        <v>22.69</v>
      </c>
      <c r="F39" s="4">
        <v>5994</v>
      </c>
      <c r="G39" s="4">
        <v>136003.86000000002</v>
      </c>
      <c r="H39" s="22" t="s">
        <v>139</v>
      </c>
      <c r="I39" s="16">
        <v>16</v>
      </c>
      <c r="J39" s="18">
        <v>2400</v>
      </c>
      <c r="K39" s="17">
        <f t="shared" si="0"/>
        <v>150</v>
      </c>
      <c r="L39" s="16">
        <v>16</v>
      </c>
      <c r="M39" s="18">
        <f t="shared" si="22"/>
        <v>2290.7006369426754</v>
      </c>
      <c r="N39" s="17">
        <f t="shared" si="2"/>
        <v>143.16878980891721</v>
      </c>
      <c r="O39" s="19">
        <f t="shared" si="3"/>
        <v>0</v>
      </c>
      <c r="P39" s="20">
        <f t="shared" si="4"/>
        <v>-6.8312101910827892</v>
      </c>
      <c r="Q39" s="21">
        <f t="shared" si="5"/>
        <v>0.95445859872611472</v>
      </c>
      <c r="R39" s="172"/>
      <c r="S39" s="28">
        <v>0.34374999999999994</v>
      </c>
      <c r="T39" s="28">
        <v>0.45277777777777772</v>
      </c>
      <c r="U39" s="4">
        <f t="shared" si="24"/>
        <v>7.9999999999999716</v>
      </c>
      <c r="V39" s="22">
        <f t="shared" si="23"/>
        <v>157</v>
      </c>
      <c r="W39" s="23"/>
      <c r="X39" s="23"/>
      <c r="Y39" s="23"/>
      <c r="Z39" s="23"/>
      <c r="AA39" s="164"/>
      <c r="AB39" s="164"/>
      <c r="AC39" s="25"/>
      <c r="AD39" s="25"/>
      <c r="AE39" s="19">
        <f t="shared" si="7"/>
        <v>-109.29936305732463</v>
      </c>
      <c r="AF39" s="21">
        <f t="shared" si="8"/>
        <v>0.95445859872611472</v>
      </c>
      <c r="AG39" s="172"/>
    </row>
    <row r="40" spans="1:33">
      <c r="A40" s="192" t="s">
        <v>723</v>
      </c>
      <c r="B40" s="17" t="s">
        <v>724</v>
      </c>
      <c r="C40" s="177"/>
      <c r="D40" s="177"/>
      <c r="E40" s="38"/>
      <c r="F40" s="17"/>
      <c r="G40" s="17"/>
      <c r="H40" s="4"/>
      <c r="I40" s="30">
        <v>18.399999999999999</v>
      </c>
      <c r="J40" s="18">
        <v>2400</v>
      </c>
      <c r="K40" s="17">
        <f t="shared" si="0"/>
        <v>130.43478260869566</v>
      </c>
      <c r="L40" s="30">
        <v>18.399999999999999</v>
      </c>
      <c r="M40" s="18">
        <f>AVERAGE(M35:M39)</f>
        <v>2293.3762069500226</v>
      </c>
      <c r="N40" s="17">
        <f t="shared" si="2"/>
        <v>124.64001124728385</v>
      </c>
      <c r="O40" s="19">
        <f t="shared" si="3"/>
        <v>0</v>
      </c>
      <c r="P40" s="20">
        <f t="shared" si="4"/>
        <v>-5.7947713614118044</v>
      </c>
      <c r="Q40" s="21">
        <f t="shared" si="5"/>
        <v>0.95557341956250952</v>
      </c>
      <c r="R40" s="172"/>
      <c r="S40" s="28"/>
      <c r="T40" s="28"/>
      <c r="U40" s="17"/>
      <c r="V40" s="22"/>
      <c r="W40" s="17"/>
      <c r="X40" s="17"/>
      <c r="Y40" s="31">
        <f>SUM(Y35:Y39)</f>
        <v>0</v>
      </c>
      <c r="Z40" s="31">
        <f>SUM(Z35:Z39)</f>
        <v>0</v>
      </c>
      <c r="AA40" s="168"/>
      <c r="AB40" s="168"/>
      <c r="AC40" s="31">
        <v>5</v>
      </c>
      <c r="AD40" s="31">
        <f>SUM(AD35:AD39)</f>
        <v>0</v>
      </c>
      <c r="AE40" s="19">
        <f t="shared" si="7"/>
        <v>-106.62379304997739</v>
      </c>
      <c r="AF40" s="21">
        <f t="shared" si="8"/>
        <v>0.95557341956250941</v>
      </c>
      <c r="AG40" s="172"/>
    </row>
    <row r="41" spans="1:33" ht="15.75" customHeight="1">
      <c r="A41" s="184" t="s">
        <v>725</v>
      </c>
      <c r="B41" s="37" t="s">
        <v>111</v>
      </c>
      <c r="C41" s="173" t="s">
        <v>403</v>
      </c>
      <c r="D41" s="174"/>
      <c r="E41" s="37">
        <v>34.36</v>
      </c>
      <c r="F41" s="4">
        <v>3405</v>
      </c>
      <c r="G41" s="4">
        <v>116995.8</v>
      </c>
      <c r="H41" s="22" t="s">
        <v>139</v>
      </c>
      <c r="I41" s="16">
        <v>10</v>
      </c>
      <c r="J41" s="18">
        <v>3000</v>
      </c>
      <c r="K41" s="17">
        <f t="shared" si="0"/>
        <v>300</v>
      </c>
      <c r="L41" s="16">
        <v>10</v>
      </c>
      <c r="M41" s="18">
        <f t="shared" ref="M41:M47" si="25">F41/V41*60</f>
        <v>2877.464788732394</v>
      </c>
      <c r="N41" s="18">
        <f t="shared" si="2"/>
        <v>287.74647887323943</v>
      </c>
      <c r="O41" s="19">
        <f t="shared" si="3"/>
        <v>0</v>
      </c>
      <c r="P41" s="20">
        <f t="shared" si="4"/>
        <v>-12.253521126760575</v>
      </c>
      <c r="Q41" s="21">
        <f t="shared" si="5"/>
        <v>0.95915492957746473</v>
      </c>
      <c r="R41" s="187">
        <f>Q48</f>
        <v>0.95861960669007407</v>
      </c>
      <c r="S41" s="28">
        <v>8.3333333333333329E-2</v>
      </c>
      <c r="T41" s="28">
        <v>0.13263888888888889</v>
      </c>
      <c r="U41" s="28"/>
      <c r="V41" s="22">
        <f t="shared" ref="V41:V47" si="26">(T41-S41)*24*60</f>
        <v>71.000000000000014</v>
      </c>
      <c r="W41" s="23">
        <f>T41</f>
        <v>0.13263888888888889</v>
      </c>
      <c r="X41" s="23">
        <f>S42</f>
        <v>0.15208333333333335</v>
      </c>
      <c r="Y41" s="26"/>
      <c r="Z41" s="26"/>
      <c r="AA41" s="175"/>
      <c r="AB41" s="176"/>
      <c r="AC41" s="25">
        <v>7</v>
      </c>
      <c r="AD41" s="25"/>
      <c r="AE41" s="19">
        <f t="shared" si="7"/>
        <v>-122.53521126760597</v>
      </c>
      <c r="AF41" s="21">
        <f t="shared" si="8"/>
        <v>0.95915492957746462</v>
      </c>
      <c r="AG41" s="187">
        <f>AF48</f>
        <v>0.95861960669007418</v>
      </c>
    </row>
    <row r="42" spans="1:33" ht="15.75" customHeight="1">
      <c r="A42" s="185" t="s">
        <v>725</v>
      </c>
      <c r="B42" s="37" t="s">
        <v>111</v>
      </c>
      <c r="C42" s="173" t="s">
        <v>114</v>
      </c>
      <c r="D42" s="174"/>
      <c r="E42" s="37">
        <v>35.119999999999997</v>
      </c>
      <c r="F42" s="4">
        <v>4470</v>
      </c>
      <c r="G42" s="4">
        <v>156986.4</v>
      </c>
      <c r="H42" s="22" t="s">
        <v>139</v>
      </c>
      <c r="I42" s="16">
        <v>10</v>
      </c>
      <c r="J42" s="18">
        <v>3000</v>
      </c>
      <c r="K42" s="17">
        <f t="shared" si="0"/>
        <v>300</v>
      </c>
      <c r="L42" s="16">
        <v>10</v>
      </c>
      <c r="M42" s="18">
        <f t="shared" si="25"/>
        <v>2853.1914893617027</v>
      </c>
      <c r="N42" s="18">
        <f t="shared" si="2"/>
        <v>285.31914893617028</v>
      </c>
      <c r="O42" s="19">
        <f t="shared" si="3"/>
        <v>0</v>
      </c>
      <c r="P42" s="20">
        <f t="shared" si="4"/>
        <v>-14.680851063829721</v>
      </c>
      <c r="Q42" s="21">
        <f t="shared" si="5"/>
        <v>0.95106382978723425</v>
      </c>
      <c r="R42" s="188"/>
      <c r="S42" s="28">
        <v>0.15208333333333335</v>
      </c>
      <c r="T42" s="28">
        <v>0.21736111111111112</v>
      </c>
      <c r="U42" s="4">
        <f t="shared" ref="U42:U47" si="27">(S42-T41)*24*60</f>
        <v>28.000000000000021</v>
      </c>
      <c r="V42" s="22">
        <f t="shared" si="26"/>
        <v>93.999999999999986</v>
      </c>
      <c r="W42" s="23"/>
      <c r="X42" s="23"/>
      <c r="Y42" s="26"/>
      <c r="Z42" s="26"/>
      <c r="AA42" s="175"/>
      <c r="AB42" s="176"/>
      <c r="AC42" s="25" t="s">
        <v>139</v>
      </c>
      <c r="AD42" s="25"/>
      <c r="AE42" s="19">
        <f t="shared" si="7"/>
        <v>-146.80851063829732</v>
      </c>
      <c r="AF42" s="21">
        <f t="shared" si="8"/>
        <v>0.95106382978723425</v>
      </c>
      <c r="AG42" s="188"/>
    </row>
    <row r="43" spans="1:33" ht="15.75" customHeight="1">
      <c r="A43" s="185" t="s">
        <v>725</v>
      </c>
      <c r="B43" s="37" t="s">
        <v>111</v>
      </c>
      <c r="C43" s="173" t="s">
        <v>115</v>
      </c>
      <c r="D43" s="174"/>
      <c r="E43" s="37">
        <v>26.78</v>
      </c>
      <c r="F43" s="4">
        <v>2345</v>
      </c>
      <c r="G43" s="4">
        <v>62799.100000000006</v>
      </c>
      <c r="H43" s="22" t="s">
        <v>139</v>
      </c>
      <c r="I43" s="16">
        <v>10</v>
      </c>
      <c r="J43" s="18">
        <v>3000</v>
      </c>
      <c r="K43" s="17">
        <f t="shared" si="0"/>
        <v>300</v>
      </c>
      <c r="L43" s="16">
        <v>10</v>
      </c>
      <c r="M43" s="18">
        <f t="shared" si="25"/>
        <v>2871.4285714285697</v>
      </c>
      <c r="N43" s="18">
        <f t="shared" si="2"/>
        <v>287.142857142857</v>
      </c>
      <c r="O43" s="19">
        <f t="shared" si="3"/>
        <v>0</v>
      </c>
      <c r="P43" s="20">
        <f t="shared" si="4"/>
        <v>-12.857142857143003</v>
      </c>
      <c r="Q43" s="21">
        <f t="shared" si="5"/>
        <v>0.95714285714285663</v>
      </c>
      <c r="R43" s="188"/>
      <c r="S43" s="28">
        <v>0.22291666666666668</v>
      </c>
      <c r="T43" s="28">
        <v>0.25694444444444448</v>
      </c>
      <c r="U43" s="4">
        <f t="shared" si="27"/>
        <v>8.0000000000000107</v>
      </c>
      <c r="V43" s="22">
        <f t="shared" si="26"/>
        <v>49.000000000000028</v>
      </c>
      <c r="W43" s="23"/>
      <c r="X43" s="23"/>
      <c r="Y43" s="26"/>
      <c r="Z43" s="26"/>
      <c r="AA43" s="175"/>
      <c r="AB43" s="176"/>
      <c r="AC43" s="25" t="s">
        <v>139</v>
      </c>
      <c r="AD43" s="25"/>
      <c r="AE43" s="19">
        <f t="shared" si="7"/>
        <v>-128.57142857143026</v>
      </c>
      <c r="AF43" s="21">
        <f t="shared" si="8"/>
        <v>0.95714285714285663</v>
      </c>
      <c r="AG43" s="188"/>
    </row>
    <row r="44" spans="1:33" ht="15.75" customHeight="1">
      <c r="A44" s="185" t="s">
        <v>725</v>
      </c>
      <c r="B44" s="37" t="s">
        <v>111</v>
      </c>
      <c r="C44" s="173" t="s">
        <v>116</v>
      </c>
      <c r="D44" s="174"/>
      <c r="E44" s="37">
        <v>35.869999999999997</v>
      </c>
      <c r="F44" s="4">
        <v>3224</v>
      </c>
      <c r="G44" s="4">
        <v>115644.87999999999</v>
      </c>
      <c r="H44" s="22" t="s">
        <v>139</v>
      </c>
      <c r="I44" s="16">
        <v>9</v>
      </c>
      <c r="J44" s="18">
        <v>3000</v>
      </c>
      <c r="K44" s="17">
        <f t="shared" si="0"/>
        <v>333.33333333333331</v>
      </c>
      <c r="L44" s="16">
        <v>9</v>
      </c>
      <c r="M44" s="18">
        <f t="shared" si="25"/>
        <v>2887.1641791044776</v>
      </c>
      <c r="N44" s="18">
        <f t="shared" si="2"/>
        <v>320.79601990049753</v>
      </c>
      <c r="O44" s="19">
        <f t="shared" si="3"/>
        <v>0</v>
      </c>
      <c r="P44" s="20">
        <f t="shared" si="4"/>
        <v>-12.537313432835788</v>
      </c>
      <c r="Q44" s="21">
        <f t="shared" si="5"/>
        <v>0.96238805970149266</v>
      </c>
      <c r="R44" s="188"/>
      <c r="S44" s="28">
        <v>0.26041666666666669</v>
      </c>
      <c r="T44" s="28">
        <v>0.30694444444444446</v>
      </c>
      <c r="U44" s="4">
        <f t="shared" si="27"/>
        <v>4.9999999999999822</v>
      </c>
      <c r="V44" s="22">
        <f t="shared" si="26"/>
        <v>67</v>
      </c>
      <c r="W44" s="23"/>
      <c r="X44" s="23"/>
      <c r="Y44" s="26"/>
      <c r="Z44" s="26"/>
      <c r="AA44" s="175"/>
      <c r="AB44" s="176"/>
      <c r="AC44" s="25" t="s">
        <v>139</v>
      </c>
      <c r="AD44" s="25"/>
      <c r="AE44" s="19">
        <f t="shared" si="7"/>
        <v>-112.83582089552237</v>
      </c>
      <c r="AF44" s="21">
        <f t="shared" si="8"/>
        <v>0.96238805970149255</v>
      </c>
      <c r="AG44" s="188"/>
    </row>
    <row r="45" spans="1:33" ht="15.75" customHeight="1">
      <c r="A45" s="185" t="s">
        <v>725</v>
      </c>
      <c r="B45" s="37" t="s">
        <v>111</v>
      </c>
      <c r="C45" s="173" t="s">
        <v>117</v>
      </c>
      <c r="D45" s="174"/>
      <c r="E45" s="37">
        <v>44.03</v>
      </c>
      <c r="F45" s="4">
        <v>1447</v>
      </c>
      <c r="G45" s="4">
        <v>63711.41</v>
      </c>
      <c r="H45" s="22" t="s">
        <v>139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2894.0000000000027</v>
      </c>
      <c r="N45" s="18">
        <f t="shared" si="2"/>
        <v>289.40000000000026</v>
      </c>
      <c r="O45" s="19">
        <f t="shared" si="3"/>
        <v>0</v>
      </c>
      <c r="P45" s="20">
        <f t="shared" si="4"/>
        <v>-10.599999999999739</v>
      </c>
      <c r="Q45" s="21">
        <f t="shared" si="5"/>
        <v>0.96466666666666756</v>
      </c>
      <c r="R45" s="188"/>
      <c r="S45" s="28">
        <v>0.3125</v>
      </c>
      <c r="T45" s="28">
        <v>0.33333333333333331</v>
      </c>
      <c r="U45" s="4">
        <f t="shared" si="27"/>
        <v>7.9999999999999716</v>
      </c>
      <c r="V45" s="22">
        <f t="shared" si="26"/>
        <v>29.999999999999972</v>
      </c>
      <c r="W45" s="23"/>
      <c r="X45" s="23"/>
      <c r="Y45" s="26"/>
      <c r="Z45" s="26"/>
      <c r="AA45" s="175"/>
      <c r="AB45" s="176"/>
      <c r="AC45" s="25" t="s">
        <v>139</v>
      </c>
      <c r="AD45" s="25"/>
      <c r="AE45" s="19">
        <f t="shared" si="7"/>
        <v>-105.99999999999727</v>
      </c>
      <c r="AF45" s="21">
        <f t="shared" si="8"/>
        <v>0.96466666666666756</v>
      </c>
      <c r="AG45" s="188"/>
    </row>
    <row r="46" spans="1:33" ht="15.75" customHeight="1">
      <c r="A46" s="185" t="s">
        <v>725</v>
      </c>
      <c r="B46" s="37" t="s">
        <v>111</v>
      </c>
      <c r="C46" s="173" t="s">
        <v>112</v>
      </c>
      <c r="D46" s="174"/>
      <c r="E46" s="37">
        <v>21.13</v>
      </c>
      <c r="F46" s="4">
        <v>4323</v>
      </c>
      <c r="G46" s="4">
        <v>91344.989999999991</v>
      </c>
      <c r="H46" s="22" t="s">
        <v>139</v>
      </c>
      <c r="I46" s="16">
        <v>10</v>
      </c>
      <c r="J46" s="18">
        <v>3000</v>
      </c>
      <c r="K46" s="17">
        <f t="shared" si="0"/>
        <v>300</v>
      </c>
      <c r="L46" s="16">
        <v>10</v>
      </c>
      <c r="M46" s="18">
        <f t="shared" si="25"/>
        <v>2882</v>
      </c>
      <c r="N46" s="18">
        <f t="shared" si="2"/>
        <v>288.2</v>
      </c>
      <c r="O46" s="19">
        <f t="shared" si="3"/>
        <v>0</v>
      </c>
      <c r="P46" s="20">
        <f t="shared" si="4"/>
        <v>-11.800000000000011</v>
      </c>
      <c r="Q46" s="21">
        <f t="shared" si="5"/>
        <v>0.96066666666666667</v>
      </c>
      <c r="R46" s="188"/>
      <c r="S46" s="28">
        <v>0.33888888888888885</v>
      </c>
      <c r="T46" s="28">
        <v>0.40138888888888885</v>
      </c>
      <c r="U46" s="4">
        <f t="shared" si="27"/>
        <v>7.9999999999999716</v>
      </c>
      <c r="V46" s="22">
        <f t="shared" si="26"/>
        <v>90</v>
      </c>
      <c r="W46" s="23"/>
      <c r="X46" s="23"/>
      <c r="Y46" s="26"/>
      <c r="Z46" s="26"/>
      <c r="AA46" s="175"/>
      <c r="AB46" s="176"/>
      <c r="AC46" s="25" t="s">
        <v>139</v>
      </c>
      <c r="AD46" s="25"/>
      <c r="AE46" s="19">
        <f t="shared" si="7"/>
        <v>-118</v>
      </c>
      <c r="AF46" s="21">
        <f t="shared" si="8"/>
        <v>0.96066666666666667</v>
      </c>
      <c r="AG46" s="188"/>
    </row>
    <row r="47" spans="1:33" ht="15.75" customHeight="1">
      <c r="A47" s="185" t="s">
        <v>725</v>
      </c>
      <c r="B47" s="37" t="s">
        <v>111</v>
      </c>
      <c r="C47" s="173" t="s">
        <v>113</v>
      </c>
      <c r="D47" s="174"/>
      <c r="E47" s="37">
        <v>27.17</v>
      </c>
      <c r="F47" s="4">
        <v>5636</v>
      </c>
      <c r="G47" s="4">
        <v>153130.12</v>
      </c>
      <c r="H47" s="22" t="s">
        <v>139</v>
      </c>
      <c r="I47" s="16">
        <v>10</v>
      </c>
      <c r="J47" s="18">
        <v>3000</v>
      </c>
      <c r="K47" s="17">
        <f t="shared" si="0"/>
        <v>300</v>
      </c>
      <c r="L47" s="16">
        <v>10</v>
      </c>
      <c r="M47" s="18">
        <f t="shared" si="25"/>
        <v>2865.7627118644068</v>
      </c>
      <c r="N47" s="18">
        <f t="shared" si="2"/>
        <v>286.57627118644069</v>
      </c>
      <c r="O47" s="19">
        <f t="shared" si="3"/>
        <v>0</v>
      </c>
      <c r="P47" s="20">
        <f t="shared" si="4"/>
        <v>-13.423728813559308</v>
      </c>
      <c r="Q47" s="21">
        <f t="shared" si="5"/>
        <v>0.95525423728813563</v>
      </c>
      <c r="R47" s="188"/>
      <c r="S47" s="28">
        <v>0.40694444444444439</v>
      </c>
      <c r="T47" s="28">
        <v>0.48888888888888882</v>
      </c>
      <c r="U47" s="4">
        <f t="shared" si="27"/>
        <v>7.9999999999999716</v>
      </c>
      <c r="V47" s="22">
        <f t="shared" si="26"/>
        <v>117.99999999999999</v>
      </c>
      <c r="W47" s="23"/>
      <c r="X47" s="23"/>
      <c r="Y47" s="26"/>
      <c r="Z47" s="26"/>
      <c r="AA47" s="175"/>
      <c r="AB47" s="176"/>
      <c r="AC47" s="25"/>
      <c r="AD47" s="25"/>
      <c r="AE47" s="19">
        <f t="shared" si="7"/>
        <v>-134.23728813559319</v>
      </c>
      <c r="AF47" s="21">
        <f t="shared" si="8"/>
        <v>0.95525423728813563</v>
      </c>
      <c r="AG47" s="188"/>
    </row>
    <row r="48" spans="1:33" ht="15.75" customHeight="1">
      <c r="A48" s="186" t="s">
        <v>725</v>
      </c>
      <c r="B48" s="37" t="s">
        <v>724</v>
      </c>
      <c r="C48" s="166"/>
      <c r="D48" s="167"/>
      <c r="E48" s="41"/>
      <c r="F48" s="4"/>
      <c r="G48" s="4"/>
      <c r="H48" s="4"/>
      <c r="I48" s="30">
        <v>9.8571428571428577</v>
      </c>
      <c r="J48" s="18">
        <v>3000</v>
      </c>
      <c r="K48" s="17">
        <f t="shared" si="0"/>
        <v>304.3478260869565</v>
      </c>
      <c r="L48" s="30">
        <v>9.8571428571428577</v>
      </c>
      <c r="M48" s="18">
        <f>AVERAGE(M41:M47)</f>
        <v>2875.8588200702225</v>
      </c>
      <c r="N48" s="17">
        <f t="shared" si="2"/>
        <v>291.75379334045732</v>
      </c>
      <c r="O48" s="19">
        <f t="shared" si="3"/>
        <v>0</v>
      </c>
      <c r="P48" s="20">
        <f t="shared" si="4"/>
        <v>-12.594032746499181</v>
      </c>
      <c r="Q48" s="21">
        <f t="shared" si="5"/>
        <v>0.95861960669007407</v>
      </c>
      <c r="R48" s="189"/>
      <c r="S48" s="28"/>
      <c r="T48" s="28"/>
      <c r="U48" s="4"/>
      <c r="V48" s="22"/>
      <c r="W48" s="23"/>
      <c r="X48" s="23"/>
      <c r="Y48" s="31">
        <f>SUM(Y41:Y47)</f>
        <v>0</v>
      </c>
      <c r="Z48" s="31">
        <f>SUM(Z41:Z47)</f>
        <v>0</v>
      </c>
      <c r="AA48" s="180"/>
      <c r="AB48" s="181"/>
      <c r="AC48" s="31">
        <v>7</v>
      </c>
      <c r="AD48" s="31">
        <f>SUM(AD41:AD47)</f>
        <v>0</v>
      </c>
      <c r="AE48" s="19">
        <f t="shared" si="7"/>
        <v>-124.14117992977754</v>
      </c>
      <c r="AF48" s="21">
        <f t="shared" si="8"/>
        <v>0.95861960669007418</v>
      </c>
      <c r="AG48" s="189"/>
    </row>
    <row r="49" spans="1:33" ht="15.75" customHeight="1">
      <c r="A49" s="182" t="s">
        <v>70</v>
      </c>
      <c r="B49" s="37" t="s">
        <v>84</v>
      </c>
      <c r="C49" s="165" t="s">
        <v>118</v>
      </c>
      <c r="D49" s="165"/>
      <c r="E49" s="37">
        <v>46</v>
      </c>
      <c r="F49" s="42">
        <v>1305</v>
      </c>
      <c r="G49" s="4">
        <v>60030</v>
      </c>
      <c r="H49" s="22" t="s">
        <v>139</v>
      </c>
      <c r="I49" s="16">
        <v>17</v>
      </c>
      <c r="J49" s="18">
        <v>2000</v>
      </c>
      <c r="K49" s="17">
        <f t="shared" si="0"/>
        <v>117.64705882352941</v>
      </c>
      <c r="L49" s="16">
        <v>17</v>
      </c>
      <c r="M49" s="18">
        <f t="shared" ref="M49:M57" si="28">F49/V49*60</f>
        <v>1909.7560975609749</v>
      </c>
      <c r="N49" s="18">
        <f t="shared" si="2"/>
        <v>112.338593974175</v>
      </c>
      <c r="O49" s="19">
        <f t="shared" si="3"/>
        <v>0</v>
      </c>
      <c r="P49" s="20">
        <f t="shared" si="4"/>
        <v>-5.308464849354408</v>
      </c>
      <c r="Q49" s="21">
        <f t="shared" si="5"/>
        <v>0.95487804878048754</v>
      </c>
      <c r="R49" s="172">
        <f>Q58</f>
        <v>0.93260341438258465</v>
      </c>
      <c r="S49" s="28">
        <v>0.20833333333333334</v>
      </c>
      <c r="T49" s="28">
        <v>0.23680555555555557</v>
      </c>
      <c r="U49" s="28"/>
      <c r="V49" s="22">
        <f t="shared" ref="V49:V57" si="29">(T49-S49)*24*60</f>
        <v>41.000000000000014</v>
      </c>
      <c r="W49" s="28"/>
      <c r="X49" s="28"/>
      <c r="Y49" s="28"/>
      <c r="Z49" s="28"/>
      <c r="AA49" s="164"/>
      <c r="AB49" s="164"/>
      <c r="AC49" s="25">
        <v>9</v>
      </c>
      <c r="AD49" s="25"/>
      <c r="AE49" s="19">
        <f t="shared" si="7"/>
        <v>-90.243902439025078</v>
      </c>
      <c r="AF49" s="21">
        <f t="shared" si="8"/>
        <v>0.95487804878048743</v>
      </c>
      <c r="AG49" s="172">
        <f>AF58</f>
        <v>0.93260341438258465</v>
      </c>
    </row>
    <row r="50" spans="1:33" ht="15.75" customHeight="1">
      <c r="A50" s="182" t="s">
        <v>70</v>
      </c>
      <c r="B50" s="37" t="s">
        <v>84</v>
      </c>
      <c r="C50" s="165" t="s">
        <v>119</v>
      </c>
      <c r="D50" s="165"/>
      <c r="E50" s="37">
        <v>46</v>
      </c>
      <c r="F50" s="42">
        <v>1438</v>
      </c>
      <c r="G50" s="4">
        <v>66148</v>
      </c>
      <c r="H50" s="22" t="s">
        <v>139</v>
      </c>
      <c r="I50" s="16">
        <v>17</v>
      </c>
      <c r="J50" s="18">
        <v>2000</v>
      </c>
      <c r="K50" s="17">
        <f t="shared" si="0"/>
        <v>117.64705882352941</v>
      </c>
      <c r="L50" s="16">
        <v>17</v>
      </c>
      <c r="M50" s="18">
        <f t="shared" si="28"/>
        <v>1917.3333333333333</v>
      </c>
      <c r="N50" s="18">
        <f t="shared" si="2"/>
        <v>112.78431372549019</v>
      </c>
      <c r="O50" s="19">
        <f t="shared" si="3"/>
        <v>0</v>
      </c>
      <c r="P50" s="20">
        <f t="shared" si="4"/>
        <v>-4.8627450980392126</v>
      </c>
      <c r="Q50" s="21">
        <f t="shared" si="5"/>
        <v>0.95866666666666667</v>
      </c>
      <c r="R50" s="172"/>
      <c r="S50" s="28">
        <v>0.2416666666666667</v>
      </c>
      <c r="T50" s="28">
        <v>0.2729166666666667</v>
      </c>
      <c r="U50" s="4">
        <f t="shared" ref="U50:U57" si="30">IF(S50=TIME(17,0,0),"",(S50-T49)*24*60)</f>
        <v>7.0000000000000151</v>
      </c>
      <c r="V50" s="22">
        <f t="shared" si="29"/>
        <v>45</v>
      </c>
      <c r="W50" s="23"/>
      <c r="X50" s="23"/>
      <c r="Y50" s="23"/>
      <c r="Z50" s="23"/>
      <c r="AA50" s="164"/>
      <c r="AB50" s="164"/>
      <c r="AC50" s="25"/>
      <c r="AD50" s="25"/>
      <c r="AE50" s="19">
        <f t="shared" si="7"/>
        <v>-82.666666666666742</v>
      </c>
      <c r="AF50" s="21">
        <f t="shared" si="8"/>
        <v>0.95866666666666667</v>
      </c>
      <c r="AG50" s="172"/>
    </row>
    <row r="51" spans="1:33" ht="15.75" customHeight="1">
      <c r="A51" s="182" t="s">
        <v>70</v>
      </c>
      <c r="B51" s="37" t="s">
        <v>78</v>
      </c>
      <c r="C51" s="173" t="s">
        <v>120</v>
      </c>
      <c r="D51" s="174"/>
      <c r="E51" s="37">
        <v>56.43</v>
      </c>
      <c r="F51" s="42">
        <v>1647</v>
      </c>
      <c r="G51" s="4">
        <v>92940.21</v>
      </c>
      <c r="H51" s="22" t="s">
        <v>139</v>
      </c>
      <c r="I51" s="16">
        <v>22</v>
      </c>
      <c r="J51" s="18">
        <v>2000</v>
      </c>
      <c r="K51" s="17">
        <f t="shared" si="0"/>
        <v>90.909090909090907</v>
      </c>
      <c r="L51" s="16">
        <v>22</v>
      </c>
      <c r="M51" s="18">
        <f t="shared" si="28"/>
        <v>1733.6842105263172</v>
      </c>
      <c r="N51" s="18">
        <f t="shared" si="2"/>
        <v>78.803827751196238</v>
      </c>
      <c r="O51" s="19">
        <f t="shared" si="3"/>
        <v>0</v>
      </c>
      <c r="P51" s="20">
        <f t="shared" si="4"/>
        <v>-12.105263157894669</v>
      </c>
      <c r="Q51" s="21">
        <f t="shared" si="5"/>
        <v>0.86684210526315864</v>
      </c>
      <c r="R51" s="172"/>
      <c r="S51" s="28">
        <v>0.27638888888888891</v>
      </c>
      <c r="T51" s="28">
        <v>0.31597222222222221</v>
      </c>
      <c r="U51" s="4">
        <f t="shared" si="30"/>
        <v>4.9999999999999822</v>
      </c>
      <c r="V51" s="22">
        <f t="shared" si="29"/>
        <v>56.999999999999957</v>
      </c>
      <c r="W51" s="23"/>
      <c r="X51" s="23"/>
      <c r="Y51" s="26"/>
      <c r="Z51" s="26"/>
      <c r="AA51" s="164"/>
      <c r="AB51" s="164"/>
      <c r="AC51" s="25"/>
      <c r="AD51" s="25"/>
      <c r="AE51" s="19">
        <f t="shared" si="7"/>
        <v>-266.3157894736828</v>
      </c>
      <c r="AF51" s="21">
        <f t="shared" si="8"/>
        <v>0.86684210526315864</v>
      </c>
      <c r="AG51" s="172"/>
    </row>
    <row r="52" spans="1:33" ht="15.75" customHeight="1">
      <c r="A52" s="182" t="s">
        <v>70</v>
      </c>
      <c r="B52" s="37" t="s">
        <v>78</v>
      </c>
      <c r="C52" s="43" t="s">
        <v>121</v>
      </c>
      <c r="D52" s="44"/>
      <c r="E52" s="37">
        <v>51.75</v>
      </c>
      <c r="F52" s="42">
        <v>1506</v>
      </c>
      <c r="G52" s="4">
        <v>77935.5</v>
      </c>
      <c r="H52" s="22" t="s">
        <v>139</v>
      </c>
      <c r="I52" s="16">
        <v>25</v>
      </c>
      <c r="J52" s="18">
        <v>2000</v>
      </c>
      <c r="K52" s="17">
        <f t="shared" si="0"/>
        <v>80</v>
      </c>
      <c r="L52" s="16">
        <v>25</v>
      </c>
      <c r="M52" s="18">
        <f t="shared" si="28"/>
        <v>1704.9056603773593</v>
      </c>
      <c r="N52" s="18">
        <f t="shared" si="2"/>
        <v>68.196226415094372</v>
      </c>
      <c r="O52" s="19">
        <f t="shared" si="3"/>
        <v>0</v>
      </c>
      <c r="P52" s="20">
        <f t="shared" si="4"/>
        <v>-11.803773584905628</v>
      </c>
      <c r="Q52" s="21">
        <f t="shared" si="5"/>
        <v>0.85245283018867968</v>
      </c>
      <c r="R52" s="172"/>
      <c r="S52" s="28">
        <v>0.32013888888888886</v>
      </c>
      <c r="T52" s="28">
        <v>0.3569444444444444</v>
      </c>
      <c r="U52" s="4">
        <f t="shared" si="30"/>
        <v>5.9999999999999787</v>
      </c>
      <c r="V52" s="22">
        <f t="shared" si="29"/>
        <v>52.999999999999972</v>
      </c>
      <c r="W52" s="23"/>
      <c r="X52" s="23"/>
      <c r="Y52" s="26"/>
      <c r="Z52" s="26"/>
      <c r="AA52" s="164"/>
      <c r="AB52" s="164"/>
      <c r="AC52" s="25"/>
      <c r="AD52" s="25"/>
      <c r="AE52" s="19">
        <f t="shared" si="7"/>
        <v>-295.09433962264075</v>
      </c>
      <c r="AF52" s="21">
        <f t="shared" si="8"/>
        <v>0.85245283018867968</v>
      </c>
      <c r="AG52" s="172"/>
    </row>
    <row r="53" spans="1:33" ht="15.75" customHeight="1">
      <c r="A53" s="182" t="s">
        <v>70</v>
      </c>
      <c r="B53" s="37" t="s">
        <v>78</v>
      </c>
      <c r="C53" s="43" t="s">
        <v>122</v>
      </c>
      <c r="D53" s="44"/>
      <c r="E53" s="37">
        <v>54.09</v>
      </c>
      <c r="F53" s="42">
        <v>1454</v>
      </c>
      <c r="G53" s="4">
        <v>78646.86</v>
      </c>
      <c r="H53" s="22" t="s">
        <v>139</v>
      </c>
      <c r="I53" s="16">
        <v>19</v>
      </c>
      <c r="J53" s="18">
        <v>2000</v>
      </c>
      <c r="K53" s="17">
        <f t="shared" si="0"/>
        <v>105.26315789473684</v>
      </c>
      <c r="L53" s="16">
        <v>19</v>
      </c>
      <c r="M53" s="18">
        <f t="shared" si="28"/>
        <v>1856.1702127659578</v>
      </c>
      <c r="N53" s="18">
        <f t="shared" si="2"/>
        <v>97.693169092945141</v>
      </c>
      <c r="O53" s="19">
        <f t="shared" si="3"/>
        <v>0</v>
      </c>
      <c r="P53" s="20">
        <f t="shared" si="4"/>
        <v>-7.5699888017916948</v>
      </c>
      <c r="Q53" s="21">
        <f t="shared" si="5"/>
        <v>0.92808510638297892</v>
      </c>
      <c r="R53" s="172"/>
      <c r="S53" s="28">
        <v>0.36249999999999993</v>
      </c>
      <c r="T53" s="28">
        <v>0.39513888888888882</v>
      </c>
      <c r="U53" s="4">
        <f t="shared" si="30"/>
        <v>7.9999999999999716</v>
      </c>
      <c r="V53" s="22">
        <f t="shared" si="29"/>
        <v>46.999999999999993</v>
      </c>
      <c r="W53" s="23"/>
      <c r="X53" s="23"/>
      <c r="Y53" s="26"/>
      <c r="Z53" s="26"/>
      <c r="AA53" s="164"/>
      <c r="AB53" s="164"/>
      <c r="AC53" s="25"/>
      <c r="AD53" s="25"/>
      <c r="AE53" s="19">
        <f t="shared" si="7"/>
        <v>-143.82978723404221</v>
      </c>
      <c r="AF53" s="21">
        <f t="shared" si="8"/>
        <v>0.92808510638297892</v>
      </c>
      <c r="AG53" s="172"/>
    </row>
    <row r="54" spans="1:33" ht="15.75" customHeight="1">
      <c r="A54" s="182" t="s">
        <v>70</v>
      </c>
      <c r="B54" s="37" t="s">
        <v>78</v>
      </c>
      <c r="C54" s="173" t="s">
        <v>123</v>
      </c>
      <c r="D54" s="174"/>
      <c r="E54" s="37">
        <v>55.56</v>
      </c>
      <c r="F54" s="42">
        <v>1780</v>
      </c>
      <c r="G54" s="4">
        <v>98896.8</v>
      </c>
      <c r="H54" s="22" t="s">
        <v>139</v>
      </c>
      <c r="I54" s="16">
        <v>17</v>
      </c>
      <c r="J54" s="18">
        <v>2000</v>
      </c>
      <c r="K54" s="17">
        <f t="shared" si="0"/>
        <v>117.64705882352941</v>
      </c>
      <c r="L54" s="16">
        <v>17</v>
      </c>
      <c r="M54" s="18">
        <f t="shared" si="28"/>
        <v>1907.1428571428585</v>
      </c>
      <c r="N54" s="18">
        <f t="shared" si="2"/>
        <v>112.18487394957991</v>
      </c>
      <c r="O54" s="19">
        <f t="shared" si="3"/>
        <v>0</v>
      </c>
      <c r="P54" s="20">
        <f t="shared" si="4"/>
        <v>-5.4621848739494965</v>
      </c>
      <c r="Q54" s="21">
        <f t="shared" si="5"/>
        <v>0.95357142857142929</v>
      </c>
      <c r="R54" s="172"/>
      <c r="S54" s="28">
        <v>0.70833333333333337</v>
      </c>
      <c r="T54" s="28">
        <v>0.74722222222222223</v>
      </c>
      <c r="U54" s="4" t="str">
        <f t="shared" si="30"/>
        <v/>
      </c>
      <c r="V54" s="22">
        <f t="shared" si="29"/>
        <v>55.999999999999957</v>
      </c>
      <c r="W54" s="23"/>
      <c r="X54" s="23"/>
      <c r="Y54" s="26"/>
      <c r="Z54" s="26"/>
      <c r="AA54" s="175"/>
      <c r="AB54" s="176"/>
      <c r="AC54" s="25"/>
      <c r="AD54" s="25"/>
      <c r="AE54" s="19">
        <f t="shared" si="7"/>
        <v>-92.857142857141525</v>
      </c>
      <c r="AF54" s="21">
        <f t="shared" si="8"/>
        <v>0.95357142857142929</v>
      </c>
      <c r="AG54" s="172"/>
    </row>
    <row r="55" spans="1:33" ht="15.75" customHeight="1">
      <c r="A55" s="182" t="s">
        <v>70</v>
      </c>
      <c r="B55" s="37" t="s">
        <v>78</v>
      </c>
      <c r="C55" s="173" t="s">
        <v>124</v>
      </c>
      <c r="D55" s="174"/>
      <c r="E55" s="37">
        <v>55.32</v>
      </c>
      <c r="F55" s="42">
        <v>1233</v>
      </c>
      <c r="G55" s="4">
        <v>68209.56</v>
      </c>
      <c r="H55" s="22" t="s">
        <v>139</v>
      </c>
      <c r="I55" s="16">
        <v>15</v>
      </c>
      <c r="J55" s="18">
        <v>2000</v>
      </c>
      <c r="K55" s="17">
        <f t="shared" si="0"/>
        <v>133.33333333333334</v>
      </c>
      <c r="L55" s="16">
        <v>15</v>
      </c>
      <c r="M55" s="18">
        <f t="shared" si="28"/>
        <v>1946.8421052631566</v>
      </c>
      <c r="N55" s="18">
        <f t="shared" si="2"/>
        <v>129.78947368421044</v>
      </c>
      <c r="O55" s="19">
        <f t="shared" si="3"/>
        <v>0</v>
      </c>
      <c r="P55" s="20">
        <f t="shared" si="4"/>
        <v>-3.5438596491229077</v>
      </c>
      <c r="Q55" s="21">
        <f t="shared" si="5"/>
        <v>0.97342105263157819</v>
      </c>
      <c r="R55" s="172"/>
      <c r="S55" s="28">
        <v>0.75208333333333333</v>
      </c>
      <c r="T55" s="28">
        <v>0.77847222222222223</v>
      </c>
      <c r="U55" s="4">
        <f t="shared" si="30"/>
        <v>6.9999999999999751</v>
      </c>
      <c r="V55" s="22">
        <f t="shared" si="29"/>
        <v>38.000000000000028</v>
      </c>
      <c r="W55" s="23"/>
      <c r="X55" s="23"/>
      <c r="Y55" s="26"/>
      <c r="Z55" s="26"/>
      <c r="AA55" s="175"/>
      <c r="AB55" s="176"/>
      <c r="AC55" s="25"/>
      <c r="AD55" s="25"/>
      <c r="AE55" s="19">
        <f t="shared" si="7"/>
        <v>-53.157894736843446</v>
      </c>
      <c r="AF55" s="21">
        <f t="shared" si="8"/>
        <v>0.9734210526315783</v>
      </c>
      <c r="AG55" s="172"/>
    </row>
    <row r="56" spans="1:33" ht="15.75" customHeight="1">
      <c r="A56" s="182" t="s">
        <v>726</v>
      </c>
      <c r="B56" s="37" t="s">
        <v>78</v>
      </c>
      <c r="C56" s="173" t="s">
        <v>125</v>
      </c>
      <c r="D56" s="174"/>
      <c r="E56" s="37">
        <v>54.29</v>
      </c>
      <c r="F56" s="42">
        <v>1652</v>
      </c>
      <c r="G56" s="4">
        <v>89687.08</v>
      </c>
      <c r="H56" s="22" t="s">
        <v>139</v>
      </c>
      <c r="I56" s="16">
        <v>20</v>
      </c>
      <c r="J56" s="18">
        <v>2000</v>
      </c>
      <c r="K56" s="17">
        <f t="shared" si="0"/>
        <v>100</v>
      </c>
      <c r="L56" s="16">
        <v>20</v>
      </c>
      <c r="M56" s="18">
        <f t="shared" si="28"/>
        <v>1906.1538461538473</v>
      </c>
      <c r="N56" s="18">
        <f t="shared" si="2"/>
        <v>95.307692307692363</v>
      </c>
      <c r="O56" s="19">
        <f t="shared" si="3"/>
        <v>0</v>
      </c>
      <c r="P56" s="20">
        <f t="shared" si="4"/>
        <v>-4.6923076923076366</v>
      </c>
      <c r="Q56" s="21">
        <f t="shared" si="5"/>
        <v>0.9530769230769236</v>
      </c>
      <c r="R56" s="172"/>
      <c r="S56" s="28">
        <v>0.78333333333333333</v>
      </c>
      <c r="T56" s="28">
        <v>0.81944444444444442</v>
      </c>
      <c r="U56" s="4">
        <f t="shared" si="30"/>
        <v>6.9999999999999751</v>
      </c>
      <c r="V56" s="22">
        <f t="shared" si="29"/>
        <v>51.999999999999972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7"/>
        <v>-93.846153846152674</v>
      </c>
      <c r="AF56" s="21">
        <f t="shared" si="8"/>
        <v>0.95307692307692371</v>
      </c>
      <c r="AG56" s="172"/>
    </row>
    <row r="57" spans="1:33">
      <c r="A57" s="182" t="s">
        <v>726</v>
      </c>
      <c r="B57" s="37" t="s">
        <v>78</v>
      </c>
      <c r="C57" s="173" t="s">
        <v>126</v>
      </c>
      <c r="D57" s="174"/>
      <c r="E57" s="37">
        <v>57.73</v>
      </c>
      <c r="F57" s="42">
        <v>1007</v>
      </c>
      <c r="G57" s="4">
        <v>58134.109999999993</v>
      </c>
      <c r="H57" s="22" t="s">
        <v>139</v>
      </c>
      <c r="I57" s="16">
        <v>16</v>
      </c>
      <c r="J57" s="18">
        <v>1500</v>
      </c>
      <c r="K57" s="17">
        <f t="shared" si="0"/>
        <v>93.75</v>
      </c>
      <c r="L57" s="16">
        <v>16</v>
      </c>
      <c r="M57" s="18">
        <f t="shared" si="28"/>
        <v>1438.571428571428</v>
      </c>
      <c r="N57" s="18">
        <f t="shared" si="2"/>
        <v>89.910714285714249</v>
      </c>
      <c r="O57" s="19">
        <f t="shared" si="3"/>
        <v>0</v>
      </c>
      <c r="P57" s="20">
        <f t="shared" si="4"/>
        <v>-3.8392857142857508</v>
      </c>
      <c r="Q57" s="21">
        <f t="shared" si="5"/>
        <v>0.9590476190476187</v>
      </c>
      <c r="R57" s="172"/>
      <c r="S57" s="28">
        <v>0.82361111111111107</v>
      </c>
      <c r="T57" s="28">
        <v>0.85277777777777775</v>
      </c>
      <c r="U57" s="4">
        <f t="shared" si="30"/>
        <v>5.9999999999999787</v>
      </c>
      <c r="V57" s="22">
        <f t="shared" si="29"/>
        <v>42.000000000000014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7"/>
        <v>-61.428571428572013</v>
      </c>
      <c r="AF57" s="21">
        <f t="shared" si="8"/>
        <v>0.9590476190476187</v>
      </c>
      <c r="AG57" s="172"/>
    </row>
    <row r="58" spans="1:33">
      <c r="A58" s="183" t="s">
        <v>726</v>
      </c>
      <c r="B58" s="37" t="s">
        <v>51</v>
      </c>
      <c r="C58" s="177"/>
      <c r="D58" s="177"/>
      <c r="E58" s="38"/>
      <c r="F58" s="17"/>
      <c r="G58" s="17"/>
      <c r="H58" s="4"/>
      <c r="I58" s="30">
        <v>18.666666666666668</v>
      </c>
      <c r="J58" s="18">
        <v>1944.4444444444443</v>
      </c>
      <c r="K58" s="17">
        <f t="shared" si="0"/>
        <v>104.16666666666666</v>
      </c>
      <c r="L58" s="30">
        <v>18.666666666666668</v>
      </c>
      <c r="M58" s="18">
        <f>AVERAGE(M49:M57)</f>
        <v>1813.3955279661368</v>
      </c>
      <c r="N58" s="17">
        <f t="shared" si="2"/>
        <v>97.146188998185892</v>
      </c>
      <c r="O58" s="19">
        <f t="shared" si="3"/>
        <v>0</v>
      </c>
      <c r="P58" s="20">
        <f t="shared" si="4"/>
        <v>-7.0204776684807655</v>
      </c>
      <c r="Q58" s="21">
        <f t="shared" si="5"/>
        <v>0.93260341438258465</v>
      </c>
      <c r="R58" s="172"/>
      <c r="S58" s="28"/>
      <c r="T58" s="28"/>
      <c r="U58" s="4"/>
      <c r="V58" s="22"/>
      <c r="W58" s="17"/>
      <c r="X58" s="17"/>
      <c r="Y58" s="31">
        <f>SUM(Y49:Y57)</f>
        <v>0</v>
      </c>
      <c r="Z58" s="31">
        <f>SUM(Z49:Z57)</f>
        <v>0</v>
      </c>
      <c r="AA58" s="168"/>
      <c r="AB58" s="168"/>
      <c r="AC58" s="31">
        <v>9</v>
      </c>
      <c r="AD58" s="31">
        <f>SUM(AD49:AD57)</f>
        <v>0</v>
      </c>
      <c r="AE58" s="19">
        <f>M58-J58</f>
        <v>-131.04891647830755</v>
      </c>
      <c r="AF58" s="21">
        <f t="shared" si="8"/>
        <v>0.93260341438258465</v>
      </c>
      <c r="AG58" s="172"/>
    </row>
    <row r="59" spans="1:33" ht="15.75" customHeight="1">
      <c r="A59" s="178" t="s">
        <v>727</v>
      </c>
      <c r="B59" s="4" t="s">
        <v>84</v>
      </c>
      <c r="C59" s="165" t="s">
        <v>127</v>
      </c>
      <c r="D59" s="165"/>
      <c r="E59" s="37">
        <v>26.97</v>
      </c>
      <c r="F59" s="42">
        <v>2175</v>
      </c>
      <c r="G59" s="4">
        <v>58659.75</v>
      </c>
      <c r="H59" s="22" t="s">
        <v>139</v>
      </c>
      <c r="I59" s="16">
        <v>8</v>
      </c>
      <c r="J59" s="18">
        <v>1500</v>
      </c>
      <c r="K59" s="17">
        <f t="shared" si="0"/>
        <v>187.5</v>
      </c>
      <c r="L59" s="16">
        <v>8</v>
      </c>
      <c r="M59" s="18">
        <f t="shared" ref="M59:M63" si="31">F59/V59*60</f>
        <v>1434.0659340659336</v>
      </c>
      <c r="N59" s="17">
        <f t="shared" si="2"/>
        <v>179.2582417582417</v>
      </c>
      <c r="O59" s="19">
        <f t="shared" si="3"/>
        <v>0</v>
      </c>
      <c r="P59" s="20">
        <f t="shared" si="4"/>
        <v>-8.2417582417583048</v>
      </c>
      <c r="Q59" s="21">
        <f t="shared" si="5"/>
        <v>0.95604395604395576</v>
      </c>
      <c r="R59" s="172">
        <f>Q64</f>
        <v>0.9668682781892024</v>
      </c>
      <c r="S59" s="28">
        <v>0.20833333333333334</v>
      </c>
      <c r="T59" s="28">
        <v>0.27152777777777781</v>
      </c>
      <c r="U59" s="4"/>
      <c r="V59" s="22">
        <f t="shared" ref="V59:V63" si="32">(T59-S59)*24*60</f>
        <v>91.000000000000043</v>
      </c>
      <c r="W59" s="28"/>
      <c r="X59" s="28"/>
      <c r="Y59" s="28"/>
      <c r="Z59" s="28"/>
      <c r="AA59" s="164"/>
      <c r="AB59" s="164"/>
      <c r="AC59" s="25">
        <v>5</v>
      </c>
      <c r="AD59" s="25"/>
      <c r="AE59" s="19">
        <f t="shared" ref="AE59:AE71" si="33">M59-J59</f>
        <v>-65.934065934066439</v>
      </c>
      <c r="AF59" s="21">
        <f t="shared" si="8"/>
        <v>0.95604395604395576</v>
      </c>
      <c r="AG59" s="172">
        <f>AF64</f>
        <v>0.9668682781892024</v>
      </c>
    </row>
    <row r="60" spans="1:33" ht="15.75" customHeight="1">
      <c r="A60" s="178" t="s">
        <v>73</v>
      </c>
      <c r="B60" s="4" t="s">
        <v>84</v>
      </c>
      <c r="C60" s="165" t="s">
        <v>128</v>
      </c>
      <c r="D60" s="165"/>
      <c r="E60" s="37">
        <v>27.4</v>
      </c>
      <c r="F60" s="42">
        <v>1190</v>
      </c>
      <c r="G60" s="4">
        <v>32606</v>
      </c>
      <c r="H60" s="22" t="s">
        <v>139</v>
      </c>
      <c r="I60" s="16">
        <v>10</v>
      </c>
      <c r="J60" s="18">
        <v>1500</v>
      </c>
      <c r="K60" s="17">
        <f t="shared" si="0"/>
        <v>150</v>
      </c>
      <c r="L60" s="16">
        <v>10</v>
      </c>
      <c r="M60" s="18">
        <f t="shared" si="31"/>
        <v>1428.0000000000005</v>
      </c>
      <c r="N60" s="17">
        <f t="shared" si="2"/>
        <v>142.80000000000004</v>
      </c>
      <c r="O60" s="19">
        <f t="shared" si="3"/>
        <v>0</v>
      </c>
      <c r="P60" s="20">
        <f t="shared" si="4"/>
        <v>-7.1999999999999602</v>
      </c>
      <c r="Q60" s="21">
        <f t="shared" si="5"/>
        <v>0.95200000000000029</v>
      </c>
      <c r="R60" s="172"/>
      <c r="S60" s="28">
        <v>0.27708333333333335</v>
      </c>
      <c r="T60" s="28">
        <v>0.31180555555555556</v>
      </c>
      <c r="U60" s="4">
        <f t="shared" ref="U60:U63" si="34">(S60-T59)*24*60</f>
        <v>7.9999999999999716</v>
      </c>
      <c r="V60" s="22">
        <f t="shared" si="32"/>
        <v>49.999999999999986</v>
      </c>
      <c r="W60" s="4"/>
      <c r="X60" s="4"/>
      <c r="Y60" s="4"/>
      <c r="Z60" s="4"/>
      <c r="AA60" s="164"/>
      <c r="AB60" s="164"/>
      <c r="AC60" s="25"/>
      <c r="AD60" s="25"/>
      <c r="AE60" s="19">
        <f t="shared" si="33"/>
        <v>-71.999999999999545</v>
      </c>
      <c r="AF60" s="21">
        <f t="shared" si="8"/>
        <v>0.95200000000000029</v>
      </c>
      <c r="AG60" s="172"/>
    </row>
    <row r="61" spans="1:33" ht="15.75" customHeight="1">
      <c r="A61" s="178" t="s">
        <v>727</v>
      </c>
      <c r="B61" s="4" t="s">
        <v>111</v>
      </c>
      <c r="C61" s="165" t="s">
        <v>129</v>
      </c>
      <c r="D61" s="165"/>
      <c r="E61" s="37">
        <v>31</v>
      </c>
      <c r="F61" s="42">
        <v>748</v>
      </c>
      <c r="G61" s="4">
        <v>23188</v>
      </c>
      <c r="H61" s="22" t="s">
        <v>139</v>
      </c>
      <c r="I61" s="16">
        <v>13</v>
      </c>
      <c r="J61" s="18">
        <v>2000</v>
      </c>
      <c r="K61" s="17">
        <f t="shared" si="0"/>
        <v>153.84615384615384</v>
      </c>
      <c r="L61" s="16">
        <v>13</v>
      </c>
      <c r="M61" s="18">
        <f t="shared" si="31"/>
        <v>1951.304347826087</v>
      </c>
      <c r="N61" s="17">
        <f t="shared" si="2"/>
        <v>150.10033444816054</v>
      </c>
      <c r="O61" s="19">
        <f t="shared" si="3"/>
        <v>0</v>
      </c>
      <c r="P61" s="20">
        <f t="shared" si="4"/>
        <v>-3.7458193979933014</v>
      </c>
      <c r="Q61" s="21">
        <f t="shared" si="5"/>
        <v>0.97565217391304349</v>
      </c>
      <c r="R61" s="172"/>
      <c r="S61" s="28">
        <v>0.31597222222222221</v>
      </c>
      <c r="T61" s="28">
        <v>0.33194444444444443</v>
      </c>
      <c r="U61" s="4">
        <f t="shared" si="34"/>
        <v>5.9999999999999787</v>
      </c>
      <c r="V61" s="22">
        <f t="shared" si="32"/>
        <v>23</v>
      </c>
      <c r="W61" s="4"/>
      <c r="X61" s="4"/>
      <c r="Y61" s="4"/>
      <c r="Z61" s="4"/>
      <c r="AA61" s="164"/>
      <c r="AB61" s="164"/>
      <c r="AC61" s="25" t="s">
        <v>139</v>
      </c>
      <c r="AD61" s="25"/>
      <c r="AE61" s="19">
        <f t="shared" si="33"/>
        <v>-48.695652173913004</v>
      </c>
      <c r="AF61" s="21">
        <f t="shared" si="8"/>
        <v>0.97565217391304349</v>
      </c>
      <c r="AG61" s="172"/>
    </row>
    <row r="62" spans="1:33" ht="15.75" customHeight="1">
      <c r="A62" s="178" t="s">
        <v>73</v>
      </c>
      <c r="B62" s="4" t="s">
        <v>111</v>
      </c>
      <c r="C62" s="165" t="s">
        <v>130</v>
      </c>
      <c r="D62" s="165"/>
      <c r="E62" s="37">
        <v>37.85</v>
      </c>
      <c r="F62" s="42">
        <v>2057</v>
      </c>
      <c r="G62" s="4">
        <v>77857.45</v>
      </c>
      <c r="H62" s="22" t="s">
        <v>139</v>
      </c>
      <c r="I62" s="16">
        <v>12</v>
      </c>
      <c r="J62" s="18">
        <v>2000</v>
      </c>
      <c r="K62" s="17">
        <f t="shared" si="0"/>
        <v>166.66666666666666</v>
      </c>
      <c r="L62" s="16">
        <v>12</v>
      </c>
      <c r="M62" s="18">
        <f t="shared" si="31"/>
        <v>1928.4374999999995</v>
      </c>
      <c r="N62" s="17">
        <f t="shared" si="2"/>
        <v>160.70312499999997</v>
      </c>
      <c r="O62" s="19">
        <f t="shared" si="3"/>
        <v>0</v>
      </c>
      <c r="P62" s="20">
        <f t="shared" si="4"/>
        <v>-5.9635416666666856</v>
      </c>
      <c r="Q62" s="21">
        <f t="shared" si="5"/>
        <v>0.9642187499999999</v>
      </c>
      <c r="R62" s="172"/>
      <c r="S62" s="28">
        <v>0.33611111111111108</v>
      </c>
      <c r="T62" s="28">
        <v>0.38055555555555554</v>
      </c>
      <c r="U62" s="4">
        <f t="shared" si="34"/>
        <v>5.9999999999999787</v>
      </c>
      <c r="V62" s="22">
        <f t="shared" si="32"/>
        <v>64.000000000000014</v>
      </c>
      <c r="W62" s="4"/>
      <c r="X62" s="4"/>
      <c r="Y62" s="4"/>
      <c r="Z62" s="4"/>
      <c r="AA62" s="164"/>
      <c r="AB62" s="164"/>
      <c r="AC62" s="25" t="s">
        <v>139</v>
      </c>
      <c r="AD62" s="25"/>
      <c r="AE62" s="19">
        <f t="shared" si="33"/>
        <v>-71.562500000000455</v>
      </c>
      <c r="AF62" s="21">
        <f t="shared" si="8"/>
        <v>0.96421874999999979</v>
      </c>
      <c r="AG62" s="172"/>
    </row>
    <row r="63" spans="1:33">
      <c r="A63" s="179" t="s">
        <v>727</v>
      </c>
      <c r="B63" s="4" t="s">
        <v>111</v>
      </c>
      <c r="C63" s="165" t="s">
        <v>131</v>
      </c>
      <c r="D63" s="165"/>
      <c r="E63" s="37">
        <v>34.36</v>
      </c>
      <c r="F63" s="42">
        <v>1561</v>
      </c>
      <c r="G63" s="4">
        <v>53635.96</v>
      </c>
      <c r="H63" s="22" t="s">
        <v>139</v>
      </c>
      <c r="I63" s="16">
        <v>10</v>
      </c>
      <c r="J63" s="18">
        <v>3000</v>
      </c>
      <c r="K63" s="17">
        <f t="shared" si="0"/>
        <v>300</v>
      </c>
      <c r="L63" s="16">
        <v>10</v>
      </c>
      <c r="M63" s="18">
        <f t="shared" si="31"/>
        <v>2926.8750000000036</v>
      </c>
      <c r="N63" s="17">
        <f t="shared" si="2"/>
        <v>292.68750000000034</v>
      </c>
      <c r="O63" s="19">
        <f t="shared" si="3"/>
        <v>0</v>
      </c>
      <c r="P63" s="20">
        <f t="shared" si="4"/>
        <v>-7.3124999999996589</v>
      </c>
      <c r="Q63" s="21">
        <f t="shared" si="5"/>
        <v>0.97562500000000119</v>
      </c>
      <c r="R63" s="172"/>
      <c r="S63" s="28">
        <v>0.38472222222222219</v>
      </c>
      <c r="T63" s="28">
        <v>0.40694444444444439</v>
      </c>
      <c r="U63" s="4">
        <f t="shared" si="34"/>
        <v>5.9999999999999787</v>
      </c>
      <c r="V63" s="22">
        <f t="shared" si="32"/>
        <v>31.999999999999964</v>
      </c>
      <c r="W63" s="23"/>
      <c r="X63" s="23"/>
      <c r="Y63" s="23"/>
      <c r="Z63" s="23"/>
      <c r="AA63" s="164"/>
      <c r="AB63" s="164"/>
      <c r="AC63" s="25" t="s">
        <v>139</v>
      </c>
      <c r="AD63" s="25"/>
      <c r="AE63" s="19">
        <f t="shared" si="33"/>
        <v>-73.124999999996362</v>
      </c>
      <c r="AF63" s="21">
        <f t="shared" si="8"/>
        <v>0.97562500000000119</v>
      </c>
      <c r="AG63" s="172"/>
    </row>
    <row r="64" spans="1:33">
      <c r="A64" s="179" t="s">
        <v>73</v>
      </c>
      <c r="B64" s="37" t="s">
        <v>716</v>
      </c>
      <c r="C64" s="177"/>
      <c r="D64" s="177"/>
      <c r="E64" s="38"/>
      <c r="F64" s="17"/>
      <c r="G64" s="17"/>
      <c r="H64" s="4"/>
      <c r="I64" s="30">
        <v>10.6</v>
      </c>
      <c r="J64" s="18">
        <v>2000</v>
      </c>
      <c r="K64" s="17">
        <f t="shared" si="0"/>
        <v>188.67924528301887</v>
      </c>
      <c r="L64" s="30">
        <v>10.6</v>
      </c>
      <c r="M64" s="18">
        <f>AVERAGE(M59:M63)</f>
        <v>1933.7365563784049</v>
      </c>
      <c r="N64" s="17">
        <f t="shared" si="2"/>
        <v>182.42797701683065</v>
      </c>
      <c r="O64" s="19">
        <f t="shared" si="3"/>
        <v>0</v>
      </c>
      <c r="P64" s="20">
        <f t="shared" si="4"/>
        <v>-6.2512682661882195</v>
      </c>
      <c r="Q64" s="21">
        <f t="shared" si="5"/>
        <v>0.9668682781892024</v>
      </c>
      <c r="R64" s="172"/>
      <c r="S64" s="28"/>
      <c r="T64" s="28"/>
      <c r="U64" s="17"/>
      <c r="V64" s="22"/>
      <c r="W64" s="17"/>
      <c r="X64" s="17"/>
      <c r="Y64" s="31">
        <f>SUM(Y59:Y63)</f>
        <v>0</v>
      </c>
      <c r="Z64" s="31">
        <f>SUM(Z59:Z63)</f>
        <v>0</v>
      </c>
      <c r="AA64" s="168"/>
      <c r="AB64" s="168"/>
      <c r="AC64" s="31">
        <v>5</v>
      </c>
      <c r="AD64" s="31">
        <f>SUM(AD59:AD63)</f>
        <v>0</v>
      </c>
      <c r="AE64" s="19">
        <f t="shared" si="33"/>
        <v>-66.263443621595115</v>
      </c>
      <c r="AF64" s="21">
        <f t="shared" si="8"/>
        <v>0.9668682781892024</v>
      </c>
      <c r="AG64" s="172"/>
    </row>
    <row r="65" spans="1:33" ht="15.75" customHeight="1">
      <c r="A65" s="169" t="s">
        <v>75</v>
      </c>
      <c r="B65" s="4" t="s">
        <v>100</v>
      </c>
      <c r="C65" s="165" t="s">
        <v>133</v>
      </c>
      <c r="D65" s="165"/>
      <c r="E65" s="37">
        <v>20.2</v>
      </c>
      <c r="F65" s="4">
        <v>1413</v>
      </c>
      <c r="G65" s="4">
        <v>28542.6</v>
      </c>
      <c r="H65" s="22" t="s">
        <v>139</v>
      </c>
      <c r="I65" s="16">
        <v>19</v>
      </c>
      <c r="J65" s="18">
        <v>2400</v>
      </c>
      <c r="K65" s="17">
        <f t="shared" si="0"/>
        <v>126.31578947368421</v>
      </c>
      <c r="L65" s="16">
        <v>19</v>
      </c>
      <c r="M65" s="18">
        <f t="shared" ref="M65:M70" si="35">F65/V65*60</f>
        <v>2291.3513513513508</v>
      </c>
      <c r="N65" s="17">
        <f t="shared" si="2"/>
        <v>120.59743954480794</v>
      </c>
      <c r="O65" s="19">
        <f t="shared" si="3"/>
        <v>0</v>
      </c>
      <c r="P65" s="20">
        <f t="shared" si="4"/>
        <v>-5.7183499288762647</v>
      </c>
      <c r="Q65" s="21">
        <f t="shared" si="5"/>
        <v>0.95472972972972958</v>
      </c>
      <c r="R65" s="172">
        <f>Q71</f>
        <v>0.95876578208089225</v>
      </c>
      <c r="S65" s="28">
        <v>8.3333333333333329E-2</v>
      </c>
      <c r="T65" s="28">
        <v>0.10902777777777778</v>
      </c>
      <c r="U65" s="28"/>
      <c r="V65" s="22">
        <f t="shared" ref="V65:V70" si="36">(T65-S65)*24*60</f>
        <v>37.000000000000007</v>
      </c>
      <c r="W65" s="23">
        <f>T65</f>
        <v>0.10902777777777778</v>
      </c>
      <c r="X65" s="23">
        <f>S66</f>
        <v>0.1277777777777778</v>
      </c>
      <c r="Y65" s="23"/>
      <c r="Z65" s="23"/>
      <c r="AA65" s="164"/>
      <c r="AB65" s="164"/>
      <c r="AC65" s="25">
        <v>6</v>
      </c>
      <c r="AD65" s="25"/>
      <c r="AE65" s="19">
        <f t="shared" si="33"/>
        <v>-108.64864864864921</v>
      </c>
      <c r="AF65" s="21">
        <f t="shared" si="8"/>
        <v>0.95472972972972947</v>
      </c>
      <c r="AG65" s="172">
        <f>AF71</f>
        <v>0.95876578208089214</v>
      </c>
    </row>
    <row r="66" spans="1:33" ht="15.75" customHeight="1">
      <c r="A66" s="170" t="s">
        <v>75</v>
      </c>
      <c r="B66" s="4" t="s">
        <v>100</v>
      </c>
      <c r="C66" s="165" t="s">
        <v>134</v>
      </c>
      <c r="D66" s="165"/>
      <c r="E66" s="37">
        <v>20.52</v>
      </c>
      <c r="F66" s="4">
        <v>2294</v>
      </c>
      <c r="G66" s="4">
        <v>47072.88</v>
      </c>
      <c r="H66" s="22" t="s">
        <v>139</v>
      </c>
      <c r="I66" s="16">
        <v>18</v>
      </c>
      <c r="J66" s="18">
        <v>2400</v>
      </c>
      <c r="K66" s="17">
        <f t="shared" si="0"/>
        <v>133.33333333333334</v>
      </c>
      <c r="L66" s="16">
        <v>18</v>
      </c>
      <c r="M66" s="18">
        <f t="shared" si="35"/>
        <v>2294.0000000000005</v>
      </c>
      <c r="N66" s="17">
        <f t="shared" si="2"/>
        <v>127.44444444444447</v>
      </c>
      <c r="O66" s="19">
        <f t="shared" si="3"/>
        <v>0</v>
      </c>
      <c r="P66" s="20">
        <f t="shared" si="4"/>
        <v>-5.8888888888888715</v>
      </c>
      <c r="Q66" s="21">
        <f t="shared" si="5"/>
        <v>0.95583333333333342</v>
      </c>
      <c r="R66" s="172"/>
      <c r="S66" s="28">
        <v>0.1277777777777778</v>
      </c>
      <c r="T66" s="28">
        <v>0.16944444444444445</v>
      </c>
      <c r="U66" s="4">
        <f t="shared" ref="U66:U70" si="37">(S66-T65)*24*60</f>
        <v>27.000000000000025</v>
      </c>
      <c r="V66" s="22">
        <f t="shared" si="36"/>
        <v>59.999999999999986</v>
      </c>
      <c r="W66" s="23"/>
      <c r="X66" s="23"/>
      <c r="Y66" s="23"/>
      <c r="Z66" s="23"/>
      <c r="AA66" s="164"/>
      <c r="AB66" s="164"/>
      <c r="AC66" s="25"/>
      <c r="AD66" s="25"/>
      <c r="AE66" s="19">
        <f t="shared" si="33"/>
        <v>-105.99999999999955</v>
      </c>
      <c r="AF66" s="21">
        <f t="shared" si="8"/>
        <v>0.95583333333333353</v>
      </c>
      <c r="AG66" s="172"/>
    </row>
    <row r="67" spans="1:33" ht="15.75" customHeight="1">
      <c r="A67" s="170" t="s">
        <v>728</v>
      </c>
      <c r="B67" s="4" t="s">
        <v>100</v>
      </c>
      <c r="C67" s="165" t="s">
        <v>136</v>
      </c>
      <c r="D67" s="165"/>
      <c r="E67" s="37">
        <v>24.43</v>
      </c>
      <c r="F67" s="4">
        <v>4773</v>
      </c>
      <c r="G67" s="4">
        <v>116604.39</v>
      </c>
      <c r="H67" s="22" t="s">
        <v>139</v>
      </c>
      <c r="I67" s="16">
        <v>14</v>
      </c>
      <c r="J67" s="18">
        <v>2400</v>
      </c>
      <c r="K67" s="17">
        <f t="shared" si="0"/>
        <v>171.42857142857142</v>
      </c>
      <c r="L67" s="16">
        <v>14</v>
      </c>
      <c r="M67" s="18">
        <f t="shared" si="35"/>
        <v>2291.0400000000004</v>
      </c>
      <c r="N67" s="17">
        <f t="shared" si="2"/>
        <v>163.64571428571432</v>
      </c>
      <c r="O67" s="19">
        <f t="shared" si="3"/>
        <v>0</v>
      </c>
      <c r="P67" s="20">
        <f t="shared" si="4"/>
        <v>-7.7828571428570967</v>
      </c>
      <c r="Q67" s="21">
        <f t="shared" si="5"/>
        <v>0.95460000000000023</v>
      </c>
      <c r="R67" s="172"/>
      <c r="S67" s="28">
        <v>0.17500000000000002</v>
      </c>
      <c r="T67" s="28">
        <v>0.26180555555555557</v>
      </c>
      <c r="U67" s="4">
        <f t="shared" si="37"/>
        <v>8.0000000000000107</v>
      </c>
      <c r="V67" s="22">
        <f t="shared" si="36"/>
        <v>124.99999999999999</v>
      </c>
      <c r="W67" s="23"/>
      <c r="X67" s="23"/>
      <c r="Y67" s="23"/>
      <c r="Z67" s="23"/>
      <c r="AA67" s="164"/>
      <c r="AB67" s="164"/>
      <c r="AC67" s="25"/>
      <c r="AD67" s="25"/>
      <c r="AE67" s="19">
        <f t="shared" si="33"/>
        <v>-108.95999999999958</v>
      </c>
      <c r="AF67" s="21">
        <f t="shared" si="8"/>
        <v>0.95460000000000023</v>
      </c>
      <c r="AG67" s="172"/>
    </row>
    <row r="68" spans="1:33" ht="15.75" customHeight="1">
      <c r="A68" s="170" t="s">
        <v>75</v>
      </c>
      <c r="B68" s="4" t="s">
        <v>100</v>
      </c>
      <c r="C68" s="165" t="s">
        <v>137</v>
      </c>
      <c r="D68" s="165"/>
      <c r="E68" s="37">
        <v>20.21</v>
      </c>
      <c r="F68" s="4">
        <v>2389</v>
      </c>
      <c r="G68" s="4">
        <v>48281.69</v>
      </c>
      <c r="H68" s="22" t="s">
        <v>139</v>
      </c>
      <c r="I68" s="16">
        <v>16</v>
      </c>
      <c r="J68" s="18">
        <v>2400</v>
      </c>
      <c r="K68" s="17">
        <f t="shared" si="0"/>
        <v>150</v>
      </c>
      <c r="L68" s="16">
        <v>16</v>
      </c>
      <c r="M68" s="18">
        <f t="shared" si="35"/>
        <v>2311.9354838709669</v>
      </c>
      <c r="N68" s="17">
        <f t="shared" si="2"/>
        <v>144.49596774193543</v>
      </c>
      <c r="O68" s="19">
        <f t="shared" si="3"/>
        <v>0</v>
      </c>
      <c r="P68" s="20">
        <f t="shared" si="4"/>
        <v>-5.5040322580645693</v>
      </c>
      <c r="Q68" s="21">
        <f t="shared" si="5"/>
        <v>0.96330645161290285</v>
      </c>
      <c r="R68" s="172"/>
      <c r="S68" s="28">
        <v>0.2673611111111111</v>
      </c>
      <c r="T68" s="28">
        <v>0.31041666666666667</v>
      </c>
      <c r="U68" s="4">
        <f t="shared" si="37"/>
        <v>7.9999999999999716</v>
      </c>
      <c r="V68" s="22">
        <f t="shared" si="36"/>
        <v>62.000000000000021</v>
      </c>
      <c r="W68" s="23"/>
      <c r="X68" s="23"/>
      <c r="Y68" s="23"/>
      <c r="Z68" s="23"/>
      <c r="AA68" s="164"/>
      <c r="AB68" s="164"/>
      <c r="AC68" s="25"/>
      <c r="AD68" s="25"/>
      <c r="AE68" s="19">
        <f t="shared" si="33"/>
        <v>-88.064516129033109</v>
      </c>
      <c r="AF68" s="21">
        <f t="shared" si="8"/>
        <v>0.96330645161290285</v>
      </c>
      <c r="AG68" s="172"/>
    </row>
    <row r="69" spans="1:33" ht="15.75" customHeight="1">
      <c r="A69" s="170" t="s">
        <v>728</v>
      </c>
      <c r="B69" s="4" t="s">
        <v>100</v>
      </c>
      <c r="C69" s="165" t="s">
        <v>138</v>
      </c>
      <c r="D69" s="165"/>
      <c r="E69" s="37">
        <v>22.69</v>
      </c>
      <c r="F69" s="4">
        <v>739</v>
      </c>
      <c r="G69" s="4">
        <v>16767.91</v>
      </c>
      <c r="H69" s="22" t="s">
        <v>139</v>
      </c>
      <c r="I69" s="16">
        <v>15</v>
      </c>
      <c r="J69" s="18">
        <v>2400</v>
      </c>
      <c r="K69" s="17">
        <f t="shared" ref="K69:K71" si="38">J69/I69</f>
        <v>160</v>
      </c>
      <c r="L69" s="16">
        <v>15</v>
      </c>
      <c r="M69" s="18">
        <f t="shared" si="35"/>
        <v>2333.684210526314</v>
      </c>
      <c r="N69" s="17">
        <f t="shared" ref="N69:N71" si="39">M69/L69</f>
        <v>155.57894736842093</v>
      </c>
      <c r="O69" s="19">
        <f t="shared" ref="O69:O71" si="40">L69-I69</f>
        <v>0</v>
      </c>
      <c r="P69" s="20">
        <f t="shared" ref="P69:P71" si="41">N69-K69</f>
        <v>-4.421052631579073</v>
      </c>
      <c r="Q69" s="21">
        <f t="shared" ref="Q69:Q71" si="42">N69/K69</f>
        <v>0.97236842105263077</v>
      </c>
      <c r="R69" s="172"/>
      <c r="S69" s="28">
        <v>0.31527777777777777</v>
      </c>
      <c r="T69" s="28">
        <v>0.32847222222222222</v>
      </c>
      <c r="U69" s="4">
        <f t="shared" si="37"/>
        <v>6.9999999999999751</v>
      </c>
      <c r="V69" s="22">
        <f t="shared" si="36"/>
        <v>19.000000000000014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33"/>
        <v>-66.315789473685982</v>
      </c>
      <c r="AF69" s="21">
        <f t="shared" ref="AF69:AF71" si="43">M69/J69</f>
        <v>0.97236842105263088</v>
      </c>
      <c r="AG69" s="172"/>
    </row>
    <row r="70" spans="1:33" ht="15.75" customHeight="1">
      <c r="A70" s="170" t="s">
        <v>728</v>
      </c>
      <c r="B70" s="4" t="s">
        <v>100</v>
      </c>
      <c r="C70" s="165" t="s">
        <v>135</v>
      </c>
      <c r="D70" s="165"/>
      <c r="E70" s="37">
        <v>19.02</v>
      </c>
      <c r="F70" s="4">
        <v>7043</v>
      </c>
      <c r="G70" s="4">
        <v>133957.85999999999</v>
      </c>
      <c r="H70" s="22" t="s">
        <v>139</v>
      </c>
      <c r="I70" s="16">
        <v>15</v>
      </c>
      <c r="J70" s="18">
        <v>2400</v>
      </c>
      <c r="K70" s="17">
        <f t="shared" si="38"/>
        <v>160</v>
      </c>
      <c r="L70" s="16">
        <v>15</v>
      </c>
      <c r="M70" s="18">
        <f t="shared" si="35"/>
        <v>2284.2162162162153</v>
      </c>
      <c r="N70" s="17">
        <f t="shared" si="39"/>
        <v>152.28108108108103</v>
      </c>
      <c r="O70" s="19">
        <f t="shared" si="40"/>
        <v>0</v>
      </c>
      <c r="P70" s="20">
        <f t="shared" si="41"/>
        <v>-7.7189189189189733</v>
      </c>
      <c r="Q70" s="21">
        <f t="shared" si="42"/>
        <v>0.95175675675675642</v>
      </c>
      <c r="R70" s="172"/>
      <c r="S70" s="28">
        <v>0.33402777777777776</v>
      </c>
      <c r="T70" s="28">
        <v>0.46250000000000002</v>
      </c>
      <c r="U70" s="4">
        <f t="shared" si="37"/>
        <v>7.9999999999999716</v>
      </c>
      <c r="V70" s="22">
        <f t="shared" si="36"/>
        <v>185.00000000000006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33"/>
        <v>-115.78378378378466</v>
      </c>
      <c r="AF70" s="21">
        <f t="shared" si="43"/>
        <v>0.95175675675675642</v>
      </c>
      <c r="AG70" s="172"/>
    </row>
    <row r="71" spans="1:33" ht="16.5" customHeight="1">
      <c r="A71" s="171" t="s">
        <v>728</v>
      </c>
      <c r="B71" s="37" t="s">
        <v>716</v>
      </c>
      <c r="C71" s="166"/>
      <c r="D71" s="167"/>
      <c r="E71" s="38"/>
      <c r="F71" s="17"/>
      <c r="G71" s="17"/>
      <c r="H71" s="4"/>
      <c r="I71" s="30">
        <v>16.166666666666668</v>
      </c>
      <c r="J71" s="18">
        <v>2400</v>
      </c>
      <c r="K71" s="17">
        <f t="shared" si="38"/>
        <v>148.45360824742266</v>
      </c>
      <c r="L71" s="30">
        <v>16.166666666666668</v>
      </c>
      <c r="M71" s="18">
        <f>AVERAGE(M65:M70)</f>
        <v>2301.0378769941412</v>
      </c>
      <c r="N71" s="17">
        <f t="shared" si="39"/>
        <v>142.33223981407059</v>
      </c>
      <c r="O71" s="19">
        <f t="shared" si="40"/>
        <v>0</v>
      </c>
      <c r="P71" s="20">
        <f t="shared" si="41"/>
        <v>-6.1213684333520746</v>
      </c>
      <c r="Q71" s="21">
        <f t="shared" si="42"/>
        <v>0.95876578208089225</v>
      </c>
      <c r="R71" s="172"/>
      <c r="S71" s="28"/>
      <c r="T71" s="28"/>
      <c r="U71" s="17"/>
      <c r="V71" s="22"/>
      <c r="W71" s="17"/>
      <c r="X71" s="17"/>
      <c r="Y71" s="31">
        <f>SUM(Y65:Y70)</f>
        <v>0</v>
      </c>
      <c r="Z71" s="31">
        <f>SUM(Z65:Z70)</f>
        <v>0</v>
      </c>
      <c r="AA71" s="168"/>
      <c r="AB71" s="168"/>
      <c r="AC71" s="31">
        <v>6</v>
      </c>
      <c r="AD71" s="31">
        <f>SUM(AD65:AD70)</f>
        <v>0</v>
      </c>
      <c r="AE71" s="19">
        <f t="shared" si="33"/>
        <v>-98.962123005858757</v>
      </c>
      <c r="AF71" s="21">
        <f t="shared" si="43"/>
        <v>0.95876578208089214</v>
      </c>
      <c r="AG71" s="172"/>
    </row>
    <row r="72" spans="1:33">
      <c r="D72" s="33"/>
      <c r="E72" s="33"/>
    </row>
  </sheetData>
  <mergeCells count="194">
    <mergeCell ref="C64:D64"/>
    <mergeCell ref="A65:A71"/>
    <mergeCell ref="C65:D65"/>
    <mergeCell ref="R65:R71"/>
    <mergeCell ref="AA65:AB65"/>
    <mergeCell ref="AG65:AG71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A59:A64"/>
    <mergeCell ref="C59:D59"/>
    <mergeCell ref="R59:R64"/>
    <mergeCell ref="AA59:AB59"/>
    <mergeCell ref="AA64:AB64"/>
    <mergeCell ref="AG59:AG64"/>
    <mergeCell ref="AG49:AG58"/>
    <mergeCell ref="C50:D50"/>
    <mergeCell ref="AA50:AB50"/>
    <mergeCell ref="C51:D51"/>
    <mergeCell ref="AA51:AB51"/>
    <mergeCell ref="AA52:AB52"/>
    <mergeCell ref="AA53:AB53"/>
    <mergeCell ref="C54:D54"/>
    <mergeCell ref="AA54:AB54"/>
    <mergeCell ref="C55:D55"/>
    <mergeCell ref="AA58:AB58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A41:A48"/>
    <mergeCell ref="C41:D41"/>
    <mergeCell ref="R41:R48"/>
    <mergeCell ref="AA41:AB41"/>
    <mergeCell ref="C48:D48"/>
    <mergeCell ref="AA48:AB48"/>
    <mergeCell ref="A49:A58"/>
    <mergeCell ref="C49:D49"/>
    <mergeCell ref="R49:R58"/>
    <mergeCell ref="AA49:AB49"/>
    <mergeCell ref="AA55:AB55"/>
    <mergeCell ref="C56:D56"/>
    <mergeCell ref="AA56:AB56"/>
    <mergeCell ref="C57:D57"/>
    <mergeCell ref="AA57:AB57"/>
    <mergeCell ref="C58:D58"/>
    <mergeCell ref="AG41:AG48"/>
    <mergeCell ref="C42:D42"/>
    <mergeCell ref="AA42:AB42"/>
    <mergeCell ref="C43:D43"/>
    <mergeCell ref="AA43:AB43"/>
    <mergeCell ref="C44:D44"/>
    <mergeCell ref="AG35:AG40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AA44:AB44"/>
    <mergeCell ref="C45:D45"/>
    <mergeCell ref="AA45:AB45"/>
    <mergeCell ref="C46:D46"/>
    <mergeCell ref="AA46:AB46"/>
    <mergeCell ref="C47:D47"/>
    <mergeCell ref="AA47:AB47"/>
    <mergeCell ref="A35:A40"/>
    <mergeCell ref="C35:D35"/>
    <mergeCell ref="R35:R40"/>
    <mergeCell ref="AA35:AB35"/>
    <mergeCell ref="AA40:AB40"/>
    <mergeCell ref="A29:A34"/>
    <mergeCell ref="C29:D29"/>
    <mergeCell ref="R29:R34"/>
    <mergeCell ref="AA29:AB29"/>
    <mergeCell ref="AG29:AG34"/>
    <mergeCell ref="C30:D30"/>
    <mergeCell ref="AA30:AB30"/>
    <mergeCell ref="C31:D31"/>
    <mergeCell ref="AA31:AB31"/>
    <mergeCell ref="C32:D32"/>
    <mergeCell ref="AA25:AB25"/>
    <mergeCell ref="C26:D26"/>
    <mergeCell ref="AA26:AB26"/>
    <mergeCell ref="C27:D27"/>
    <mergeCell ref="AA27:AB27"/>
    <mergeCell ref="C28:D28"/>
    <mergeCell ref="AA28:AB28"/>
    <mergeCell ref="AA32:AB32"/>
    <mergeCell ref="C33:D33"/>
    <mergeCell ref="AA33:AB33"/>
    <mergeCell ref="C34:D34"/>
    <mergeCell ref="AA34:AB34"/>
    <mergeCell ref="A22:A28"/>
    <mergeCell ref="C22:D22"/>
    <mergeCell ref="R22:R28"/>
    <mergeCell ref="AA22:AB22"/>
    <mergeCell ref="AG22:AG28"/>
    <mergeCell ref="C23:D23"/>
    <mergeCell ref="AA23:AB23"/>
    <mergeCell ref="C24:D24"/>
    <mergeCell ref="AA24:AB24"/>
    <mergeCell ref="C25:D25"/>
    <mergeCell ref="AG11:AG13"/>
    <mergeCell ref="C12:D12"/>
    <mergeCell ref="AA12:AB12"/>
    <mergeCell ref="C13:D13"/>
    <mergeCell ref="AA13:AB13"/>
    <mergeCell ref="A14:A21"/>
    <mergeCell ref="C14:D14"/>
    <mergeCell ref="R14:R21"/>
    <mergeCell ref="AA14:AB14"/>
    <mergeCell ref="AG14:AG21"/>
    <mergeCell ref="C18:D18"/>
    <mergeCell ref="AA18:AB18"/>
    <mergeCell ref="C19:D19"/>
    <mergeCell ref="AA19:AB19"/>
    <mergeCell ref="AA20:AB20"/>
    <mergeCell ref="C21:D21"/>
    <mergeCell ref="AA21:AB21"/>
    <mergeCell ref="C15:D15"/>
    <mergeCell ref="AA15:AB15"/>
    <mergeCell ref="C16:D16"/>
    <mergeCell ref="AA16:AB16"/>
    <mergeCell ref="C17:D17"/>
    <mergeCell ref="AA17:AB17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1">
    <cfRule type="cellIs" dxfId="68" priority="1" operator="greaterThan">
      <formula>0</formula>
    </cfRule>
  </conditionalFormatting>
  <conditionalFormatting sqref="P5:P71">
    <cfRule type="cellIs" dxfId="67" priority="4" operator="lessThan">
      <formula>0</formula>
    </cfRule>
  </conditionalFormatting>
  <conditionalFormatting sqref="Q5:Q71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R5:R11 AG5:AG11">
    <cfRule type="cellIs" dxfId="64" priority="68" operator="lessThan">
      <formula>0.8</formula>
    </cfRule>
  </conditionalFormatting>
  <conditionalFormatting sqref="AE5:AE71">
    <cfRule type="cellIs" dxfId="63" priority="22" operator="lessThan">
      <formula>0</formula>
    </cfRule>
  </conditionalFormatting>
  <conditionalFormatting sqref="AF5:AF71">
    <cfRule type="cellIs" dxfId="62" priority="21" operator="lessThan">
      <formula>0.8</formula>
    </cfRule>
    <cfRule type="cellIs" dxfId="61" priority="20" operator="greaterThan">
      <formula>1</formula>
    </cfRule>
  </conditionalFormatting>
  <conditionalFormatting sqref="AG14:AG62 R14:R71">
    <cfRule type="cellIs" dxfId="60" priority="5" operator="lessThan">
      <formula>0.8</formula>
    </cfRule>
  </conditionalFormatting>
  <dataValidations count="1">
    <dataValidation type="list" allowBlank="1" showInputMessage="1" showErrorMessage="1" sqref="AB10 AA5:AB9 AB63 AB12:AB59 AA10:AA63 AA64:AB71" xr:uid="{00000000-0002-0000-2B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Q32"/>
  <sheetViews>
    <sheetView zoomScale="85" zoomScaleNormal="85" workbookViewId="0">
      <selection activeCell="B10" sqref="B10:C10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140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571</v>
      </c>
      <c r="C3" s="153" t="str">
        <f>TEXT('0206 4度C'!A2,"yyyy.mm.ddaaaa")</f>
        <v>2026.02.06星期五</v>
      </c>
      <c r="D3" s="154"/>
      <c r="E3" s="47" t="s">
        <v>572</v>
      </c>
      <c r="F3" s="155">
        <f>'0206 4度C'!D1</f>
        <v>125657</v>
      </c>
      <c r="G3" s="156"/>
      <c r="H3" s="47" t="s">
        <v>573</v>
      </c>
      <c r="I3" s="157">
        <f>'0206 4度C'!F1</f>
        <v>4304454.78</v>
      </c>
      <c r="J3" s="158"/>
      <c r="K3" s="48"/>
      <c r="L3" s="49"/>
      <c r="M3" s="49"/>
      <c r="N3" s="49"/>
    </row>
    <row r="4" spans="2:17" ht="28.5" customHeight="1">
      <c r="B4" s="159" t="s">
        <v>574</v>
      </c>
      <c r="C4" s="145" t="s">
        <v>575</v>
      </c>
      <c r="D4" s="146"/>
      <c r="E4" s="162" t="s">
        <v>576</v>
      </c>
      <c r="F4" s="163"/>
      <c r="G4" s="162" t="s">
        <v>577</v>
      </c>
      <c r="H4" s="163"/>
      <c r="I4" s="162" t="s">
        <v>578</v>
      </c>
      <c r="J4" s="163"/>
      <c r="K4" s="143" t="s">
        <v>579</v>
      </c>
      <c r="L4" s="144"/>
      <c r="M4" s="144" t="s">
        <v>580</v>
      </c>
      <c r="N4" s="144"/>
    </row>
    <row r="5" spans="2:17" ht="28.5" customHeight="1">
      <c r="B5" s="160"/>
      <c r="C5" s="145" t="s">
        <v>581</v>
      </c>
      <c r="D5" s="146"/>
      <c r="E5" s="145" t="s">
        <v>582</v>
      </c>
      <c r="F5" s="146"/>
      <c r="G5" s="147" t="s">
        <v>583</v>
      </c>
      <c r="H5" s="148"/>
      <c r="I5" s="149" t="s">
        <v>584</v>
      </c>
      <c r="J5" s="150"/>
      <c r="K5" s="50" t="s">
        <v>585</v>
      </c>
      <c r="L5" s="51" t="s">
        <v>586</v>
      </c>
      <c r="M5" s="50" t="s">
        <v>585</v>
      </c>
      <c r="N5" s="51" t="s">
        <v>587</v>
      </c>
    </row>
    <row r="6" spans="2:17" ht="28.5" customHeight="1">
      <c r="B6" s="160"/>
      <c r="C6" s="145" t="s">
        <v>158</v>
      </c>
      <c r="D6" s="146"/>
      <c r="E6" s="137">
        <f>AVERAGE(D13:M13)</f>
        <v>145.1161828952425</v>
      </c>
      <c r="F6" s="138">
        <f>AVERAGE(D31:O31,D13:J13)</f>
        <v>148.6293294611678</v>
      </c>
      <c r="G6" s="139">
        <f>AVERAGE(D13:J13)</f>
        <v>148.6293294611678</v>
      </c>
      <c r="H6" s="140"/>
      <c r="I6" s="139">
        <f>AVERAGE(K13:M13)</f>
        <v>136.91884090808341</v>
      </c>
      <c r="J6" s="140"/>
      <c r="K6" s="141">
        <f>'0206 4度C'!Y2</f>
        <v>0</v>
      </c>
      <c r="L6" s="126">
        <f>'0206 4度C'!Z2</f>
        <v>0</v>
      </c>
      <c r="M6" s="142">
        <f>'0206 4度C'!AC2</f>
        <v>57</v>
      </c>
      <c r="N6" s="126">
        <f>'0206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139.20034925300496</v>
      </c>
      <c r="F7" s="130">
        <f>AVERAGE(D32:O32,D14:J14)</f>
        <v>142.6876467506772</v>
      </c>
      <c r="G7" s="131">
        <f>AVERAGE(D14:J14)</f>
        <v>142.6876467506772</v>
      </c>
      <c r="H7" s="132"/>
      <c r="I7" s="131">
        <f>AVERAGE(K14:M14)</f>
        <v>131.06332175843644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0.9583267882534221</v>
      </c>
      <c r="F8" s="134">
        <f>AVERAGE(D15:J15,D33:O33)</f>
        <v>0.95879246568669141</v>
      </c>
      <c r="G8" s="135">
        <f>AVERAGE(D15:J15)</f>
        <v>0.95879246568669141</v>
      </c>
      <c r="H8" s="136"/>
      <c r="I8" s="135">
        <f>AVERAGE(K15:M15)</f>
        <v>0.95724020757579431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161</v>
      </c>
      <c r="N9" s="49"/>
      <c r="O9" s="49"/>
      <c r="P9" s="49"/>
      <c r="Q9" s="49"/>
    </row>
    <row r="10" spans="2:17" ht="30" customHeight="1">
      <c r="B10" s="109" t="s">
        <v>588</v>
      </c>
      <c r="C10" s="110"/>
      <c r="D10" s="111" t="s">
        <v>589</v>
      </c>
      <c r="E10" s="112"/>
      <c r="F10" s="112"/>
      <c r="G10" s="112"/>
      <c r="H10" s="112"/>
      <c r="I10" s="112"/>
      <c r="J10" s="113"/>
      <c r="K10" s="114" t="s">
        <v>590</v>
      </c>
      <c r="L10" s="115"/>
      <c r="M10" s="116"/>
      <c r="P10" s="55"/>
      <c r="Q10" s="55"/>
    </row>
    <row r="11" spans="2:17" ht="17.25" customHeight="1">
      <c r="B11" s="117" t="s">
        <v>165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591</v>
      </c>
      <c r="C13" s="62" t="s">
        <v>592</v>
      </c>
      <c r="D13" s="63">
        <f>SUMIFS('0206 4度C'!$K:$K,'0206 4度C'!$A:$A,"新豐6線",'0206 4度C'!$B:$B,"平均")</f>
        <v>113.63636363636363</v>
      </c>
      <c r="E13" s="64">
        <f>SUMIFS('0206 4度C'!$K:$K,'0206 4度C'!$A:$A,"新豐2線",'0206 4度C'!$B:$B,"平均")</f>
        <v>83.333333333333329</v>
      </c>
      <c r="F13" s="65">
        <f>SUMIFS('0206 4度C'!$K:$K,'0206 4度C'!$A:$A,"新豐5線",'0206 4度C'!$B:$B,"平均")</f>
        <v>106.79611650485435</v>
      </c>
      <c r="G13" s="65">
        <f>SUMIFS('0206 4度C'!$K:$K,'0206 4度C'!$A:$A,"新豐7線",'0206 4度C'!$B:$B,"平均")</f>
        <v>125</v>
      </c>
      <c r="H13" s="65">
        <f>SUMIFS('0206 4度C'!$K:$K,'0206 4度C'!$A:$A,"新豐3線",'0206 4度C'!$B:$B,"平均")</f>
        <v>304.3478260869565</v>
      </c>
      <c r="I13" s="65">
        <f>SUMIFS('0206 4度C'!$K:$K,'0206 4度C'!$A:$A,"新豐1線",'0206 4度C'!$B:$B,"平均")</f>
        <v>104.16666666666666</v>
      </c>
      <c r="J13" s="66">
        <f>SUMIFS('0206 4度C'!$K:$K,'0206 4度C'!$A:$A,"新豐10線",'0206 4度C'!$B:$B,"平均")</f>
        <v>203.125</v>
      </c>
      <c r="K13" s="67">
        <f>SUMIFS('0206 4度C'!$K:$K,'0206 4度C'!$A:$A,"新豐8線",'0206 4度C'!$B:$B,"平均")</f>
        <v>131.86813186813188</v>
      </c>
      <c r="L13" s="68">
        <f>SUMIFS('0206 4度C'!$K:$K,'0206 4度C'!$A:$A,"新豐9線",'0206 4度C'!$B:$B,"平均")</f>
        <v>130.43478260869566</v>
      </c>
      <c r="M13" s="66">
        <f>SUMIFS('0206 4度C'!$K:$K,'0206 4度C'!$A:$A,"新豐4線",'0206 4度C'!$B:$B,"平均")</f>
        <v>148.45360824742266</v>
      </c>
    </row>
    <row r="14" spans="2:17" ht="39.6" customHeight="1">
      <c r="B14" s="122"/>
      <c r="C14" s="69" t="s">
        <v>593</v>
      </c>
      <c r="D14" s="70">
        <f>SUMIFS('0206 4度C'!$N:$N,'0206 4度C'!$A:$A,"新豐6線",'0206 4度C'!$B:$B,"平均")</f>
        <v>110.08143172616852</v>
      </c>
      <c r="E14" s="71">
        <f>SUMIFS('0206 4度C'!$N:$N,'0206 4度C'!$A:$A,"新豐2線",'0206 4度C'!$B:$B,"平均")</f>
        <v>79.798850574712631</v>
      </c>
      <c r="F14" s="71">
        <f>SUMIFS('0206 4度C'!$N:$N,'0206 4度C'!$A:$A,"新豐5線",'0206 4度C'!$B:$B,"平均")</f>
        <v>102.32740114594817</v>
      </c>
      <c r="G14" s="71">
        <f>SUMIFS('0206 4度C'!$N:$N,'0206 4度C'!$A:$A,"新豐7線",'0206 4度C'!$B:$B,"平均")</f>
        <v>120.62439741462461</v>
      </c>
      <c r="H14" s="71">
        <f>SUMIFS('0206 4度C'!$N:$N,'0206 4度C'!$A:$A,"新豐3線",'0206 4度C'!$B:$B,"平均")</f>
        <v>291.65176300566156</v>
      </c>
      <c r="I14" s="71">
        <f>SUMIFS('0206 4度C'!$N:$N,'0206 4度C'!$A:$A,"新豐1線",'0206 4度C'!$B:$B,"平均")</f>
        <v>97.243562986287188</v>
      </c>
      <c r="J14" s="72">
        <f>SUMIFS('0206 4度C'!$N:$N,'0206 4度C'!$A:$A,"新豐10線",'0206 4度C'!$B:$B,"平均")</f>
        <v>197.08612040133772</v>
      </c>
      <c r="K14" s="73">
        <f>SUMIFS('0206 4度C'!$N:$N,'0206 4度C'!$A:$A,"新豐8線",'0206 4度C'!$B:$B,"平均")</f>
        <v>126.16681061508649</v>
      </c>
      <c r="L14" s="74">
        <f>SUMIFS('0206 4度C'!$N:$N,'0206 4度C'!$A:$A,"新豐9線",'0206 4度C'!$B:$B,"平均")</f>
        <v>124.93397358695917</v>
      </c>
      <c r="M14" s="72">
        <f>SUMIFS('0206 4度C'!$N:$N,'0206 4度C'!$A:$A,"新豐4線",'0206 4度C'!$B:$B,"平均")</f>
        <v>142.08918107326369</v>
      </c>
    </row>
    <row r="15" spans="2:17" ht="40.15" customHeight="1">
      <c r="B15" s="123"/>
      <c r="C15" s="75" t="s">
        <v>594</v>
      </c>
      <c r="D15" s="76">
        <f t="shared" ref="D15:M15" si="0">D14/D13</f>
        <v>0.96871659919028308</v>
      </c>
      <c r="E15" s="77">
        <f t="shared" si="0"/>
        <v>0.95758620689655161</v>
      </c>
      <c r="F15" s="77">
        <f t="shared" si="0"/>
        <v>0.95815657436660573</v>
      </c>
      <c r="G15" s="77">
        <f t="shared" si="0"/>
        <v>0.96499517931699685</v>
      </c>
      <c r="H15" s="77">
        <f t="shared" si="0"/>
        <v>0.95828436416145946</v>
      </c>
      <c r="I15" s="77">
        <f t="shared" si="0"/>
        <v>0.93353820466835713</v>
      </c>
      <c r="J15" s="78">
        <f t="shared" si="0"/>
        <v>0.97027013120658567</v>
      </c>
      <c r="K15" s="76">
        <f t="shared" si="0"/>
        <v>0.95676498049773906</v>
      </c>
      <c r="L15" s="77">
        <f t="shared" si="0"/>
        <v>0.95782713083335358</v>
      </c>
      <c r="M15" s="78">
        <f t="shared" si="0"/>
        <v>0.95712851139629018</v>
      </c>
    </row>
    <row r="16" spans="2:17" ht="17.25" customHeight="1">
      <c r="B16" s="124" t="s">
        <v>595</v>
      </c>
      <c r="C16" s="79" t="s">
        <v>596</v>
      </c>
      <c r="D16" s="80">
        <f>VLOOKUP("新豐6線",'0206 4度C'!$A:$T,19,0)</f>
        <v>0.70833333333333337</v>
      </c>
      <c r="E16" s="81">
        <f>VLOOKUP("新豐2線",'0206 4度C'!$A:$T,19,0)</f>
        <v>0.20833333333333334</v>
      </c>
      <c r="F16" s="81">
        <f>VLOOKUP("新豐5線",'0206 4度C'!$A:$T,19,0)</f>
        <v>0.20833333333333334</v>
      </c>
      <c r="G16" s="81">
        <f>VLOOKUP("新豐7線",'0206 4度C'!$A:$T,19,0)</f>
        <v>0.20833333333333334</v>
      </c>
      <c r="H16" s="81">
        <f>VLOOKUP("新豐3線",'0206 4度C'!$A:$T,19,0)</f>
        <v>8.3333333333333329E-2</v>
      </c>
      <c r="I16" s="81">
        <f>VLOOKUP("新豐1線",'0206 4度C'!$A:$T,19,0)</f>
        <v>0.20833333333333334</v>
      </c>
      <c r="J16" s="82">
        <f>VLOOKUP("新豐10線",'0206 4度C'!$A:$T,19,0)</f>
        <v>0.20833333333333334</v>
      </c>
      <c r="K16" s="83">
        <f>VLOOKUP("新豐8線",'0206 4度C'!$A:$T,19,0)</f>
        <v>8.3333333333333329E-2</v>
      </c>
      <c r="L16" s="84">
        <f>VLOOKUP("新豐9線",'0206 4度C'!$A:$T,19,0)</f>
        <v>8.3333333333333329E-2</v>
      </c>
      <c r="M16" s="85">
        <f>VLOOKUP("新豐4線",'0206 4度C'!$A:$T,19,0)</f>
        <v>8.3333333333333329E-2</v>
      </c>
    </row>
    <row r="17" spans="2:13" ht="17.25" customHeight="1">
      <c r="B17" s="125"/>
      <c r="C17" s="79" t="s">
        <v>597</v>
      </c>
      <c r="D17" s="83">
        <f>LOOKUP(2,1/(('0206 4度C'!$A:$A="新豐6線")*('0206 4度C'!$T:$T&lt;&gt;"")),'0206 4度C'!$T:$T)</f>
        <v>0.82916666666666672</v>
      </c>
      <c r="E17" s="81">
        <f>LOOKUP(2,1/(('0206 4度C'!$A:$A="新豐2線")*('0206 4度C'!$T:$T&lt;&gt;"")),'0206 4度C'!$T:$T)</f>
        <v>0.40416666666666667</v>
      </c>
      <c r="F17" s="81">
        <f>LOOKUP(2,1/(('0206 4度C'!$A:$A="新豐5線")*('0206 4度C'!$T:$T&lt;&gt;"")),'0206 4度C'!$T:$T)</f>
        <v>0.85069444444444442</v>
      </c>
      <c r="G17" s="81">
        <f>LOOKUP(2,1/(('0206 4度C'!$A:$A="新豐7線")*('0206 4度C'!$T:$T&lt;&gt;"")),'0206 4度C'!$T:$T)</f>
        <v>0.85277777777777786</v>
      </c>
      <c r="H17" s="81">
        <f>LOOKUP(2,1/(('0206 4度C'!$A:$A="新豐3線")*('0206 4度C'!$T:$T&lt;&gt;"")),'0206 4度C'!$T:$T)</f>
        <v>0.44861111111111107</v>
      </c>
      <c r="I17" s="81">
        <f>LOOKUP(2,1/(('0206 4度C'!$A:$A="新豐1線")*('0206 4度C'!$T:$T&lt;&gt;"")),'0206 4度C'!$T:$T)</f>
        <v>0.84305555555555556</v>
      </c>
      <c r="J17" s="82">
        <f>LOOKUP(2,1/(('0206 4度C'!$A:$A="新豐10線")*('0206 4度C'!$T:$T&lt;&gt;"")),'0206 4度C'!$T:$T)</f>
        <v>0.4055555555555555</v>
      </c>
      <c r="K17" s="80">
        <f>LOOKUP(2,1/(('0206 4度C'!$A:$A="新豐8線")*('0206 4度C'!$T:$T&lt;&gt;"")),'0206 4度C'!$T:$T)</f>
        <v>0.45347222222222222</v>
      </c>
      <c r="L17" s="81">
        <f>LOOKUP(2,1/(('0206 4度C'!$A:$A="新豐9線")*('0206 4度C'!$T:$T&lt;&gt;"")),'0206 4度C'!$T:$T)</f>
        <v>0.45694444444444438</v>
      </c>
      <c r="M17" s="82">
        <f>LOOKUP(2,1/(('0206 4度C'!$A:$A="新豐4線")*('0206 4度C'!$T:$T&lt;&gt;"")),'0206 4度C'!$T:$T)</f>
        <v>0.45624999999999999</v>
      </c>
    </row>
    <row r="18" spans="2:13" ht="17.25" customHeight="1">
      <c r="B18" s="103" t="s">
        <v>598</v>
      </c>
      <c r="C18" s="86" t="s">
        <v>599</v>
      </c>
      <c r="D18" s="87">
        <f>SUMIFS('0206 4度C'!$Y:$Y,'0206 4度C'!$A:$A,"新豐6線",'0206 4度C'!$B:$B,"平均")</f>
        <v>0</v>
      </c>
      <c r="E18" s="88">
        <f>SUMIFS('0206 4度C'!$Y:$Y,'0206 4度C'!$A:$A,"新豐2線",'0206 4度C'!$B:$B,"平均")</f>
        <v>0</v>
      </c>
      <c r="F18" s="88">
        <f>SUMIFS('0206 4度C'!$Y:$Y,'0206 4度C'!$A:$A,"新豐5線",'0206 4度C'!$B:$B,"平均")</f>
        <v>0</v>
      </c>
      <c r="G18" s="88">
        <f>SUMIFS('0206 4度C'!$Y:$Y,'0206 4度C'!$A:$A,"新豐7線",'0206 4度C'!$B:$B,"平均")</f>
        <v>0</v>
      </c>
      <c r="H18" s="88">
        <f>SUMIFS('0206 4度C'!$Y:$Y,'0206 4度C'!$A:$A,"新豐3線",'0206 4度C'!$B:$B,"平均")</f>
        <v>0</v>
      </c>
      <c r="I18" s="88">
        <f>SUMIFS('0206 4度C'!$Y:$Y,'0206 4度C'!$A:$A,"新豐1線",'0206 4度C'!$B:$B,"平均")</f>
        <v>0</v>
      </c>
      <c r="J18" s="89">
        <f>SUMIFS('0206 4度C'!$Y:$Y,'0206 4度C'!$A:$A,"新豐10線",'0206 4度C'!$B:$B,"平均")</f>
        <v>0</v>
      </c>
      <c r="K18" s="90">
        <f>SUMIFS('0206 4度C'!$Y:$Y,'0206 4度C'!$A:$A,"新豐8線",'0206 4度C'!$B:$B,"平均")</f>
        <v>0</v>
      </c>
      <c r="L18" s="88">
        <f>SUMIFS('0206 4度C'!$Y:$Y,'0206 4度C'!$A:$A,"新豐9線",'0206 4度C'!$B:$B,"平均")</f>
        <v>0</v>
      </c>
      <c r="M18" s="89">
        <f>SUMIFS('0206 4度C'!$Y:$Y,'0206 4度C'!$A:$A,"新豐4線",'0206 4度C'!$B:$B,"平均")</f>
        <v>0</v>
      </c>
    </row>
    <row r="19" spans="2:13" ht="17.25" customHeight="1">
      <c r="B19" s="104"/>
      <c r="C19" s="86" t="s">
        <v>600</v>
      </c>
      <c r="D19" s="87">
        <f>SUMIFS('0206 4度C'!$Z:$Z,'0206 4度C'!$A:$A,"新豐6線",'0206 4度C'!$B:$B,"平均")</f>
        <v>0</v>
      </c>
      <c r="E19" s="88">
        <f>SUMIFS('0206 4度C'!$Z:$Z,'0206 4度C'!$A:$A,"新豐2線",'0206 4度C'!$B:$B,"平均")</f>
        <v>0</v>
      </c>
      <c r="F19" s="88">
        <f>SUMIFS('0206 4度C'!$Z:$Z,'0206 4度C'!$A:$A,"新豐5線",'0206 4度C'!$B:$B,"平均")</f>
        <v>0</v>
      </c>
      <c r="G19" s="88">
        <f>SUMIFS('0206 4度C'!$Z:$Z,'0206 4度C'!$A:$A,"新豐7線",'0206 4度C'!$B:$B,"平均")</f>
        <v>0</v>
      </c>
      <c r="H19" s="88">
        <f>SUMIFS('0206 4度C'!$Z:$Z,'0206 4度C'!$A:$A,"新豐3線",'0206 4度C'!$B:$B,"平均")</f>
        <v>0</v>
      </c>
      <c r="I19" s="88">
        <f>SUMIFS('0206 4度C'!$Z:$Z,'0206 4度C'!$A:$A,"新豐1線",'0206 4度C'!$B:$B,"平均")</f>
        <v>0</v>
      </c>
      <c r="J19" s="89">
        <f>SUMIFS('0206 4度C'!$Z:$Z,'0206 4度C'!$A:$A,"新豐10線",'0206 4度C'!$B:$B,"平均")</f>
        <v>0</v>
      </c>
      <c r="K19" s="90">
        <f>SUMIFS('0206 4度C'!$Z:$Z,'0206 4度C'!$A:$A,"新豐8線",'0206 4度C'!$B:$B,"平均")</f>
        <v>0</v>
      </c>
      <c r="L19" s="88">
        <f>SUMIFS('0206 4度C'!$Z:$Z,'0206 4度C'!$A:$A,"新豐9線",'0206 4度C'!$B:$B,"平均")</f>
        <v>0</v>
      </c>
      <c r="M19" s="89">
        <f>SUMIFS('0206 4度C'!$Z:$Z,'0206 4度C'!$A:$A,"新豐4線",'0206 4度C'!$B:$B,"平均")</f>
        <v>0</v>
      </c>
    </row>
    <row r="20" spans="2:13" ht="17.25" customHeight="1">
      <c r="B20" s="103" t="s">
        <v>601</v>
      </c>
      <c r="C20" s="86" t="s">
        <v>42</v>
      </c>
      <c r="D20" s="87">
        <f>SUMIFS('0206 4度C'!$AC:$AC,'0206 4度C'!$A:$A,"新豐6線",'0206 4度C'!$B:$B,"平均")</f>
        <v>5</v>
      </c>
      <c r="E20" s="88">
        <f>SUMIFS('0206 4度C'!$AC:$AC,'0206 4度C'!$A:$A,"新豐2線",'0206 4度C'!$B:$B,"平均")</f>
        <v>2</v>
      </c>
      <c r="F20" s="88">
        <f>SUMIFS('0206 4度C'!$AC:$AC,'0206 4度C'!$A:$A,"新豐5線",'0206 4度C'!$B:$B,"平均")</f>
        <v>6</v>
      </c>
      <c r="G20" s="88">
        <f>SUMIFS('0206 4度C'!$AC:$AC,'0206 4度C'!$A:$A,"新豐7線",'0206 4度C'!$B:$B,"平均")</f>
        <v>6</v>
      </c>
      <c r="H20" s="88">
        <f>SUMIFS('0206 4度C'!$AC:$AC,'0206 4度C'!$A:$A,"新豐3線",'0206 4度C'!$B:$B,"平均")</f>
        <v>7</v>
      </c>
      <c r="I20" s="88">
        <f>SUMIFS('0206 4度C'!$AC:$AC,'0206 4度C'!$A:$A,"新豐1線",'0206 4度C'!$B:$B,"平均")</f>
        <v>9</v>
      </c>
      <c r="J20" s="89">
        <f>SUMIFS('0206 4度C'!$AC:$AC,'0206 4度C'!$A:$A,"新豐10線",'0206 4度C'!$B:$B,"平均")</f>
        <v>6</v>
      </c>
      <c r="K20" s="90">
        <f>SUMIFS('0206 4度C'!$AC:$AC,'0206 4度C'!$A:$A,"新豐8線",'0206 4度C'!$B:$B,"平均")</f>
        <v>5</v>
      </c>
      <c r="L20" s="88">
        <f>SUMIFS('0206 4度C'!$AC:$AC,'0206 4度C'!$A:$A,"新豐9線",'0206 4度C'!$B:$B,"平均")</f>
        <v>5</v>
      </c>
      <c r="M20" s="89">
        <f>SUMIFS('0206 4度C'!$AC:$AC,'0206 4度C'!$A:$A,"新豐4線",'0206 4度C'!$B:$B,"平均")</f>
        <v>6</v>
      </c>
    </row>
    <row r="21" spans="2:13" ht="17.25" customHeight="1">
      <c r="B21" s="104"/>
      <c r="C21" s="86" t="s">
        <v>602</v>
      </c>
      <c r="D21" s="87">
        <f>SUMIFS('0206 4度C'!$AD:$AD,'0206 4度C'!$A:$A,"新豐6線",'0206 4度C'!$B:$B,"平均")</f>
        <v>0</v>
      </c>
      <c r="E21" s="88">
        <f>SUMIFS('0206 4度C'!$AD:$AD,'0206 4度C'!$A:$A,"新豐2線",'0206 4度C'!$B:$B,"平均")</f>
        <v>0</v>
      </c>
      <c r="F21" s="88">
        <f>SUMIFS('0206 4度C'!$AD:$AD,'0206 4度C'!$A:$A,"新豐5線",'0206 4度C'!$B:$B,"平均")</f>
        <v>0</v>
      </c>
      <c r="G21" s="88">
        <f>SUMIFS('0206 4度C'!$AD:$AD,'0206 4度C'!$A:$A,"新豐7線",'0206 4度C'!$B:$B,"平均")</f>
        <v>0</v>
      </c>
      <c r="H21" s="88">
        <f>SUMIFS('0206 4度C'!$AD:$AD,'0206 4度C'!$A:$A,"新豐3線",'0206 4度C'!$B:$B,"平均")</f>
        <v>0</v>
      </c>
      <c r="I21" s="88">
        <f>SUMIFS('0206 4度C'!$AD:$AD,'0206 4度C'!$A:$A,"新豐1線",'0206 4度C'!$B:$B,"平均")</f>
        <v>0</v>
      </c>
      <c r="J21" s="89">
        <f>SUMIFS('0206 4度C'!$AD:$AD,'0206 4度C'!$A:$A,"新豐10線",'0206 4度C'!$B:$B,"平均")</f>
        <v>0</v>
      </c>
      <c r="K21" s="90">
        <f>SUMIFS('0206 4度C'!$AD:$AD,'0206 4度C'!$A:$A,"新豐8線",'0206 4度C'!$B:$B,"平均")</f>
        <v>0</v>
      </c>
      <c r="L21" s="88">
        <f>SUMIFS('0206 4度C'!$AD:$AD,'0206 4度C'!$A:$A,"新豐9線",'0206 4度C'!$B:$B,"平均")</f>
        <v>0</v>
      </c>
      <c r="M21" s="89">
        <f>SUMIFS('0206 4度C'!$AD:$AD,'0206 4度C'!$A:$A,"新豐4線",'0206 4度C'!$B:$B,"平均")</f>
        <v>0</v>
      </c>
    </row>
    <row r="22" spans="2:13" ht="17.25" customHeight="1">
      <c r="B22" s="105" t="s">
        <v>603</v>
      </c>
      <c r="C22" s="106"/>
      <c r="D22" s="91">
        <f>SUMIFS('0206 4度C'!$I:$I,'0206 4度C'!$A:$A,"新豐6線",'0206 4度C'!$B:$B,"平均")</f>
        <v>17.600000000000001</v>
      </c>
      <c r="E22" s="92">
        <f>SUMIFS('0206 4度C'!$I:$I,'0206 4度C'!$A:$A,"新豐2線",'0206 4度C'!$B:$B,"平均")</f>
        <v>18</v>
      </c>
      <c r="F22" s="92">
        <f>SUMIFS('0206 4度C'!$I:$I,'0206 4度C'!$A:$A,"新豐5線",'0206 4度C'!$B:$B,"平均")</f>
        <v>17.166666666666668</v>
      </c>
      <c r="G22" s="92">
        <f>SUMIFS('0206 4度C'!$I:$I,'0206 4度C'!$A:$A,"新豐7線",'0206 4度C'!$B:$B,"平均")</f>
        <v>15.333333333333334</v>
      </c>
      <c r="H22" s="92">
        <f>SUMIFS('0206 4度C'!$I:$I,'0206 4度C'!$A:$A,"新豐3線",'0206 4度C'!$B:$B,"平均")</f>
        <v>9.8571428571428577</v>
      </c>
      <c r="I22" s="92">
        <f>SUMIFS('0206 4度C'!$I:$I,'0206 4度C'!$A:$A,"新豐1線",'0206 4度C'!$B:$B,"平均")</f>
        <v>18.666666666666668</v>
      </c>
      <c r="J22" s="93">
        <f>SUMIFS('0206 4度C'!$I:$I,'0206 4度C'!$A:$A,"新豐10線",'0206 4度C'!$B:$B,"平均")</f>
        <v>10.666666666666666</v>
      </c>
      <c r="K22" s="91">
        <f>SUMIFS('0206 4度C'!$I:$I,'0206 4度C'!$A:$A,"新豐8線",'0206 4度C'!$B:$B,"平均")</f>
        <v>18.2</v>
      </c>
      <c r="L22" s="92">
        <f>SUMIFS('0206 4度C'!$I:$I,'0206 4度C'!$A:$A,"新豐9線",'0206 4度C'!$B:$B,"平均")</f>
        <v>18.399999999999999</v>
      </c>
      <c r="M22" s="93">
        <f>SUMIFS('0206 4度C'!$I:$I,'0206 4度C'!$A:$A,"新豐4線",'0206 4度C'!$B:$B,"平均")</f>
        <v>16.166666666666668</v>
      </c>
    </row>
    <row r="23" spans="2:13" ht="17.25" customHeight="1">
      <c r="B23" s="105" t="s">
        <v>604</v>
      </c>
      <c r="C23" s="106"/>
      <c r="D23" s="94" t="s">
        <v>191</v>
      </c>
      <c r="E23" s="95" t="s">
        <v>192</v>
      </c>
      <c r="F23" s="95" t="s">
        <v>605</v>
      </c>
      <c r="G23" s="95" t="s">
        <v>605</v>
      </c>
      <c r="H23" s="95" t="s">
        <v>194</v>
      </c>
      <c r="I23" s="95" t="s">
        <v>191</v>
      </c>
      <c r="J23" s="96" t="s">
        <v>194</v>
      </c>
      <c r="K23" s="94" t="s">
        <v>195</v>
      </c>
      <c r="L23" s="95" t="s">
        <v>606</v>
      </c>
      <c r="M23" s="96" t="s">
        <v>606</v>
      </c>
    </row>
    <row r="24" spans="2:13" ht="17.25" customHeight="1">
      <c r="B24" s="105" t="s">
        <v>607</v>
      </c>
      <c r="C24" s="106"/>
      <c r="D24" s="94"/>
      <c r="E24" s="95"/>
      <c r="F24" s="95" t="s">
        <v>608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609</v>
      </c>
      <c r="C25" s="108"/>
      <c r="D25" s="97"/>
      <c r="E25" s="98" t="s">
        <v>610</v>
      </c>
      <c r="F25" s="101" t="s">
        <v>611</v>
      </c>
      <c r="G25" s="102"/>
      <c r="H25" s="98" t="s">
        <v>244</v>
      </c>
      <c r="I25" s="98" t="s">
        <v>612</v>
      </c>
      <c r="J25" s="99" t="s">
        <v>244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5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AG72"/>
  <sheetViews>
    <sheetView topLeftCell="L1" zoomScale="80" zoomScaleNormal="80" workbookViewId="0">
      <pane ySplit="4" topLeftCell="A5" activePane="bottomLeft" state="frozen"/>
      <selection activeCell="I8" sqref="I8:J8"/>
      <selection pane="bottomLeft" activeCell="AC2" sqref="AC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613</v>
      </c>
      <c r="D1" s="3">
        <f>SUM(F5:F71)</f>
        <v>125657</v>
      </c>
      <c r="E1" s="4" t="s">
        <v>614</v>
      </c>
      <c r="F1" s="1">
        <f>SUM(G5:G71)</f>
        <v>4304454.78</v>
      </c>
      <c r="G1" s="1" t="s">
        <v>3</v>
      </c>
      <c r="H1" s="5">
        <f>L10+L13+L47+L57+L20+L64+L33+L39+L27+L71</f>
        <v>160.05714285714288</v>
      </c>
      <c r="I1" s="214" t="s">
        <v>4</v>
      </c>
      <c r="J1" s="214"/>
      <c r="K1" s="214"/>
      <c r="L1" s="214" t="s">
        <v>453</v>
      </c>
      <c r="M1" s="214"/>
      <c r="N1" s="214"/>
      <c r="O1" s="214" t="s">
        <v>615</v>
      </c>
      <c r="P1" s="214"/>
      <c r="Q1" s="214"/>
      <c r="R1" s="214"/>
      <c r="S1" s="214" t="s">
        <v>616</v>
      </c>
      <c r="T1" s="214"/>
      <c r="U1" s="214"/>
      <c r="V1" s="214"/>
      <c r="W1" s="214"/>
      <c r="X1" s="214"/>
      <c r="Y1" s="6" t="s">
        <v>251</v>
      </c>
      <c r="Z1" s="7" t="s">
        <v>355</v>
      </c>
      <c r="AA1" s="215" t="s">
        <v>617</v>
      </c>
      <c r="AB1" s="215"/>
      <c r="AC1" s="8" t="s">
        <v>618</v>
      </c>
      <c r="AD1" s="7" t="s">
        <v>11</v>
      </c>
      <c r="AE1" s="214" t="s">
        <v>253</v>
      </c>
      <c r="AF1" s="216"/>
      <c r="AG1" s="216"/>
    </row>
    <row r="2" spans="1:33" ht="26.25" customHeight="1">
      <c r="A2" s="35">
        <v>46059</v>
      </c>
      <c r="B2" s="36" t="s">
        <v>619</v>
      </c>
      <c r="C2" s="2" t="s">
        <v>13</v>
      </c>
      <c r="D2" s="10">
        <f>AVERAGE(N10,N13,N47,N57,N20,N64,N27,N33,N39,N71)</f>
        <v>139.20034925300496</v>
      </c>
      <c r="E2" s="11" t="s">
        <v>14</v>
      </c>
      <c r="F2" s="12">
        <f>F1/D1</f>
        <v>34.255590854468913</v>
      </c>
      <c r="G2" s="1" t="s">
        <v>540</v>
      </c>
      <c r="H2" s="13">
        <f>COUNT(H5:H71)</f>
        <v>1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SUM(Y10+Y13+Y20+Y27+Y33+Y39+Y47+Y57+Y64+Y71)</f>
        <v>0</v>
      </c>
      <c r="Z2" s="14">
        <f>SUM(Z10+Z13+Z20+Z27+Z33+Z39+Z47+Z57+Z64+Z71)</f>
        <v>0</v>
      </c>
      <c r="AA2" s="215"/>
      <c r="AB2" s="215"/>
      <c r="AC2" s="14">
        <f>SUM(AC10+AC13+AC20+AC27+AC33+AC39+AC47+AC57+AC64+AC71)</f>
        <v>57</v>
      </c>
      <c r="AD2" s="14">
        <f>SUM(AD10+AD13+AD20+AD27+AD33+AD39+AD47+AD57+AD64+AD71)</f>
        <v>0</v>
      </c>
      <c r="AE2" s="216"/>
      <c r="AF2" s="216"/>
      <c r="AG2" s="216"/>
    </row>
    <row r="3" spans="1:33" ht="40.5" customHeight="1">
      <c r="A3" s="164" t="s">
        <v>16</v>
      </c>
      <c r="B3" s="164" t="s">
        <v>620</v>
      </c>
      <c r="C3" s="164" t="s">
        <v>18</v>
      </c>
      <c r="D3" s="164"/>
      <c r="E3" s="212" t="s">
        <v>19</v>
      </c>
      <c r="F3" s="164" t="s">
        <v>366</v>
      </c>
      <c r="G3" s="212" t="s">
        <v>621</v>
      </c>
      <c r="H3" s="206" t="s">
        <v>22</v>
      </c>
      <c r="I3" s="204" t="s">
        <v>622</v>
      </c>
      <c r="J3" s="201" t="s">
        <v>623</v>
      </c>
      <c r="K3" s="211" t="s">
        <v>591</v>
      </c>
      <c r="L3" s="204" t="s">
        <v>26</v>
      </c>
      <c r="M3" s="201" t="s">
        <v>24</v>
      </c>
      <c r="N3" s="211" t="s">
        <v>13</v>
      </c>
      <c r="O3" s="204" t="s">
        <v>26</v>
      </c>
      <c r="P3" s="211" t="s">
        <v>591</v>
      </c>
      <c r="Q3" s="202" t="s">
        <v>378</v>
      </c>
      <c r="R3" s="182" t="s">
        <v>29</v>
      </c>
      <c r="S3" s="164" t="s">
        <v>30</v>
      </c>
      <c r="T3" s="164"/>
      <c r="U3" s="206" t="s">
        <v>31</v>
      </c>
      <c r="V3" s="206" t="s">
        <v>32</v>
      </c>
      <c r="W3" s="164" t="s">
        <v>624</v>
      </c>
      <c r="X3" s="164"/>
      <c r="Y3" s="207" t="s">
        <v>34</v>
      </c>
      <c r="Z3" s="168"/>
      <c r="AA3" s="208" t="s">
        <v>625</v>
      </c>
      <c r="AB3" s="209"/>
      <c r="AC3" s="207" t="s">
        <v>36</v>
      </c>
      <c r="AD3" s="168"/>
      <c r="AE3" s="201" t="s">
        <v>623</v>
      </c>
      <c r="AF3" s="202" t="s">
        <v>378</v>
      </c>
      <c r="AG3" s="182" t="s">
        <v>29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40</v>
      </c>
      <c r="X4" s="4" t="s">
        <v>626</v>
      </c>
      <c r="Y4" s="15" t="s">
        <v>42</v>
      </c>
      <c r="Z4" s="15" t="s">
        <v>43</v>
      </c>
      <c r="AA4" s="210"/>
      <c r="AB4" s="209"/>
      <c r="AC4" s="15" t="s">
        <v>476</v>
      </c>
      <c r="AD4" s="15" t="s">
        <v>45</v>
      </c>
      <c r="AE4" s="201"/>
      <c r="AF4" s="202"/>
      <c r="AG4" s="182"/>
    </row>
    <row r="5" spans="1:33">
      <c r="A5" s="203" t="s">
        <v>627</v>
      </c>
      <c r="B5" s="37" t="s">
        <v>78</v>
      </c>
      <c r="C5" s="205" t="s">
        <v>79</v>
      </c>
      <c r="D5" s="205"/>
      <c r="E5" s="37">
        <v>50.67</v>
      </c>
      <c r="F5" s="4">
        <v>1184</v>
      </c>
      <c r="G5" s="4">
        <v>59993.279999999999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9" si="1">F5/V5*60</f>
        <v>1919.9999999999984</v>
      </c>
      <c r="N5" s="17">
        <f t="shared" ref="N5:N68" si="2">M5/L5</f>
        <v>112.94117647058815</v>
      </c>
      <c r="O5" s="19">
        <f t="shared" ref="O5:O68" si="3">L5-I5</f>
        <v>0</v>
      </c>
      <c r="P5" s="20">
        <f t="shared" ref="P5:P68" si="4">N5-K5</f>
        <v>-4.7058823529412592</v>
      </c>
      <c r="Q5" s="21">
        <f t="shared" ref="Q5:Q68" si="5">N5/K5</f>
        <v>0.9599999999999993</v>
      </c>
      <c r="R5" s="172">
        <f>Q10</f>
        <v>0.96871659919028308</v>
      </c>
      <c r="S5" s="28">
        <v>0.70833333333333337</v>
      </c>
      <c r="T5" s="28">
        <v>0.73402777777777783</v>
      </c>
      <c r="U5" s="4"/>
      <c r="V5" s="22">
        <f t="shared" ref="V5:V9" si="6">(T5-S5)*24*60</f>
        <v>37.000000000000028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6" si="7">M5-J5</f>
        <v>-80.000000000001592</v>
      </c>
      <c r="AF5" s="21">
        <f t="shared" ref="AF5:AF68" si="8">M5/J5</f>
        <v>0.95999999999999919</v>
      </c>
      <c r="AG5" s="172">
        <f>AF10</f>
        <v>0.96871659919028297</v>
      </c>
    </row>
    <row r="6" spans="1:33">
      <c r="A6" s="204" t="s">
        <v>273</v>
      </c>
      <c r="B6" s="37" t="s">
        <v>78</v>
      </c>
      <c r="C6" s="205" t="s">
        <v>80</v>
      </c>
      <c r="D6" s="205"/>
      <c r="E6" s="37">
        <v>54.09</v>
      </c>
      <c r="F6" s="4">
        <v>1067</v>
      </c>
      <c r="G6" s="4">
        <v>57714.030000000006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1939.9999999999975</v>
      </c>
      <c r="N6" s="17">
        <f t="shared" si="2"/>
        <v>102.10526315789461</v>
      </c>
      <c r="O6" s="19">
        <f t="shared" si="3"/>
        <v>0</v>
      </c>
      <c r="P6" s="20">
        <f t="shared" si="4"/>
        <v>-3.1578947368422234</v>
      </c>
      <c r="Q6" s="21">
        <f t="shared" si="5"/>
        <v>0.96999999999999886</v>
      </c>
      <c r="R6" s="172"/>
      <c r="S6" s="28">
        <v>0.73888888888888893</v>
      </c>
      <c r="T6" s="28">
        <v>0.76180555555555562</v>
      </c>
      <c r="U6" s="4">
        <f t="shared" ref="U6:U9" si="9">IF(S6=TIME(17,0,0),"",(S6-T5)*24*60)</f>
        <v>6.9999999999999751</v>
      </c>
      <c r="V6" s="22">
        <f t="shared" si="6"/>
        <v>33.000000000000043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-60.000000000002501</v>
      </c>
      <c r="AF6" s="21">
        <f t="shared" si="8"/>
        <v>0.96999999999999875</v>
      </c>
      <c r="AG6" s="172"/>
    </row>
    <row r="7" spans="1:33">
      <c r="A7" s="204" t="s">
        <v>627</v>
      </c>
      <c r="B7" s="37" t="s">
        <v>78</v>
      </c>
      <c r="C7" s="196" t="s">
        <v>81</v>
      </c>
      <c r="D7" s="197"/>
      <c r="E7" s="37">
        <v>50.29</v>
      </c>
      <c r="F7" s="4">
        <v>630</v>
      </c>
      <c r="G7" s="4">
        <v>31682.7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1989.4736842105335</v>
      </c>
      <c r="N7" s="17">
        <f t="shared" si="2"/>
        <v>124.34210526315834</v>
      </c>
      <c r="O7" s="19">
        <f t="shared" si="3"/>
        <v>0</v>
      </c>
      <c r="P7" s="20">
        <f t="shared" si="4"/>
        <v>-0.657894736841655</v>
      </c>
      <c r="Q7" s="21">
        <f t="shared" si="5"/>
        <v>0.99473684210526681</v>
      </c>
      <c r="R7" s="172"/>
      <c r="S7" s="28">
        <v>0.76527777777777783</v>
      </c>
      <c r="T7" s="28">
        <v>0.77847222222222223</v>
      </c>
      <c r="U7" s="4">
        <f t="shared" si="9"/>
        <v>4.9999999999999822</v>
      </c>
      <c r="V7" s="22">
        <f t="shared" si="6"/>
        <v>18.999999999999932</v>
      </c>
      <c r="W7" s="23"/>
      <c r="X7" s="23"/>
      <c r="Y7" s="26"/>
      <c r="Z7" s="26"/>
      <c r="AA7" s="175"/>
      <c r="AB7" s="176"/>
      <c r="AC7" s="27"/>
      <c r="AD7" s="27"/>
      <c r="AE7" s="19">
        <f t="shared" si="7"/>
        <v>-10.52631578946648</v>
      </c>
      <c r="AF7" s="21">
        <f t="shared" si="8"/>
        <v>0.99473684210526681</v>
      </c>
      <c r="AG7" s="172"/>
    </row>
    <row r="8" spans="1:33">
      <c r="A8" s="204" t="s">
        <v>628</v>
      </c>
      <c r="B8" s="37" t="s">
        <v>78</v>
      </c>
      <c r="C8" s="196" t="s">
        <v>82</v>
      </c>
      <c r="D8" s="197"/>
      <c r="E8" s="37">
        <v>57.3</v>
      </c>
      <c r="F8" s="4">
        <v>1253</v>
      </c>
      <c r="G8" s="4">
        <v>71796.899999999994</v>
      </c>
      <c r="H8" s="22" t="s">
        <v>139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1927.6923076923067</v>
      </c>
      <c r="N8" s="17">
        <f t="shared" si="2"/>
        <v>128.51282051282044</v>
      </c>
      <c r="O8" s="19">
        <f t="shared" si="3"/>
        <v>0</v>
      </c>
      <c r="P8" s="20">
        <f t="shared" si="4"/>
        <v>-4.8205128205129029</v>
      </c>
      <c r="Q8" s="21">
        <f t="shared" si="5"/>
        <v>0.96384615384615324</v>
      </c>
      <c r="R8" s="172"/>
      <c r="S8" s="28">
        <v>0.78194444444444444</v>
      </c>
      <c r="T8" s="28">
        <v>0.80902777777777779</v>
      </c>
      <c r="U8" s="4">
        <f t="shared" si="9"/>
        <v>4.9999999999999822</v>
      </c>
      <c r="V8" s="22">
        <f t="shared" si="6"/>
        <v>39.000000000000021</v>
      </c>
      <c r="W8" s="28"/>
      <c r="X8" s="28"/>
      <c r="Y8" s="29"/>
      <c r="Z8" s="29"/>
      <c r="AA8" s="175"/>
      <c r="AB8" s="176"/>
      <c r="AC8" s="27"/>
      <c r="AD8" s="27"/>
      <c r="AE8" s="19">
        <f t="shared" si="7"/>
        <v>-72.307692307693287</v>
      </c>
      <c r="AF8" s="21">
        <f t="shared" si="8"/>
        <v>0.96384615384615335</v>
      </c>
      <c r="AG8" s="172"/>
    </row>
    <row r="9" spans="1:33">
      <c r="A9" s="204" t="s">
        <v>273</v>
      </c>
      <c r="B9" s="37" t="s">
        <v>78</v>
      </c>
      <c r="C9" s="196" t="s">
        <v>83</v>
      </c>
      <c r="D9" s="197"/>
      <c r="E9" s="37">
        <v>50.67</v>
      </c>
      <c r="F9" s="4">
        <v>764</v>
      </c>
      <c r="G9" s="4">
        <v>38711.880000000005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1909.9999999999939</v>
      </c>
      <c r="N9" s="17">
        <f t="shared" si="2"/>
        <v>90.952380952380665</v>
      </c>
      <c r="O9" s="19">
        <f t="shared" si="3"/>
        <v>0</v>
      </c>
      <c r="P9" s="20">
        <f t="shared" si="4"/>
        <v>-4.285714285714576</v>
      </c>
      <c r="Q9" s="21">
        <f t="shared" si="5"/>
        <v>0.95499999999999696</v>
      </c>
      <c r="R9" s="172"/>
      <c r="S9" s="28">
        <v>0.8125</v>
      </c>
      <c r="T9" s="28">
        <v>0.82916666666666672</v>
      </c>
      <c r="U9" s="4">
        <f t="shared" si="9"/>
        <v>4.9999999999999822</v>
      </c>
      <c r="V9" s="22">
        <f t="shared" si="6"/>
        <v>24.000000000000075</v>
      </c>
      <c r="W9" s="23"/>
      <c r="X9" s="23"/>
      <c r="Y9" s="26"/>
      <c r="Z9" s="26"/>
      <c r="AA9" s="175"/>
      <c r="AB9" s="176"/>
      <c r="AC9" s="27"/>
      <c r="AD9" s="27"/>
      <c r="AE9" s="19">
        <f t="shared" si="7"/>
        <v>-90.000000000006139</v>
      </c>
      <c r="AF9" s="21">
        <f t="shared" si="8"/>
        <v>0.95499999999999696</v>
      </c>
      <c r="AG9" s="172"/>
    </row>
    <row r="10" spans="1:33">
      <c r="A10" s="204" t="s">
        <v>627</v>
      </c>
      <c r="B10" s="37" t="s">
        <v>48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0"/>
        <v>113.63636363636363</v>
      </c>
      <c r="L10" s="30">
        <v>17.600000000000001</v>
      </c>
      <c r="M10" s="18">
        <f>AVERAGE(M5:M9)</f>
        <v>1937.433198380566</v>
      </c>
      <c r="N10" s="17">
        <f t="shared" si="2"/>
        <v>110.08143172616852</v>
      </c>
      <c r="O10" s="19">
        <f t="shared" si="3"/>
        <v>0</v>
      </c>
      <c r="P10" s="20">
        <f t="shared" si="4"/>
        <v>-3.5549319101951085</v>
      </c>
      <c r="Q10" s="21">
        <f t="shared" si="5"/>
        <v>0.96871659919028308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7"/>
        <v>-62.566801619434045</v>
      </c>
      <c r="AF10" s="21">
        <f t="shared" si="8"/>
        <v>0.96871659919028297</v>
      </c>
      <c r="AG10" s="172"/>
    </row>
    <row r="11" spans="1:33" ht="15.75" customHeight="1">
      <c r="A11" s="200" t="s">
        <v>277</v>
      </c>
      <c r="B11" s="37" t="s">
        <v>84</v>
      </c>
      <c r="C11" s="196" t="s">
        <v>85</v>
      </c>
      <c r="D11" s="197"/>
      <c r="E11" s="37">
        <v>39.619999999999997</v>
      </c>
      <c r="F11" s="4">
        <v>2472</v>
      </c>
      <c r="G11" s="4">
        <v>97940.64</v>
      </c>
      <c r="H11" s="22" t="s">
        <v>139</v>
      </c>
      <c r="I11" s="16">
        <v>19</v>
      </c>
      <c r="J11" s="18">
        <v>1500</v>
      </c>
      <c r="K11" s="17">
        <f t="shared" si="0"/>
        <v>78.94736842105263</v>
      </c>
      <c r="L11" s="16">
        <v>19</v>
      </c>
      <c r="M11" s="18">
        <f t="shared" ref="M11:M12" si="10">F11/V11*60</f>
        <v>1440</v>
      </c>
      <c r="N11" s="17">
        <f t="shared" si="2"/>
        <v>75.78947368421052</v>
      </c>
      <c r="O11" s="19">
        <f t="shared" si="3"/>
        <v>0</v>
      </c>
      <c r="P11" s="20">
        <f t="shared" si="4"/>
        <v>-3.1578947368421098</v>
      </c>
      <c r="Q11" s="21">
        <f t="shared" si="5"/>
        <v>0.96</v>
      </c>
      <c r="R11" s="172">
        <f>Q13</f>
        <v>0.95758620689655161</v>
      </c>
      <c r="S11" s="28">
        <v>0.20833333333333334</v>
      </c>
      <c r="T11" s="28">
        <v>0.27986111111111112</v>
      </c>
      <c r="U11" s="4"/>
      <c r="V11" s="22">
        <f t="shared" ref="V11:V12" si="11">(T11-S11)*24*60</f>
        <v>103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7"/>
        <v>-60</v>
      </c>
      <c r="AF11" s="21">
        <f t="shared" si="8"/>
        <v>0.96</v>
      </c>
      <c r="AG11" s="172">
        <f>AF13</f>
        <v>0.95758620689655161</v>
      </c>
    </row>
    <row r="12" spans="1:33" ht="15.75" customHeight="1">
      <c r="A12" s="200" t="s">
        <v>629</v>
      </c>
      <c r="B12" s="37" t="s">
        <v>84</v>
      </c>
      <c r="C12" s="196" t="s">
        <v>86</v>
      </c>
      <c r="D12" s="197"/>
      <c r="E12" s="37">
        <v>39.799999999999997</v>
      </c>
      <c r="F12" s="4">
        <v>4155</v>
      </c>
      <c r="G12" s="4">
        <v>165369</v>
      </c>
      <c r="H12" s="22" t="s">
        <v>139</v>
      </c>
      <c r="I12" s="16">
        <v>17</v>
      </c>
      <c r="J12" s="18">
        <v>1500</v>
      </c>
      <c r="K12" s="17">
        <f t="shared" si="0"/>
        <v>88.235294117647058</v>
      </c>
      <c r="L12" s="16">
        <v>17</v>
      </c>
      <c r="M12" s="18">
        <f t="shared" si="10"/>
        <v>1432.7586206896551</v>
      </c>
      <c r="N12" s="17">
        <f t="shared" si="2"/>
        <v>84.279918864097354</v>
      </c>
      <c r="O12" s="19">
        <f t="shared" si="3"/>
        <v>0</v>
      </c>
      <c r="P12" s="20">
        <f t="shared" si="4"/>
        <v>-3.955375253549704</v>
      </c>
      <c r="Q12" s="21">
        <f t="shared" si="5"/>
        <v>0.95517241379310336</v>
      </c>
      <c r="R12" s="172"/>
      <c r="S12" s="28">
        <v>0.28333333333333333</v>
      </c>
      <c r="T12" s="28">
        <v>0.40416666666666667</v>
      </c>
      <c r="U12" s="4">
        <f t="shared" ref="U12" si="12">IF(S12=TIME(17,0,0),"",(S12-T11)*24*60)</f>
        <v>4.9999999999999822</v>
      </c>
      <c r="V12" s="22">
        <f t="shared" si="11"/>
        <v>174.00000000000003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7"/>
        <v>-67.241379310344882</v>
      </c>
      <c r="AF12" s="21">
        <f t="shared" si="8"/>
        <v>0.95517241379310336</v>
      </c>
      <c r="AG12" s="172"/>
    </row>
    <row r="13" spans="1:33" ht="16.5" customHeight="1">
      <c r="A13" s="200" t="s">
        <v>630</v>
      </c>
      <c r="B13" s="37" t="s">
        <v>631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0"/>
        <v>83.333333333333329</v>
      </c>
      <c r="L13" s="30">
        <v>18</v>
      </c>
      <c r="M13" s="18">
        <f>AVERAGE(M11:M12)</f>
        <v>1436.3793103448274</v>
      </c>
      <c r="N13" s="17">
        <f t="shared" si="2"/>
        <v>79.798850574712631</v>
      </c>
      <c r="O13" s="19">
        <f t="shared" si="3"/>
        <v>0</v>
      </c>
      <c r="P13" s="20">
        <f t="shared" si="4"/>
        <v>-3.5344827586206975</v>
      </c>
      <c r="Q13" s="21">
        <f t="shared" si="5"/>
        <v>0.95758620689655161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7"/>
        <v>-63.620689655172555</v>
      </c>
      <c r="AF13" s="21">
        <f t="shared" si="8"/>
        <v>0.95758620689655161</v>
      </c>
      <c r="AG13" s="172"/>
    </row>
    <row r="14" spans="1:33" ht="16.5" customHeight="1">
      <c r="A14" s="198" t="s">
        <v>52</v>
      </c>
      <c r="B14" s="4" t="s">
        <v>87</v>
      </c>
      <c r="C14" s="190" t="s">
        <v>88</v>
      </c>
      <c r="D14" s="190"/>
      <c r="E14" s="37">
        <v>41</v>
      </c>
      <c r="F14" s="4">
        <v>1652</v>
      </c>
      <c r="G14" s="4">
        <v>67732</v>
      </c>
      <c r="H14" s="22" t="s">
        <v>139</v>
      </c>
      <c r="I14" s="16">
        <v>26</v>
      </c>
      <c r="J14" s="18">
        <v>1500</v>
      </c>
      <c r="K14" s="17">
        <f t="shared" si="0"/>
        <v>57.692307692307693</v>
      </c>
      <c r="L14" s="16">
        <v>26</v>
      </c>
      <c r="M14" s="18">
        <f t="shared" ref="M14:M19" si="13">F14/V14*60</f>
        <v>1436.5217391304357</v>
      </c>
      <c r="N14" s="17">
        <f t="shared" si="2"/>
        <v>55.250836120401374</v>
      </c>
      <c r="O14" s="19">
        <f t="shared" si="3"/>
        <v>0</v>
      </c>
      <c r="P14" s="20">
        <f t="shared" si="4"/>
        <v>-2.4414715719063196</v>
      </c>
      <c r="Q14" s="21">
        <f t="shared" si="5"/>
        <v>0.95768115942029042</v>
      </c>
      <c r="R14" s="172">
        <f>Q20</f>
        <v>0.95815657436660573</v>
      </c>
      <c r="S14" s="28">
        <v>0.20833333333333334</v>
      </c>
      <c r="T14" s="28">
        <v>0.25624999999999998</v>
      </c>
      <c r="U14" s="4"/>
      <c r="V14" s="22">
        <f t="shared" ref="V14:V19" si="14">(T14-S14)*24*60</f>
        <v>68.999999999999957</v>
      </c>
      <c r="W14" s="28"/>
      <c r="X14" s="28"/>
      <c r="Y14" s="28"/>
      <c r="Z14" s="28"/>
      <c r="AA14" s="164"/>
      <c r="AB14" s="164"/>
      <c r="AC14" s="25">
        <v>6</v>
      </c>
      <c r="AD14" s="25"/>
      <c r="AE14" s="19">
        <f t="shared" si="7"/>
        <v>-63.478260869564338</v>
      </c>
      <c r="AF14" s="21">
        <f t="shared" si="8"/>
        <v>0.95768115942029042</v>
      </c>
      <c r="AG14" s="172">
        <f>AF20</f>
        <v>0.95815657436660573</v>
      </c>
    </row>
    <row r="15" spans="1:33" ht="16.5" customHeight="1">
      <c r="A15" s="199" t="s">
        <v>632</v>
      </c>
      <c r="B15" s="4" t="s">
        <v>89</v>
      </c>
      <c r="C15" s="190" t="s">
        <v>90</v>
      </c>
      <c r="D15" s="190"/>
      <c r="E15" s="37">
        <v>72.400000000000006</v>
      </c>
      <c r="F15" s="4">
        <v>456</v>
      </c>
      <c r="G15" s="4">
        <v>33014.400000000001</v>
      </c>
      <c r="H15" s="22" t="s">
        <v>139</v>
      </c>
      <c r="I15" s="16">
        <v>18</v>
      </c>
      <c r="J15" s="18">
        <v>1500</v>
      </c>
      <c r="K15" s="17">
        <f t="shared" si="0"/>
        <v>83.333333333333329</v>
      </c>
      <c r="L15" s="16">
        <v>18</v>
      </c>
      <c r="M15" s="18">
        <f t="shared" si="13"/>
        <v>1439.9999999999989</v>
      </c>
      <c r="N15" s="17">
        <f t="shared" si="2"/>
        <v>79.999999999999943</v>
      </c>
      <c r="O15" s="19">
        <f t="shared" si="3"/>
        <v>0</v>
      </c>
      <c r="P15" s="20">
        <f t="shared" si="4"/>
        <v>-3.3333333333333854</v>
      </c>
      <c r="Q15" s="21">
        <f t="shared" si="5"/>
        <v>0.95999999999999941</v>
      </c>
      <c r="R15" s="172"/>
      <c r="S15" s="28">
        <v>0.25972222222222219</v>
      </c>
      <c r="T15" s="28">
        <v>0.27291666666666664</v>
      </c>
      <c r="U15" s="4">
        <f t="shared" ref="U15:U19" si="15">IF(S15=TIME(17,0,0),"",(S15-T14)*24*60)</f>
        <v>4.9999999999999822</v>
      </c>
      <c r="V15" s="22">
        <f t="shared" si="14"/>
        <v>19.000000000000014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7"/>
        <v>-60.000000000001137</v>
      </c>
      <c r="AF15" s="21">
        <f t="shared" si="8"/>
        <v>0.95999999999999919</v>
      </c>
      <c r="AG15" s="172"/>
    </row>
    <row r="16" spans="1:33" ht="16.5" customHeight="1">
      <c r="A16" s="199" t="s">
        <v>632</v>
      </c>
      <c r="B16" s="4" t="s">
        <v>78</v>
      </c>
      <c r="C16" s="190" t="s">
        <v>91</v>
      </c>
      <c r="D16" s="190"/>
      <c r="E16" s="37">
        <v>50.98</v>
      </c>
      <c r="F16" s="4">
        <v>2055</v>
      </c>
      <c r="G16" s="4">
        <v>104763.9</v>
      </c>
      <c r="H16" s="22" t="s">
        <v>139</v>
      </c>
      <c r="I16" s="16">
        <v>16</v>
      </c>
      <c r="J16" s="18">
        <v>2000</v>
      </c>
      <c r="K16" s="17">
        <f t="shared" si="0"/>
        <v>125</v>
      </c>
      <c r="L16" s="16">
        <v>16</v>
      </c>
      <c r="M16" s="18">
        <f t="shared" si="13"/>
        <v>1926.562500000002</v>
      </c>
      <c r="N16" s="17">
        <f t="shared" si="2"/>
        <v>120.41015625000013</v>
      </c>
      <c r="O16" s="19">
        <f t="shared" si="3"/>
        <v>0</v>
      </c>
      <c r="P16" s="20">
        <f t="shared" si="4"/>
        <v>-4.5898437499998721</v>
      </c>
      <c r="Q16" s="21">
        <f t="shared" si="5"/>
        <v>0.96328125000000098</v>
      </c>
      <c r="R16" s="172"/>
      <c r="S16" s="28">
        <v>0.70833333333333337</v>
      </c>
      <c r="T16" s="28">
        <v>0.75277777777777777</v>
      </c>
      <c r="U16" s="4" t="str">
        <f t="shared" si="15"/>
        <v/>
      </c>
      <c r="V16" s="22">
        <f t="shared" si="14"/>
        <v>63.999999999999929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-73.437499999997954</v>
      </c>
      <c r="AF16" s="21">
        <f t="shared" si="8"/>
        <v>0.96328125000000098</v>
      </c>
      <c r="AG16" s="172"/>
    </row>
    <row r="17" spans="1:33" ht="16.5" customHeight="1">
      <c r="A17" s="199" t="s">
        <v>633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v>40736</v>
      </c>
      <c r="H17" s="22">
        <v>2</v>
      </c>
      <c r="I17" s="16">
        <v>15</v>
      </c>
      <c r="J17" s="18">
        <v>2000</v>
      </c>
      <c r="K17" s="17">
        <f t="shared" si="0"/>
        <v>133.33333333333334</v>
      </c>
      <c r="L17" s="16">
        <v>15</v>
      </c>
      <c r="M17" s="18">
        <f t="shared" si="13"/>
        <v>1919.9999999999945</v>
      </c>
      <c r="N17" s="17">
        <f t="shared" si="2"/>
        <v>127.99999999999963</v>
      </c>
      <c r="O17" s="19">
        <f t="shared" si="3"/>
        <v>0</v>
      </c>
      <c r="P17" s="20">
        <f t="shared" si="4"/>
        <v>-5.3333333333337123</v>
      </c>
      <c r="Q17" s="21">
        <f t="shared" si="5"/>
        <v>0.95999999999999719</v>
      </c>
      <c r="R17" s="172"/>
      <c r="S17" s="28">
        <v>0.75763888888888886</v>
      </c>
      <c r="T17" s="28">
        <v>0.77500000000000002</v>
      </c>
      <c r="U17" s="4">
        <f t="shared" si="15"/>
        <v>6.9999999999999751</v>
      </c>
      <c r="V17" s="22">
        <f t="shared" si="14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-80.000000000005457</v>
      </c>
      <c r="AF17" s="21">
        <f t="shared" si="8"/>
        <v>0.9599999999999973</v>
      </c>
      <c r="AG17" s="172"/>
    </row>
    <row r="18" spans="1:33" ht="16.5" customHeight="1">
      <c r="A18" s="199" t="s">
        <v>52</v>
      </c>
      <c r="B18" s="4" t="s">
        <v>78</v>
      </c>
      <c r="C18" s="190" t="s">
        <v>93</v>
      </c>
      <c r="D18" s="190"/>
      <c r="E18" s="37">
        <v>50.67</v>
      </c>
      <c r="F18" s="4">
        <v>1400</v>
      </c>
      <c r="G18" s="4">
        <v>70938</v>
      </c>
      <c r="H18" s="22" t="s">
        <v>139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1909.090909090909</v>
      </c>
      <c r="N18" s="17">
        <f t="shared" si="2"/>
        <v>127.27272727272727</v>
      </c>
      <c r="O18" s="19">
        <f t="shared" si="3"/>
        <v>0</v>
      </c>
      <c r="P18" s="20">
        <f t="shared" si="4"/>
        <v>-6.0606060606060765</v>
      </c>
      <c r="Q18" s="21">
        <f t="shared" si="5"/>
        <v>0.95454545454545447</v>
      </c>
      <c r="R18" s="172"/>
      <c r="S18" s="28">
        <v>0.77986111111111112</v>
      </c>
      <c r="T18" s="28">
        <v>0.81041666666666667</v>
      </c>
      <c r="U18" s="4">
        <f t="shared" si="15"/>
        <v>6.9999999999999751</v>
      </c>
      <c r="V18" s="22">
        <f t="shared" si="14"/>
        <v>44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-90.909090909090992</v>
      </c>
      <c r="AF18" s="21">
        <f t="shared" si="8"/>
        <v>0.95454545454545447</v>
      </c>
      <c r="AG18" s="172"/>
    </row>
    <row r="19" spans="1:33" ht="16.5" customHeight="1">
      <c r="A19" s="199" t="s">
        <v>52</v>
      </c>
      <c r="B19" s="4" t="s">
        <v>78</v>
      </c>
      <c r="C19" s="217" t="s">
        <v>94</v>
      </c>
      <c r="D19" s="218"/>
      <c r="E19" s="37">
        <v>57.3</v>
      </c>
      <c r="F19" s="4">
        <v>1685</v>
      </c>
      <c r="G19" s="4">
        <v>96550.5</v>
      </c>
      <c r="H19" s="22" t="s">
        <v>139</v>
      </c>
      <c r="I19" s="16">
        <v>13</v>
      </c>
      <c r="J19" s="18">
        <v>2000</v>
      </c>
      <c r="K19" s="17">
        <f t="shared" si="0"/>
        <v>153.84615384615384</v>
      </c>
      <c r="L19" s="16">
        <v>13</v>
      </c>
      <c r="M19" s="18">
        <f t="shared" si="13"/>
        <v>1907.5471698113217</v>
      </c>
      <c r="N19" s="17">
        <f t="shared" si="2"/>
        <v>146.73439767779399</v>
      </c>
      <c r="O19" s="19">
        <f t="shared" si="3"/>
        <v>0</v>
      </c>
      <c r="P19" s="20">
        <f t="shared" si="4"/>
        <v>-7.1117561683598467</v>
      </c>
      <c r="Q19" s="21">
        <f t="shared" si="5"/>
        <v>0.953773584905661</v>
      </c>
      <c r="R19" s="172"/>
      <c r="S19" s="28">
        <v>0.81388888888888888</v>
      </c>
      <c r="T19" s="28">
        <v>0.85069444444444442</v>
      </c>
      <c r="U19" s="4">
        <f t="shared" si="15"/>
        <v>4.9999999999999822</v>
      </c>
      <c r="V19" s="22">
        <f t="shared" si="14"/>
        <v>52.999999999999972</v>
      </c>
      <c r="W19" s="23"/>
      <c r="X19" s="23"/>
      <c r="Y19" s="26"/>
      <c r="Z19" s="26"/>
      <c r="AA19" s="175"/>
      <c r="AB19" s="176"/>
      <c r="AC19" s="25"/>
      <c r="AD19" s="25"/>
      <c r="AE19" s="19">
        <f t="shared" si="7"/>
        <v>-92.452830188678263</v>
      </c>
      <c r="AF19" s="21">
        <f t="shared" si="8"/>
        <v>0.95377358490566089</v>
      </c>
      <c r="AG19" s="172"/>
    </row>
    <row r="20" spans="1:33" ht="16.5" customHeight="1">
      <c r="A20" s="199" t="s">
        <v>52</v>
      </c>
      <c r="B20" s="37" t="s">
        <v>48</v>
      </c>
      <c r="C20" s="177"/>
      <c r="D20" s="177"/>
      <c r="E20" s="38"/>
      <c r="F20" s="17"/>
      <c r="G20" s="17"/>
      <c r="H20" s="4"/>
      <c r="I20" s="30">
        <v>17.166666666666668</v>
      </c>
      <c r="J20" s="18">
        <v>1833.3333333333333</v>
      </c>
      <c r="K20" s="17">
        <f t="shared" si="0"/>
        <v>106.79611650485435</v>
      </c>
      <c r="L20" s="30">
        <v>17.166666666666668</v>
      </c>
      <c r="M20" s="18">
        <f>AVERAGE(M14:M19)</f>
        <v>1756.6203863387771</v>
      </c>
      <c r="N20" s="17">
        <f t="shared" si="2"/>
        <v>102.32740114594817</v>
      </c>
      <c r="O20" s="19">
        <f t="shared" si="3"/>
        <v>0</v>
      </c>
      <c r="P20" s="20">
        <f t="shared" si="4"/>
        <v>-4.4687153589061808</v>
      </c>
      <c r="Q20" s="21">
        <f t="shared" si="5"/>
        <v>0.95815657436660573</v>
      </c>
      <c r="R20" s="172"/>
      <c r="S20" s="28"/>
      <c r="T20" s="28"/>
      <c r="U20" s="4"/>
      <c r="V20" s="22"/>
      <c r="W20" s="17"/>
      <c r="X20" s="17"/>
      <c r="Y20" s="31">
        <f>SUM(Y14:Y19)</f>
        <v>0</v>
      </c>
      <c r="Z20" s="31">
        <f>SUM(Z14:Z19)</f>
        <v>0</v>
      </c>
      <c r="AA20" s="168"/>
      <c r="AB20" s="168"/>
      <c r="AC20" s="31">
        <v>6</v>
      </c>
      <c r="AD20" s="31">
        <f>SUM(AD14:AD19)</f>
        <v>0</v>
      </c>
      <c r="AE20" s="19">
        <f t="shared" si="7"/>
        <v>-76.712946994556205</v>
      </c>
      <c r="AF20" s="21">
        <f t="shared" si="8"/>
        <v>0.95815657436660573</v>
      </c>
      <c r="AG20" s="172"/>
    </row>
    <row r="21" spans="1:33" ht="15.75" customHeight="1">
      <c r="A21" s="194" t="s">
        <v>634</v>
      </c>
      <c r="B21" s="37" t="s">
        <v>78</v>
      </c>
      <c r="C21" s="190" t="s">
        <v>95</v>
      </c>
      <c r="D21" s="190"/>
      <c r="E21" s="37">
        <v>57.73</v>
      </c>
      <c r="F21" s="4">
        <v>2092</v>
      </c>
      <c r="G21" s="4">
        <v>120771.15999999999</v>
      </c>
      <c r="H21" s="22" t="s">
        <v>139</v>
      </c>
      <c r="I21" s="16">
        <v>14</v>
      </c>
      <c r="J21" s="18">
        <v>2000</v>
      </c>
      <c r="K21" s="17">
        <f t="shared" si="0"/>
        <v>142.85714285714286</v>
      </c>
      <c r="L21" s="16">
        <v>14</v>
      </c>
      <c r="M21" s="18">
        <f t="shared" ref="M21:M26" si="16">F21/V21*60</f>
        <v>1931.0769230769238</v>
      </c>
      <c r="N21" s="17">
        <f t="shared" si="2"/>
        <v>137.93406593406598</v>
      </c>
      <c r="O21" s="19">
        <f t="shared" si="3"/>
        <v>0</v>
      </c>
      <c r="P21" s="20">
        <f t="shared" si="4"/>
        <v>-4.9230769230768772</v>
      </c>
      <c r="Q21" s="21">
        <f t="shared" si="5"/>
        <v>0.9655384615384619</v>
      </c>
      <c r="R21" s="172">
        <f>Q27</f>
        <v>0.96499517931699685</v>
      </c>
      <c r="S21" s="28">
        <v>0.20833333333333334</v>
      </c>
      <c r="T21" s="28">
        <v>0.25347222222222221</v>
      </c>
      <c r="U21" s="4"/>
      <c r="V21" s="22">
        <f t="shared" ref="V21:V26" si="17">(T21-S21)*24*60</f>
        <v>64.999999999999972</v>
      </c>
      <c r="W21" s="28"/>
      <c r="X21" s="28"/>
      <c r="Y21" s="28"/>
      <c r="Z21" s="28"/>
      <c r="AA21" s="164"/>
      <c r="AB21" s="164"/>
      <c r="AC21" s="25">
        <v>6</v>
      </c>
      <c r="AD21" s="25"/>
      <c r="AE21" s="19">
        <f t="shared" si="7"/>
        <v>-68.923076923076223</v>
      </c>
      <c r="AF21" s="21">
        <f t="shared" si="8"/>
        <v>0.9655384615384619</v>
      </c>
      <c r="AG21" s="172">
        <f>AF27</f>
        <v>0.96499517931699685</v>
      </c>
    </row>
    <row r="22" spans="1:33" ht="15.75" customHeight="1">
      <c r="A22" s="195" t="s">
        <v>58</v>
      </c>
      <c r="B22" s="37" t="s">
        <v>78</v>
      </c>
      <c r="C22" s="190" t="s">
        <v>96</v>
      </c>
      <c r="D22" s="190"/>
      <c r="E22" s="37">
        <v>53.68</v>
      </c>
      <c r="F22" s="4">
        <v>1093</v>
      </c>
      <c r="G22" s="4">
        <v>58672.24</v>
      </c>
      <c r="H22" s="22" t="s">
        <v>139</v>
      </c>
      <c r="I22" s="16">
        <v>16</v>
      </c>
      <c r="J22" s="18">
        <v>2000</v>
      </c>
      <c r="K22" s="17">
        <f t="shared" si="0"/>
        <v>125</v>
      </c>
      <c r="L22" s="16">
        <v>16</v>
      </c>
      <c r="M22" s="18">
        <f t="shared" si="16"/>
        <v>1928.8235294117621</v>
      </c>
      <c r="N22" s="17">
        <f t="shared" si="2"/>
        <v>120.55147058823513</v>
      </c>
      <c r="O22" s="19">
        <f t="shared" si="3"/>
        <v>0</v>
      </c>
      <c r="P22" s="20">
        <f t="shared" si="4"/>
        <v>-4.4485294117648664</v>
      </c>
      <c r="Q22" s="21">
        <f t="shared" si="5"/>
        <v>0.96441176470588108</v>
      </c>
      <c r="R22" s="172"/>
      <c r="S22" s="28">
        <v>0.25763888888888886</v>
      </c>
      <c r="T22" s="28">
        <v>0.28125</v>
      </c>
      <c r="U22" s="4">
        <f t="shared" ref="U22:U26" si="18">IF(S22=TIME(17,0,0),"",(S22-T21)*24*60)</f>
        <v>5.9999999999999787</v>
      </c>
      <c r="V22" s="22">
        <f t="shared" si="17"/>
        <v>34.000000000000043</v>
      </c>
      <c r="W22" s="23"/>
      <c r="X22" s="4"/>
      <c r="Y22" s="4"/>
      <c r="Z22" s="4"/>
      <c r="AA22" s="164"/>
      <c r="AB22" s="164"/>
      <c r="AC22" s="25"/>
      <c r="AD22" s="25"/>
      <c r="AE22" s="19">
        <f t="shared" si="7"/>
        <v>-71.176470588237862</v>
      </c>
      <c r="AF22" s="21">
        <f t="shared" si="8"/>
        <v>0.96441176470588108</v>
      </c>
      <c r="AG22" s="172"/>
    </row>
    <row r="23" spans="1:33" ht="15.75" customHeight="1">
      <c r="A23" s="195" t="s">
        <v>58</v>
      </c>
      <c r="B23" s="37" t="s">
        <v>78</v>
      </c>
      <c r="C23" s="190" t="s">
        <v>97</v>
      </c>
      <c r="D23" s="190"/>
      <c r="E23" s="37">
        <v>50.49</v>
      </c>
      <c r="F23" s="4">
        <v>1735</v>
      </c>
      <c r="G23" s="4">
        <v>87600.150000000009</v>
      </c>
      <c r="H23" s="22" t="s">
        <v>139</v>
      </c>
      <c r="I23" s="16">
        <v>15</v>
      </c>
      <c r="J23" s="18">
        <v>2000</v>
      </c>
      <c r="K23" s="17">
        <f t="shared" si="0"/>
        <v>133.33333333333334</v>
      </c>
      <c r="L23" s="16">
        <v>15</v>
      </c>
      <c r="M23" s="18">
        <f t="shared" si="16"/>
        <v>1927.7777777777787</v>
      </c>
      <c r="N23" s="17">
        <f t="shared" si="2"/>
        <v>128.51851851851859</v>
      </c>
      <c r="O23" s="19">
        <f t="shared" si="3"/>
        <v>0</v>
      </c>
      <c r="P23" s="20">
        <f t="shared" si="4"/>
        <v>-4.8148148148147527</v>
      </c>
      <c r="Q23" s="21">
        <f t="shared" si="5"/>
        <v>0.96388888888888935</v>
      </c>
      <c r="R23" s="172"/>
      <c r="S23" s="28">
        <v>0.70833333333333337</v>
      </c>
      <c r="T23" s="28">
        <v>0.74583333333333335</v>
      </c>
      <c r="U23" s="4" t="str">
        <f t="shared" si="18"/>
        <v/>
      </c>
      <c r="V23" s="22">
        <f t="shared" si="17"/>
        <v>53.999999999999972</v>
      </c>
      <c r="W23" s="23"/>
      <c r="X23" s="4"/>
      <c r="Y23" s="4"/>
      <c r="Z23" s="4"/>
      <c r="AA23" s="164"/>
      <c r="AB23" s="164"/>
      <c r="AC23" s="25"/>
      <c r="AD23" s="25"/>
      <c r="AE23" s="19">
        <f t="shared" si="7"/>
        <v>-72.222222222221262</v>
      </c>
      <c r="AF23" s="21">
        <f t="shared" si="8"/>
        <v>0.96388888888888935</v>
      </c>
      <c r="AG23" s="172"/>
    </row>
    <row r="24" spans="1:33" ht="15.75" customHeight="1">
      <c r="A24" s="195" t="s">
        <v>58</v>
      </c>
      <c r="B24" s="37" t="s">
        <v>78</v>
      </c>
      <c r="C24" s="190" t="s">
        <v>98</v>
      </c>
      <c r="D24" s="190"/>
      <c r="E24" s="37">
        <v>50.67</v>
      </c>
      <c r="F24" s="4">
        <v>839</v>
      </c>
      <c r="G24" s="4">
        <v>42512.130000000005</v>
      </c>
      <c r="H24" s="22" t="s">
        <v>139</v>
      </c>
      <c r="I24" s="16">
        <v>16</v>
      </c>
      <c r="J24" s="18">
        <v>2000</v>
      </c>
      <c r="K24" s="17">
        <f t="shared" si="0"/>
        <v>125</v>
      </c>
      <c r="L24" s="16">
        <v>16</v>
      </c>
      <c r="M24" s="18">
        <f t="shared" si="16"/>
        <v>1936.1538461538412</v>
      </c>
      <c r="N24" s="17">
        <f t="shared" si="2"/>
        <v>121.00961538461507</v>
      </c>
      <c r="O24" s="19">
        <f t="shared" si="3"/>
        <v>0</v>
      </c>
      <c r="P24" s="20">
        <f t="shared" si="4"/>
        <v>-3.9903846153849258</v>
      </c>
      <c r="Q24" s="21">
        <f t="shared" si="5"/>
        <v>0.96807692307692061</v>
      </c>
      <c r="R24" s="172"/>
      <c r="S24" s="28">
        <v>0.74930555555555556</v>
      </c>
      <c r="T24" s="28">
        <v>0.76736111111111116</v>
      </c>
      <c r="U24" s="4">
        <f t="shared" si="18"/>
        <v>4.9999999999999822</v>
      </c>
      <c r="V24" s="22">
        <f t="shared" si="17"/>
        <v>26.000000000000068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-63.846153846158813</v>
      </c>
      <c r="AF24" s="21">
        <f t="shared" si="8"/>
        <v>0.96807692307692061</v>
      </c>
      <c r="AG24" s="172"/>
    </row>
    <row r="25" spans="1:33" ht="15.75" customHeight="1">
      <c r="A25" s="195" t="s">
        <v>58</v>
      </c>
      <c r="B25" s="37" t="s">
        <v>78</v>
      </c>
      <c r="C25" s="190" t="s">
        <v>99</v>
      </c>
      <c r="D25" s="190"/>
      <c r="E25" s="37">
        <v>53.68</v>
      </c>
      <c r="F25" s="4">
        <v>1699</v>
      </c>
      <c r="G25" s="4">
        <v>91202.319999999992</v>
      </c>
      <c r="H25" s="22" t="s">
        <v>139</v>
      </c>
      <c r="I25" s="16">
        <v>16</v>
      </c>
      <c r="J25" s="18">
        <v>1500</v>
      </c>
      <c r="K25" s="17">
        <f t="shared" si="0"/>
        <v>93.75</v>
      </c>
      <c r="L25" s="16">
        <v>16</v>
      </c>
      <c r="M25" s="18">
        <f t="shared" si="16"/>
        <v>1435.7746478873223</v>
      </c>
      <c r="N25" s="17">
        <f t="shared" si="2"/>
        <v>89.735915492957645</v>
      </c>
      <c r="O25" s="19">
        <f t="shared" si="3"/>
        <v>0</v>
      </c>
      <c r="P25" s="20">
        <f t="shared" si="4"/>
        <v>-4.0140845070423552</v>
      </c>
      <c r="Q25" s="21">
        <f t="shared" si="5"/>
        <v>0.95718309859154826</v>
      </c>
      <c r="R25" s="172"/>
      <c r="S25" s="28">
        <v>0.77222222222222225</v>
      </c>
      <c r="T25" s="28">
        <v>0.82152777777777786</v>
      </c>
      <c r="U25" s="4">
        <f t="shared" si="18"/>
        <v>6.9999999999999751</v>
      </c>
      <c r="V25" s="22">
        <f t="shared" si="17"/>
        <v>71.000000000000071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-64.225352112677683</v>
      </c>
      <c r="AF25" s="21">
        <f t="shared" si="8"/>
        <v>0.95718309859154826</v>
      </c>
      <c r="AG25" s="172"/>
    </row>
    <row r="26" spans="1:33" ht="15.75" customHeight="1">
      <c r="A26" s="195" t="s">
        <v>635</v>
      </c>
      <c r="B26" s="37" t="s">
        <v>78</v>
      </c>
      <c r="C26" s="190" t="s">
        <v>92</v>
      </c>
      <c r="D26" s="190"/>
      <c r="E26" s="37">
        <v>50.92</v>
      </c>
      <c r="F26" s="4">
        <v>1195</v>
      </c>
      <c r="G26" s="4">
        <v>60849.4</v>
      </c>
      <c r="H26" s="22" t="s">
        <v>139</v>
      </c>
      <c r="I26" s="16">
        <v>15</v>
      </c>
      <c r="J26" s="18">
        <v>2000</v>
      </c>
      <c r="K26" s="17">
        <f t="shared" si="0"/>
        <v>133.33333333333334</v>
      </c>
      <c r="L26" s="16">
        <v>15</v>
      </c>
      <c r="M26" s="18">
        <f t="shared" si="16"/>
        <v>1937.8378378378361</v>
      </c>
      <c r="N26" s="17">
        <f t="shared" si="2"/>
        <v>129.18918918918908</v>
      </c>
      <c r="O26" s="19">
        <f t="shared" si="3"/>
        <v>0</v>
      </c>
      <c r="P26" s="20">
        <f t="shared" si="4"/>
        <v>-4.1441441441442635</v>
      </c>
      <c r="Q26" s="21">
        <f t="shared" si="5"/>
        <v>0.96891891891891802</v>
      </c>
      <c r="R26" s="172"/>
      <c r="S26" s="28">
        <v>0.82708333333333339</v>
      </c>
      <c r="T26" s="28">
        <v>0.85277777777777786</v>
      </c>
      <c r="U26" s="4">
        <f t="shared" si="18"/>
        <v>7.9999999999999716</v>
      </c>
      <c r="V26" s="22">
        <f t="shared" si="17"/>
        <v>37.000000000000028</v>
      </c>
      <c r="W26" s="23"/>
      <c r="X26" s="28"/>
      <c r="Y26" s="28"/>
      <c r="Z26" s="28"/>
      <c r="AA26" s="164"/>
      <c r="AB26" s="164"/>
      <c r="AC26" s="25"/>
      <c r="AD26" s="25"/>
      <c r="AE26" s="19">
        <f t="shared" si="7"/>
        <v>-62.162162162163895</v>
      </c>
      <c r="AF26" s="21">
        <f t="shared" si="8"/>
        <v>0.96891891891891802</v>
      </c>
      <c r="AG26" s="172"/>
    </row>
    <row r="27" spans="1:33" ht="15.75" customHeight="1">
      <c r="A27" s="195" t="s">
        <v>635</v>
      </c>
      <c r="B27" s="37" t="s">
        <v>48</v>
      </c>
      <c r="C27" s="177"/>
      <c r="D27" s="177"/>
      <c r="E27" s="38"/>
      <c r="F27" s="4"/>
      <c r="G27" s="4"/>
      <c r="H27" s="4"/>
      <c r="I27" s="30">
        <v>15.333333333333334</v>
      </c>
      <c r="J27" s="18">
        <v>1916.6666666666667</v>
      </c>
      <c r="K27" s="17">
        <f t="shared" si="0"/>
        <v>125</v>
      </c>
      <c r="L27" s="30">
        <v>15.333333333333334</v>
      </c>
      <c r="M27" s="18">
        <f>AVERAGE(M21:M26)</f>
        <v>1849.5740936909108</v>
      </c>
      <c r="N27" s="17">
        <f t="shared" si="2"/>
        <v>120.62439741462461</v>
      </c>
      <c r="O27" s="19">
        <f t="shared" si="3"/>
        <v>0</v>
      </c>
      <c r="P27" s="20">
        <f t="shared" si="4"/>
        <v>-4.3756025853753897</v>
      </c>
      <c r="Q27" s="21">
        <f t="shared" si="5"/>
        <v>0.96499517931699685</v>
      </c>
      <c r="R27" s="172"/>
      <c r="S27" s="28"/>
      <c r="T27" s="28"/>
      <c r="U27" s="17"/>
      <c r="V27" s="22"/>
      <c r="W27" s="17"/>
      <c r="X27" s="17"/>
      <c r="Y27" s="31">
        <f>SUM(Y21:Y26)</f>
        <v>0</v>
      </c>
      <c r="Z27" s="31">
        <f>SUM(Z21:Z26)</f>
        <v>0</v>
      </c>
      <c r="AA27" s="168"/>
      <c r="AB27" s="168"/>
      <c r="AC27" s="31">
        <v>6</v>
      </c>
      <c r="AD27" s="31">
        <f>SUM(AD21:AD26)</f>
        <v>0</v>
      </c>
      <c r="AE27" s="19">
        <f t="shared" si="7"/>
        <v>-67.092572975755957</v>
      </c>
      <c r="AF27" s="21">
        <f t="shared" si="8"/>
        <v>0.96499517931699685</v>
      </c>
      <c r="AG27" s="172"/>
    </row>
    <row r="28" spans="1:33" ht="15.75" customHeight="1">
      <c r="A28" s="193" t="s">
        <v>61</v>
      </c>
      <c r="B28" s="37" t="s">
        <v>100</v>
      </c>
      <c r="C28" s="190" t="s">
        <v>101</v>
      </c>
      <c r="D28" s="190"/>
      <c r="E28" s="37">
        <v>31.29</v>
      </c>
      <c r="F28" s="4">
        <v>6636</v>
      </c>
      <c r="G28" s="4">
        <v>207640.44</v>
      </c>
      <c r="H28" s="22" t="s">
        <v>139</v>
      </c>
      <c r="I28" s="16">
        <v>18</v>
      </c>
      <c r="J28" s="18">
        <v>2400</v>
      </c>
      <c r="K28" s="17">
        <f t="shared" si="0"/>
        <v>133.33333333333334</v>
      </c>
      <c r="L28" s="16">
        <v>18</v>
      </c>
      <c r="M28" s="18">
        <f t="shared" ref="M28:M32" si="19">F28/V28*60</f>
        <v>2288.2758620689656</v>
      </c>
      <c r="N28" s="17">
        <f t="shared" si="2"/>
        <v>127.1264367816092</v>
      </c>
      <c r="O28" s="19">
        <f t="shared" si="3"/>
        <v>0</v>
      </c>
      <c r="P28" s="20">
        <f t="shared" si="4"/>
        <v>-6.2068965517241423</v>
      </c>
      <c r="Q28" s="21">
        <f t="shared" si="5"/>
        <v>0.95344827586206893</v>
      </c>
      <c r="R28" s="172">
        <f>Q33</f>
        <v>0.95676498049773906</v>
      </c>
      <c r="S28" s="28">
        <v>8.3333333333333329E-2</v>
      </c>
      <c r="T28" s="28">
        <v>0.20416666666666666</v>
      </c>
      <c r="U28" s="4"/>
      <c r="V28" s="22">
        <f t="shared" ref="V28:V32" si="20">(T28-S28)*24*60</f>
        <v>174</v>
      </c>
      <c r="W28" s="23">
        <f>T28</f>
        <v>0.20416666666666666</v>
      </c>
      <c r="X28" s="23">
        <f>S29</f>
        <v>0.22430555555555556</v>
      </c>
      <c r="Y28" s="23"/>
      <c r="Z28" s="23"/>
      <c r="AA28" s="164"/>
      <c r="AB28" s="164"/>
      <c r="AC28" s="25">
        <v>5</v>
      </c>
      <c r="AD28" s="25"/>
      <c r="AE28" s="19">
        <f t="shared" si="7"/>
        <v>-111.72413793103442</v>
      </c>
      <c r="AF28" s="21">
        <f t="shared" si="8"/>
        <v>0.95344827586206904</v>
      </c>
      <c r="AG28" s="172">
        <f>AF33</f>
        <v>0.95676498049773917</v>
      </c>
    </row>
    <row r="29" spans="1:33" ht="15.75" customHeight="1">
      <c r="A29" s="193" t="s">
        <v>61</v>
      </c>
      <c r="B29" s="37" t="s">
        <v>100</v>
      </c>
      <c r="C29" s="190" t="s">
        <v>102</v>
      </c>
      <c r="D29" s="190"/>
      <c r="E29" s="37">
        <v>26.2</v>
      </c>
      <c r="F29" s="4">
        <v>3664</v>
      </c>
      <c r="G29" s="4">
        <v>95996.800000000003</v>
      </c>
      <c r="H29" s="22" t="s">
        <v>139</v>
      </c>
      <c r="I29" s="16">
        <v>20</v>
      </c>
      <c r="J29" s="18">
        <v>2400</v>
      </c>
      <c r="K29" s="17">
        <f t="shared" si="0"/>
        <v>120</v>
      </c>
      <c r="L29" s="16">
        <v>20</v>
      </c>
      <c r="M29" s="18">
        <f t="shared" si="19"/>
        <v>2290</v>
      </c>
      <c r="N29" s="17">
        <f t="shared" si="2"/>
        <v>114.5</v>
      </c>
      <c r="O29" s="19">
        <f t="shared" si="3"/>
        <v>0</v>
      </c>
      <c r="P29" s="20">
        <f t="shared" si="4"/>
        <v>-5.5</v>
      </c>
      <c r="Q29" s="21">
        <f t="shared" si="5"/>
        <v>0.95416666666666672</v>
      </c>
      <c r="R29" s="172"/>
      <c r="S29" s="28">
        <v>0.22430555555555556</v>
      </c>
      <c r="T29" s="28">
        <v>0.29097222222222224</v>
      </c>
      <c r="U29" s="4">
        <f t="shared" ref="U29:U32" si="21">(S29-T28)*24*60</f>
        <v>29.000000000000018</v>
      </c>
      <c r="V29" s="22">
        <f t="shared" si="20"/>
        <v>96.000000000000014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7"/>
        <v>-110</v>
      </c>
      <c r="AF29" s="21">
        <f t="shared" si="8"/>
        <v>0.95416666666666672</v>
      </c>
      <c r="AG29" s="172"/>
    </row>
    <row r="30" spans="1:33" ht="15.75" customHeight="1">
      <c r="A30" s="193" t="s">
        <v>61</v>
      </c>
      <c r="B30" s="37" t="s">
        <v>100</v>
      </c>
      <c r="C30" s="190" t="s">
        <v>103</v>
      </c>
      <c r="D30" s="190"/>
      <c r="E30" s="37">
        <v>25.99</v>
      </c>
      <c r="F30" s="4">
        <v>3111</v>
      </c>
      <c r="G30" s="4">
        <v>80854.89</v>
      </c>
      <c r="H30" s="22" t="s">
        <v>139</v>
      </c>
      <c r="I30" s="16">
        <v>14</v>
      </c>
      <c r="J30" s="18">
        <v>2400</v>
      </c>
      <c r="K30" s="17">
        <f t="shared" si="0"/>
        <v>171.42857142857142</v>
      </c>
      <c r="L30" s="16">
        <v>14</v>
      </c>
      <c r="M30" s="18">
        <f t="shared" si="19"/>
        <v>2304.4444444444434</v>
      </c>
      <c r="N30" s="17">
        <f t="shared" si="2"/>
        <v>164.60317460317452</v>
      </c>
      <c r="O30" s="19">
        <f t="shared" si="3"/>
        <v>0</v>
      </c>
      <c r="P30" s="20">
        <f t="shared" si="4"/>
        <v>-6.8253968253968935</v>
      </c>
      <c r="Q30" s="21">
        <f t="shared" si="5"/>
        <v>0.96018518518518481</v>
      </c>
      <c r="R30" s="172"/>
      <c r="S30" s="28">
        <v>0.29444444444444445</v>
      </c>
      <c r="T30" s="28">
        <v>0.35069444444444448</v>
      </c>
      <c r="U30" s="4">
        <f t="shared" si="21"/>
        <v>4.9999999999999822</v>
      </c>
      <c r="V30" s="22">
        <f t="shared" si="20"/>
        <v>81.000000000000028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7"/>
        <v>-95.555555555556566</v>
      </c>
      <c r="AF30" s="21">
        <f t="shared" si="8"/>
        <v>0.96018518518518481</v>
      </c>
      <c r="AG30" s="172"/>
    </row>
    <row r="31" spans="1:33" ht="15.75" customHeight="1">
      <c r="A31" s="193" t="s">
        <v>61</v>
      </c>
      <c r="B31" s="37" t="s">
        <v>100</v>
      </c>
      <c r="C31" s="190" t="s">
        <v>104</v>
      </c>
      <c r="D31" s="190"/>
      <c r="E31" s="37">
        <v>20.52</v>
      </c>
      <c r="F31" s="4">
        <v>2836</v>
      </c>
      <c r="G31" s="4">
        <v>58194.720000000001</v>
      </c>
      <c r="H31" s="22" t="s">
        <v>139</v>
      </c>
      <c r="I31" s="16">
        <v>18</v>
      </c>
      <c r="J31" s="18">
        <v>2400</v>
      </c>
      <c r="K31" s="17">
        <f t="shared" si="0"/>
        <v>133.33333333333334</v>
      </c>
      <c r="L31" s="16">
        <v>18</v>
      </c>
      <c r="M31" s="18">
        <f t="shared" si="19"/>
        <v>2299.45945945946</v>
      </c>
      <c r="N31" s="17">
        <f t="shared" si="2"/>
        <v>127.74774774774778</v>
      </c>
      <c r="O31" s="19">
        <f t="shared" si="3"/>
        <v>0</v>
      </c>
      <c r="P31" s="20">
        <f t="shared" si="4"/>
        <v>-5.5855855855855623</v>
      </c>
      <c r="Q31" s="21">
        <f t="shared" si="5"/>
        <v>0.95810810810810831</v>
      </c>
      <c r="R31" s="172"/>
      <c r="S31" s="28">
        <v>0.35486111111111113</v>
      </c>
      <c r="T31" s="28">
        <v>0.40625</v>
      </c>
      <c r="U31" s="4">
        <f t="shared" si="21"/>
        <v>5.9999999999999787</v>
      </c>
      <c r="V31" s="22">
        <f t="shared" si="20"/>
        <v>73.999999999999972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-100.54054054053995</v>
      </c>
      <c r="AF31" s="21">
        <f t="shared" si="8"/>
        <v>0.95810810810810831</v>
      </c>
      <c r="AG31" s="172"/>
    </row>
    <row r="32" spans="1:33" ht="15.75" customHeight="1">
      <c r="A32" s="193" t="s">
        <v>61</v>
      </c>
      <c r="B32" s="37" t="s">
        <v>100</v>
      </c>
      <c r="C32" s="190" t="s">
        <v>105</v>
      </c>
      <c r="D32" s="190"/>
      <c r="E32" s="37">
        <v>25.98</v>
      </c>
      <c r="F32" s="4">
        <v>2299</v>
      </c>
      <c r="G32" s="4">
        <v>59728.020000000004</v>
      </c>
      <c r="H32" s="22" t="s">
        <v>139</v>
      </c>
      <c r="I32" s="16">
        <v>21</v>
      </c>
      <c r="J32" s="18">
        <v>2400</v>
      </c>
      <c r="K32" s="17">
        <f t="shared" si="0"/>
        <v>114.28571428571429</v>
      </c>
      <c r="L32" s="16">
        <v>21</v>
      </c>
      <c r="M32" s="18">
        <f t="shared" si="19"/>
        <v>2298.9999999999991</v>
      </c>
      <c r="N32" s="17">
        <f t="shared" si="2"/>
        <v>109.47619047619044</v>
      </c>
      <c r="O32" s="19">
        <f t="shared" si="3"/>
        <v>0</v>
      </c>
      <c r="P32" s="20">
        <f t="shared" si="4"/>
        <v>-4.8095238095238528</v>
      </c>
      <c r="Q32" s="21">
        <f t="shared" si="5"/>
        <v>0.95791666666666631</v>
      </c>
      <c r="R32" s="172"/>
      <c r="S32" s="28">
        <v>0.41180555555555554</v>
      </c>
      <c r="T32" s="28">
        <v>0.45347222222222222</v>
      </c>
      <c r="U32" s="4">
        <f t="shared" si="21"/>
        <v>7.9999999999999716</v>
      </c>
      <c r="V32" s="22">
        <f t="shared" si="20"/>
        <v>60.000000000000028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-101.00000000000091</v>
      </c>
      <c r="AF32" s="21">
        <f t="shared" si="8"/>
        <v>0.95791666666666631</v>
      </c>
      <c r="AG32" s="172"/>
    </row>
    <row r="33" spans="1:33" ht="15.75" customHeight="1">
      <c r="A33" s="193" t="s">
        <v>61</v>
      </c>
      <c r="B33" s="37" t="s">
        <v>48</v>
      </c>
      <c r="C33" s="177"/>
      <c r="D33" s="177"/>
      <c r="E33" s="38"/>
      <c r="F33" s="4"/>
      <c r="G33" s="4"/>
      <c r="H33" s="4"/>
      <c r="I33" s="30">
        <v>18.2</v>
      </c>
      <c r="J33" s="18">
        <v>2400</v>
      </c>
      <c r="K33" s="17">
        <f t="shared" si="0"/>
        <v>131.86813186813188</v>
      </c>
      <c r="L33" s="30">
        <v>18.2</v>
      </c>
      <c r="M33" s="18">
        <f>AVERAGE(M28:M32)</f>
        <v>2296.235953194574</v>
      </c>
      <c r="N33" s="17">
        <f t="shared" si="2"/>
        <v>126.16681061508649</v>
      </c>
      <c r="O33" s="19">
        <f t="shared" si="3"/>
        <v>0</v>
      </c>
      <c r="P33" s="20">
        <f t="shared" si="4"/>
        <v>-5.7013212530453927</v>
      </c>
      <c r="Q33" s="21">
        <f t="shared" si="5"/>
        <v>0.95676498049773906</v>
      </c>
      <c r="R33" s="172"/>
      <c r="S33" s="28"/>
      <c r="T33" s="28"/>
      <c r="U33" s="4"/>
      <c r="V33" s="22"/>
      <c r="W33" s="4"/>
      <c r="X33" s="4"/>
      <c r="Y33" s="31">
        <f>SUM(Y28:Y32)</f>
        <v>0</v>
      </c>
      <c r="Z33" s="31">
        <f>SUM(Z28:Z32)</f>
        <v>0</v>
      </c>
      <c r="AA33" s="168"/>
      <c r="AB33" s="168"/>
      <c r="AC33" s="31">
        <v>5</v>
      </c>
      <c r="AD33" s="31">
        <f>SUM(AD28:AD32)</f>
        <v>0</v>
      </c>
      <c r="AE33" s="19">
        <f t="shared" si="7"/>
        <v>-103.76404680542601</v>
      </c>
      <c r="AF33" s="21">
        <f t="shared" si="8"/>
        <v>0.95676498049773917</v>
      </c>
      <c r="AG33" s="172"/>
    </row>
    <row r="34" spans="1:33" ht="15.75" customHeight="1">
      <c r="A34" s="191" t="s">
        <v>65</v>
      </c>
      <c r="B34" s="37" t="s">
        <v>100</v>
      </c>
      <c r="C34" s="165" t="s">
        <v>106</v>
      </c>
      <c r="D34" s="165"/>
      <c r="E34" s="37">
        <v>26.2</v>
      </c>
      <c r="F34" s="4">
        <v>4623</v>
      </c>
      <c r="G34" s="4">
        <v>121122.59999999999</v>
      </c>
      <c r="H34" s="22" t="s">
        <v>139</v>
      </c>
      <c r="I34" s="16">
        <v>18</v>
      </c>
      <c r="J34" s="18">
        <v>2400</v>
      </c>
      <c r="K34" s="17">
        <f t="shared" si="0"/>
        <v>133.33333333333334</v>
      </c>
      <c r="L34" s="16">
        <v>18</v>
      </c>
      <c r="M34" s="18">
        <f t="shared" ref="M34:M38" si="22">F34/V34*60</f>
        <v>2292.3966942148763</v>
      </c>
      <c r="N34" s="17">
        <f t="shared" si="2"/>
        <v>127.35537190082647</v>
      </c>
      <c r="O34" s="19">
        <f t="shared" si="3"/>
        <v>0</v>
      </c>
      <c r="P34" s="20">
        <f t="shared" si="4"/>
        <v>-5.9779614325068735</v>
      </c>
      <c r="Q34" s="21">
        <f t="shared" si="5"/>
        <v>0.95516528925619848</v>
      </c>
      <c r="R34" s="172">
        <f>Q39</f>
        <v>0.95782713083335358</v>
      </c>
      <c r="S34" s="28">
        <v>8.3333333333333329E-2</v>
      </c>
      <c r="T34" s="28">
        <v>0.1673611111111111</v>
      </c>
      <c r="U34" s="4"/>
      <c r="V34" s="22">
        <f t="shared" ref="V34:V38" si="23">(T34-S34)*24*60</f>
        <v>121</v>
      </c>
      <c r="W34" s="28">
        <f>T34</f>
        <v>0.1673611111111111</v>
      </c>
      <c r="X34" s="28">
        <f>S35</f>
        <v>0.18680555555555553</v>
      </c>
      <c r="Y34" s="28"/>
      <c r="Z34" s="28"/>
      <c r="AA34" s="164"/>
      <c r="AB34" s="164"/>
      <c r="AC34" s="25">
        <v>5</v>
      </c>
      <c r="AD34" s="25"/>
      <c r="AE34" s="19">
        <f t="shared" si="7"/>
        <v>-107.60330578512367</v>
      </c>
      <c r="AF34" s="21">
        <f t="shared" si="8"/>
        <v>0.95516528925619848</v>
      </c>
      <c r="AG34" s="172">
        <f>AF39</f>
        <v>0.95782713083335347</v>
      </c>
    </row>
    <row r="35" spans="1:33" ht="15.75" customHeight="1">
      <c r="A35" s="191" t="s">
        <v>65</v>
      </c>
      <c r="B35" s="37" t="s">
        <v>100</v>
      </c>
      <c r="C35" s="165" t="s">
        <v>107</v>
      </c>
      <c r="D35" s="165"/>
      <c r="E35" s="37">
        <v>26.18</v>
      </c>
      <c r="F35" s="4">
        <v>1592</v>
      </c>
      <c r="G35" s="4">
        <v>41678.559999999998</v>
      </c>
      <c r="H35" s="22" t="s">
        <v>139</v>
      </c>
      <c r="I35" s="16">
        <v>19</v>
      </c>
      <c r="J35" s="18">
        <v>2400</v>
      </c>
      <c r="K35" s="17">
        <f t="shared" si="0"/>
        <v>126.31578947368421</v>
      </c>
      <c r="L35" s="16">
        <v>19</v>
      </c>
      <c r="M35" s="18">
        <f t="shared" si="22"/>
        <v>2329.7560975609749</v>
      </c>
      <c r="N35" s="17">
        <f t="shared" si="2"/>
        <v>122.61874197689342</v>
      </c>
      <c r="O35" s="19">
        <f t="shared" si="3"/>
        <v>0</v>
      </c>
      <c r="P35" s="20">
        <f t="shared" si="4"/>
        <v>-3.6970474967907876</v>
      </c>
      <c r="Q35" s="21">
        <f t="shared" si="5"/>
        <v>0.97073170731707292</v>
      </c>
      <c r="R35" s="172"/>
      <c r="S35" s="28">
        <v>0.18680555555555553</v>
      </c>
      <c r="T35" s="28">
        <v>0.21527777777777776</v>
      </c>
      <c r="U35" s="4">
        <f t="shared" ref="U35:U38" si="24">(S35-T34)*24*60</f>
        <v>27.999999999999979</v>
      </c>
      <c r="V35" s="22">
        <f t="shared" si="23"/>
        <v>41.000000000000014</v>
      </c>
      <c r="W35" s="4"/>
      <c r="X35" s="4"/>
      <c r="Y35" s="4"/>
      <c r="Z35" s="4"/>
      <c r="AA35" s="164"/>
      <c r="AB35" s="164"/>
      <c r="AC35" s="25"/>
      <c r="AD35" s="25"/>
      <c r="AE35" s="19">
        <f t="shared" si="7"/>
        <v>-70.243902439025078</v>
      </c>
      <c r="AF35" s="21">
        <f t="shared" si="8"/>
        <v>0.97073170731707292</v>
      </c>
      <c r="AG35" s="172"/>
    </row>
    <row r="36" spans="1:33">
      <c r="A36" s="192" t="s">
        <v>65</v>
      </c>
      <c r="B36" s="37" t="s">
        <v>100</v>
      </c>
      <c r="C36" s="165" t="s">
        <v>108</v>
      </c>
      <c r="D36" s="165"/>
      <c r="E36" s="37">
        <v>26.39</v>
      </c>
      <c r="F36" s="4">
        <v>4224</v>
      </c>
      <c r="G36" s="4">
        <v>111471.36</v>
      </c>
      <c r="H36" s="22" t="s">
        <v>139</v>
      </c>
      <c r="I36" s="16">
        <v>19</v>
      </c>
      <c r="J36" s="18">
        <v>2400</v>
      </c>
      <c r="K36" s="17">
        <f t="shared" si="0"/>
        <v>126.31578947368421</v>
      </c>
      <c r="L36" s="16">
        <v>19</v>
      </c>
      <c r="M36" s="18">
        <f t="shared" si="22"/>
        <v>2283.2432432432438</v>
      </c>
      <c r="N36" s="17">
        <f t="shared" si="2"/>
        <v>120.17069701280231</v>
      </c>
      <c r="O36" s="19">
        <f t="shared" si="3"/>
        <v>0</v>
      </c>
      <c r="P36" s="20">
        <f t="shared" si="4"/>
        <v>-6.145092460881898</v>
      </c>
      <c r="Q36" s="21">
        <f t="shared" si="5"/>
        <v>0.95135135135135163</v>
      </c>
      <c r="R36" s="172"/>
      <c r="S36" s="28">
        <v>0.21874999999999997</v>
      </c>
      <c r="T36" s="28">
        <v>0.29583333333333328</v>
      </c>
      <c r="U36" s="4">
        <f t="shared" si="24"/>
        <v>4.9999999999999822</v>
      </c>
      <c r="V36" s="22">
        <f t="shared" si="23"/>
        <v>110.99999999999997</v>
      </c>
      <c r="W36" s="4"/>
      <c r="X36" s="4"/>
      <c r="Y36" s="4"/>
      <c r="Z36" s="4"/>
      <c r="AA36" s="164"/>
      <c r="AB36" s="164"/>
      <c r="AC36" s="25"/>
      <c r="AD36" s="25"/>
      <c r="AE36" s="19">
        <f t="shared" si="7"/>
        <v>-116.7567567567562</v>
      </c>
      <c r="AF36" s="21">
        <f t="shared" si="8"/>
        <v>0.95135135135135163</v>
      </c>
      <c r="AG36" s="172"/>
    </row>
    <row r="37" spans="1:33">
      <c r="A37" s="192" t="s">
        <v>65</v>
      </c>
      <c r="B37" s="37" t="s">
        <v>100</v>
      </c>
      <c r="C37" s="165" t="s">
        <v>109</v>
      </c>
      <c r="D37" s="165"/>
      <c r="E37" s="37">
        <v>24.45</v>
      </c>
      <c r="F37" s="4">
        <v>2373</v>
      </c>
      <c r="G37" s="4">
        <v>58019.85</v>
      </c>
      <c r="H37" s="22" t="s">
        <v>139</v>
      </c>
      <c r="I37" s="16">
        <v>20</v>
      </c>
      <c r="J37" s="18">
        <v>2400</v>
      </c>
      <c r="K37" s="17">
        <f t="shared" si="0"/>
        <v>120</v>
      </c>
      <c r="L37" s="16">
        <v>20</v>
      </c>
      <c r="M37" s="18">
        <f t="shared" si="22"/>
        <v>2296.4516129032249</v>
      </c>
      <c r="N37" s="17">
        <f t="shared" si="2"/>
        <v>114.82258064516125</v>
      </c>
      <c r="O37" s="19">
        <f t="shared" si="3"/>
        <v>0</v>
      </c>
      <c r="P37" s="20">
        <f t="shared" si="4"/>
        <v>-5.1774193548387473</v>
      </c>
      <c r="Q37" s="21">
        <f t="shared" si="5"/>
        <v>0.95685483870967714</v>
      </c>
      <c r="R37" s="172"/>
      <c r="S37" s="28">
        <v>0.30138888888888882</v>
      </c>
      <c r="T37" s="28">
        <v>0.34444444444444439</v>
      </c>
      <c r="U37" s="4">
        <f t="shared" si="24"/>
        <v>7.9999999999999716</v>
      </c>
      <c r="V37" s="22">
        <f t="shared" si="23"/>
        <v>62.000000000000021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7"/>
        <v>-103.54838709677506</v>
      </c>
      <c r="AF37" s="21">
        <f t="shared" si="8"/>
        <v>0.95685483870967702</v>
      </c>
      <c r="AG37" s="172"/>
    </row>
    <row r="38" spans="1:33">
      <c r="A38" s="192" t="s">
        <v>65</v>
      </c>
      <c r="B38" s="37" t="s">
        <v>100</v>
      </c>
      <c r="C38" s="165" t="s">
        <v>110</v>
      </c>
      <c r="D38" s="165"/>
      <c r="E38" s="37">
        <v>22.69</v>
      </c>
      <c r="F38" s="4">
        <v>5883</v>
      </c>
      <c r="G38" s="4">
        <v>133485.27000000002</v>
      </c>
      <c r="H38" s="22" t="s">
        <v>139</v>
      </c>
      <c r="I38" s="16">
        <v>16</v>
      </c>
      <c r="J38" s="18">
        <v>2400</v>
      </c>
      <c r="K38" s="17">
        <f t="shared" si="0"/>
        <v>150</v>
      </c>
      <c r="L38" s="16">
        <v>16</v>
      </c>
      <c r="M38" s="18">
        <f t="shared" si="22"/>
        <v>2292.0779220779223</v>
      </c>
      <c r="N38" s="17">
        <f t="shared" si="2"/>
        <v>143.25487012987014</v>
      </c>
      <c r="O38" s="19">
        <f t="shared" si="3"/>
        <v>0</v>
      </c>
      <c r="P38" s="20">
        <f t="shared" si="4"/>
        <v>-6.7451298701298583</v>
      </c>
      <c r="Q38" s="21">
        <f t="shared" si="5"/>
        <v>0.95503246753246762</v>
      </c>
      <c r="R38" s="172"/>
      <c r="S38" s="28">
        <v>0.34999999999999992</v>
      </c>
      <c r="T38" s="28">
        <v>0.45694444444444438</v>
      </c>
      <c r="U38" s="4">
        <f t="shared" si="24"/>
        <v>7.9999999999999716</v>
      </c>
      <c r="V38" s="22">
        <f t="shared" si="23"/>
        <v>154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7"/>
        <v>-107.92207792207773</v>
      </c>
      <c r="AF38" s="21">
        <f t="shared" si="8"/>
        <v>0.95503246753246762</v>
      </c>
      <c r="AG38" s="172"/>
    </row>
    <row r="39" spans="1:33">
      <c r="A39" s="192" t="s">
        <v>65</v>
      </c>
      <c r="B39" s="17" t="s">
        <v>48</v>
      </c>
      <c r="C39" s="177"/>
      <c r="D39" s="177"/>
      <c r="E39" s="38"/>
      <c r="F39" s="17"/>
      <c r="G39" s="17"/>
      <c r="H39" s="4"/>
      <c r="I39" s="30">
        <v>18.399999999999999</v>
      </c>
      <c r="J39" s="18">
        <v>2400</v>
      </c>
      <c r="K39" s="17">
        <f t="shared" si="0"/>
        <v>130.43478260869566</v>
      </c>
      <c r="L39" s="30">
        <v>18.399999999999999</v>
      </c>
      <c r="M39" s="18">
        <f>AVERAGE(M34:M38)</f>
        <v>2298.7851140000485</v>
      </c>
      <c r="N39" s="17">
        <f t="shared" si="2"/>
        <v>124.93397358695917</v>
      </c>
      <c r="O39" s="19">
        <f t="shared" si="3"/>
        <v>0</v>
      </c>
      <c r="P39" s="20">
        <f t="shared" si="4"/>
        <v>-5.5008090217364867</v>
      </c>
      <c r="Q39" s="21">
        <f t="shared" si="5"/>
        <v>0.95782713083335358</v>
      </c>
      <c r="R39" s="172"/>
      <c r="S39" s="28"/>
      <c r="T39" s="28"/>
      <c r="U39" s="17"/>
      <c r="V39" s="22"/>
      <c r="W39" s="17"/>
      <c r="X39" s="17"/>
      <c r="Y39" s="31">
        <f>SUM(Y34:Y38)</f>
        <v>0</v>
      </c>
      <c r="Z39" s="31">
        <f>SUM(Z34:Z38)</f>
        <v>0</v>
      </c>
      <c r="AA39" s="168"/>
      <c r="AB39" s="168"/>
      <c r="AC39" s="31">
        <v>5</v>
      </c>
      <c r="AD39" s="31">
        <f>SUM(AD34:AD38)</f>
        <v>0</v>
      </c>
      <c r="AE39" s="19">
        <f t="shared" si="7"/>
        <v>-101.21488599995155</v>
      </c>
      <c r="AF39" s="21">
        <f t="shared" si="8"/>
        <v>0.95782713083335347</v>
      </c>
      <c r="AG39" s="172"/>
    </row>
    <row r="40" spans="1:33" ht="15.75" customHeight="1">
      <c r="A40" s="184" t="s">
        <v>66</v>
      </c>
      <c r="B40" s="37" t="s">
        <v>111</v>
      </c>
      <c r="C40" s="173" t="s">
        <v>403</v>
      </c>
      <c r="D40" s="174"/>
      <c r="E40" s="37">
        <v>34.36</v>
      </c>
      <c r="F40" s="4">
        <v>3052</v>
      </c>
      <c r="G40" s="4">
        <v>104866.72</v>
      </c>
      <c r="H40" s="22" t="s">
        <v>139</v>
      </c>
      <c r="I40" s="16">
        <v>10</v>
      </c>
      <c r="J40" s="18">
        <v>3000</v>
      </c>
      <c r="K40" s="17">
        <f t="shared" si="0"/>
        <v>300</v>
      </c>
      <c r="L40" s="16">
        <v>10</v>
      </c>
      <c r="M40" s="18">
        <f t="shared" ref="M40:M46" si="25">F40/V40*60</f>
        <v>2861.2500000000005</v>
      </c>
      <c r="N40" s="18">
        <f t="shared" si="2"/>
        <v>286.12500000000006</v>
      </c>
      <c r="O40" s="19">
        <f t="shared" si="3"/>
        <v>0</v>
      </c>
      <c r="P40" s="20">
        <f t="shared" si="4"/>
        <v>-13.874999999999943</v>
      </c>
      <c r="Q40" s="21">
        <f t="shared" si="5"/>
        <v>0.95375000000000021</v>
      </c>
      <c r="R40" s="187">
        <f>Q47</f>
        <v>0.95828436416145946</v>
      </c>
      <c r="S40" s="28">
        <v>8.3333333333333329E-2</v>
      </c>
      <c r="T40" s="28">
        <v>0.12777777777777777</v>
      </c>
      <c r="U40" s="28"/>
      <c r="V40" s="22">
        <f t="shared" ref="V40:V46" si="26">(T40-S40)*24*60</f>
        <v>63.999999999999986</v>
      </c>
      <c r="W40" s="23">
        <f>T40</f>
        <v>0.12777777777777777</v>
      </c>
      <c r="X40" s="23">
        <f>S41</f>
        <v>0.14583333333333331</v>
      </c>
      <c r="Y40" s="26"/>
      <c r="Z40" s="26"/>
      <c r="AA40" s="175"/>
      <c r="AB40" s="176"/>
      <c r="AC40" s="25">
        <v>7</v>
      </c>
      <c r="AD40" s="25"/>
      <c r="AE40" s="19">
        <f t="shared" si="7"/>
        <v>-138.74999999999955</v>
      </c>
      <c r="AF40" s="21">
        <f t="shared" si="8"/>
        <v>0.9537500000000001</v>
      </c>
      <c r="AG40" s="187">
        <f>AF47</f>
        <v>0.95828436416145946</v>
      </c>
    </row>
    <row r="41" spans="1:33" ht="15.75" customHeight="1">
      <c r="A41" s="185" t="s">
        <v>66</v>
      </c>
      <c r="B41" s="37" t="s">
        <v>111</v>
      </c>
      <c r="C41" s="173" t="s">
        <v>114</v>
      </c>
      <c r="D41" s="174"/>
      <c r="E41" s="37">
        <v>35.119999999999997</v>
      </c>
      <c r="F41" s="4">
        <v>4025</v>
      </c>
      <c r="G41" s="4">
        <v>141358</v>
      </c>
      <c r="H41" s="22" t="s">
        <v>139</v>
      </c>
      <c r="I41" s="16">
        <v>10</v>
      </c>
      <c r="J41" s="18">
        <v>3000</v>
      </c>
      <c r="K41" s="17">
        <f t="shared" si="0"/>
        <v>300</v>
      </c>
      <c r="L41" s="16">
        <v>10</v>
      </c>
      <c r="M41" s="18">
        <f t="shared" si="25"/>
        <v>2875.0000000000005</v>
      </c>
      <c r="N41" s="18">
        <f t="shared" si="2"/>
        <v>287.50000000000006</v>
      </c>
      <c r="O41" s="19">
        <f t="shared" si="3"/>
        <v>0</v>
      </c>
      <c r="P41" s="20">
        <f t="shared" si="4"/>
        <v>-12.499999999999943</v>
      </c>
      <c r="Q41" s="21">
        <f t="shared" si="5"/>
        <v>0.95833333333333348</v>
      </c>
      <c r="R41" s="188"/>
      <c r="S41" s="28">
        <v>0.14583333333333331</v>
      </c>
      <c r="T41" s="28">
        <v>0.20416666666666664</v>
      </c>
      <c r="U41" s="4">
        <f t="shared" ref="U41:U46" si="27">(S41-T40)*24*60</f>
        <v>25.999999999999986</v>
      </c>
      <c r="V41" s="22">
        <f t="shared" si="26"/>
        <v>83.999999999999986</v>
      </c>
      <c r="W41" s="23"/>
      <c r="X41" s="23"/>
      <c r="Y41" s="26"/>
      <c r="Z41" s="26"/>
      <c r="AA41" s="175"/>
      <c r="AB41" s="176"/>
      <c r="AC41" s="25" t="s">
        <v>139</v>
      </c>
      <c r="AD41" s="25"/>
      <c r="AE41" s="19">
        <f t="shared" si="7"/>
        <v>-124.99999999999955</v>
      </c>
      <c r="AF41" s="21">
        <f t="shared" si="8"/>
        <v>0.95833333333333348</v>
      </c>
      <c r="AG41" s="188"/>
    </row>
    <row r="42" spans="1:33" ht="15.75" customHeight="1">
      <c r="A42" s="185" t="s">
        <v>66</v>
      </c>
      <c r="B42" s="37" t="s">
        <v>111</v>
      </c>
      <c r="C42" s="173" t="s">
        <v>115</v>
      </c>
      <c r="D42" s="174"/>
      <c r="E42" s="37">
        <v>26.78</v>
      </c>
      <c r="F42" s="4">
        <v>1907</v>
      </c>
      <c r="G42" s="4">
        <v>51069.46</v>
      </c>
      <c r="H42" s="22" t="s">
        <v>139</v>
      </c>
      <c r="I42" s="16">
        <v>10</v>
      </c>
      <c r="J42" s="18">
        <v>3000</v>
      </c>
      <c r="K42" s="17">
        <f t="shared" si="0"/>
        <v>300</v>
      </c>
      <c r="L42" s="16">
        <v>10</v>
      </c>
      <c r="M42" s="18">
        <f t="shared" si="25"/>
        <v>2860.4999999999991</v>
      </c>
      <c r="N42" s="18">
        <f t="shared" si="2"/>
        <v>286.0499999999999</v>
      </c>
      <c r="O42" s="19">
        <f t="shared" si="3"/>
        <v>0</v>
      </c>
      <c r="P42" s="20">
        <f t="shared" si="4"/>
        <v>-13.950000000000102</v>
      </c>
      <c r="Q42" s="21">
        <f t="shared" si="5"/>
        <v>0.95349999999999968</v>
      </c>
      <c r="R42" s="188"/>
      <c r="S42" s="28">
        <v>0.20833333333333331</v>
      </c>
      <c r="T42" s="28">
        <v>0.2361111111111111</v>
      </c>
      <c r="U42" s="4">
        <f t="shared" si="27"/>
        <v>6.0000000000000187</v>
      </c>
      <c r="V42" s="22">
        <f t="shared" si="26"/>
        <v>40.000000000000014</v>
      </c>
      <c r="W42" s="23"/>
      <c r="X42" s="23"/>
      <c r="Y42" s="26"/>
      <c r="Z42" s="26"/>
      <c r="AA42" s="175"/>
      <c r="AB42" s="176"/>
      <c r="AC42" s="25" t="s">
        <v>139</v>
      </c>
      <c r="AD42" s="25"/>
      <c r="AE42" s="19">
        <f t="shared" si="7"/>
        <v>-139.50000000000091</v>
      </c>
      <c r="AF42" s="21">
        <f t="shared" si="8"/>
        <v>0.95349999999999968</v>
      </c>
      <c r="AG42" s="188"/>
    </row>
    <row r="43" spans="1:33" ht="15.75" customHeight="1">
      <c r="A43" s="185" t="s">
        <v>66</v>
      </c>
      <c r="B43" s="37" t="s">
        <v>111</v>
      </c>
      <c r="C43" s="173" t="s">
        <v>116</v>
      </c>
      <c r="D43" s="174"/>
      <c r="E43" s="37">
        <v>35.869999999999997</v>
      </c>
      <c r="F43" s="4">
        <v>2710</v>
      </c>
      <c r="G43" s="4">
        <v>97207.7</v>
      </c>
      <c r="H43" s="22" t="s">
        <v>139</v>
      </c>
      <c r="I43" s="16">
        <v>9</v>
      </c>
      <c r="J43" s="18">
        <v>3000</v>
      </c>
      <c r="K43" s="17">
        <f t="shared" si="0"/>
        <v>333.33333333333331</v>
      </c>
      <c r="L43" s="16">
        <v>9</v>
      </c>
      <c r="M43" s="18">
        <f t="shared" si="25"/>
        <v>2852.6315789473683</v>
      </c>
      <c r="N43" s="18">
        <f t="shared" si="2"/>
        <v>316.95906432748535</v>
      </c>
      <c r="O43" s="19">
        <f t="shared" si="3"/>
        <v>0</v>
      </c>
      <c r="P43" s="20">
        <f t="shared" si="4"/>
        <v>-16.374269005847964</v>
      </c>
      <c r="Q43" s="21">
        <f t="shared" si="5"/>
        <v>0.9508771929824561</v>
      </c>
      <c r="R43" s="188"/>
      <c r="S43" s="28">
        <v>0.24027777777777778</v>
      </c>
      <c r="T43" s="28">
        <v>0.27986111111111112</v>
      </c>
      <c r="U43" s="4">
        <f t="shared" si="27"/>
        <v>6.0000000000000187</v>
      </c>
      <c r="V43" s="22">
        <f t="shared" si="26"/>
        <v>57</v>
      </c>
      <c r="W43" s="23"/>
      <c r="X43" s="23"/>
      <c r="Y43" s="26"/>
      <c r="Z43" s="26"/>
      <c r="AA43" s="175"/>
      <c r="AB43" s="176"/>
      <c r="AC43" s="25" t="s">
        <v>139</v>
      </c>
      <c r="AD43" s="25"/>
      <c r="AE43" s="19">
        <f t="shared" si="7"/>
        <v>-147.36842105263167</v>
      </c>
      <c r="AF43" s="21">
        <f t="shared" si="8"/>
        <v>0.9508771929824561</v>
      </c>
      <c r="AG43" s="188"/>
    </row>
    <row r="44" spans="1:33" ht="15.75" customHeight="1">
      <c r="A44" s="185" t="s">
        <v>66</v>
      </c>
      <c r="B44" s="37" t="s">
        <v>111</v>
      </c>
      <c r="C44" s="173" t="s">
        <v>117</v>
      </c>
      <c r="D44" s="174"/>
      <c r="E44" s="37">
        <v>44.03</v>
      </c>
      <c r="F44" s="4">
        <v>1318</v>
      </c>
      <c r="G44" s="4">
        <v>58031.54</v>
      </c>
      <c r="H44" s="22" t="s">
        <v>139</v>
      </c>
      <c r="I44" s="16">
        <v>10</v>
      </c>
      <c r="J44" s="18">
        <v>3000</v>
      </c>
      <c r="K44" s="17">
        <f t="shared" si="0"/>
        <v>300</v>
      </c>
      <c r="L44" s="16">
        <v>10</v>
      </c>
      <c r="M44" s="18">
        <f t="shared" si="25"/>
        <v>2928.8888888888905</v>
      </c>
      <c r="N44" s="18">
        <f t="shared" si="2"/>
        <v>292.88888888888903</v>
      </c>
      <c r="O44" s="19">
        <f t="shared" si="3"/>
        <v>0</v>
      </c>
      <c r="P44" s="20">
        <f t="shared" si="4"/>
        <v>-7.1111111111109722</v>
      </c>
      <c r="Q44" s="21">
        <f t="shared" si="5"/>
        <v>0.97629629629629677</v>
      </c>
      <c r="R44" s="188"/>
      <c r="S44" s="28">
        <v>0.28541666666666665</v>
      </c>
      <c r="T44" s="28">
        <v>0.30416666666666664</v>
      </c>
      <c r="U44" s="4">
        <f t="shared" si="27"/>
        <v>7.9999999999999716</v>
      </c>
      <c r="V44" s="22">
        <f t="shared" si="26"/>
        <v>26.999999999999986</v>
      </c>
      <c r="W44" s="23"/>
      <c r="X44" s="23"/>
      <c r="Y44" s="26"/>
      <c r="Z44" s="26"/>
      <c r="AA44" s="175"/>
      <c r="AB44" s="176"/>
      <c r="AC44" s="25" t="s">
        <v>139</v>
      </c>
      <c r="AD44" s="25"/>
      <c r="AE44" s="19">
        <f t="shared" si="7"/>
        <v>-71.111111111109494</v>
      </c>
      <c r="AF44" s="21">
        <f t="shared" si="8"/>
        <v>0.97629629629629688</v>
      </c>
      <c r="AG44" s="188"/>
    </row>
    <row r="45" spans="1:33" ht="15.75" customHeight="1">
      <c r="A45" s="185" t="s">
        <v>66</v>
      </c>
      <c r="B45" s="37" t="s">
        <v>111</v>
      </c>
      <c r="C45" s="173" t="s">
        <v>112</v>
      </c>
      <c r="D45" s="174"/>
      <c r="E45" s="37">
        <v>21.13</v>
      </c>
      <c r="F45" s="4">
        <v>4022</v>
      </c>
      <c r="G45" s="4">
        <v>84984.86</v>
      </c>
      <c r="H45" s="22" t="s">
        <v>139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2872.8571428571418</v>
      </c>
      <c r="N45" s="18">
        <f t="shared" si="2"/>
        <v>287.28571428571416</v>
      </c>
      <c r="O45" s="19">
        <f t="shared" si="3"/>
        <v>0</v>
      </c>
      <c r="P45" s="20">
        <f t="shared" si="4"/>
        <v>-12.714285714285836</v>
      </c>
      <c r="Q45" s="21">
        <f t="shared" si="5"/>
        <v>0.95761904761904726</v>
      </c>
      <c r="R45" s="188"/>
      <c r="S45" s="28">
        <v>0.30972222222222218</v>
      </c>
      <c r="T45" s="28">
        <v>0.36805555555555552</v>
      </c>
      <c r="U45" s="4">
        <f t="shared" si="27"/>
        <v>7.9999999999999716</v>
      </c>
      <c r="V45" s="22">
        <f t="shared" si="26"/>
        <v>84.000000000000028</v>
      </c>
      <c r="W45" s="23"/>
      <c r="X45" s="23"/>
      <c r="Y45" s="26"/>
      <c r="Z45" s="26"/>
      <c r="AA45" s="175"/>
      <c r="AB45" s="176"/>
      <c r="AC45" s="25" t="s">
        <v>139</v>
      </c>
      <c r="AD45" s="25"/>
      <c r="AE45" s="19">
        <f t="shared" si="7"/>
        <v>-127.14285714285825</v>
      </c>
      <c r="AF45" s="21">
        <f t="shared" si="8"/>
        <v>0.95761904761904726</v>
      </c>
      <c r="AG45" s="188"/>
    </row>
    <row r="46" spans="1:33" ht="15.75" customHeight="1">
      <c r="A46" s="185" t="s">
        <v>66</v>
      </c>
      <c r="B46" s="37" t="s">
        <v>111</v>
      </c>
      <c r="C46" s="173" t="s">
        <v>113</v>
      </c>
      <c r="D46" s="174"/>
      <c r="E46" s="37">
        <v>27.17</v>
      </c>
      <c r="F46" s="4">
        <v>5219</v>
      </c>
      <c r="G46" s="4">
        <v>141800.23000000001</v>
      </c>
      <c r="H46" s="22" t="s">
        <v>139</v>
      </c>
      <c r="I46" s="16">
        <v>10</v>
      </c>
      <c r="J46" s="18">
        <v>3000</v>
      </c>
      <c r="K46" s="17">
        <f t="shared" si="0"/>
        <v>300</v>
      </c>
      <c r="L46" s="16">
        <v>10</v>
      </c>
      <c r="M46" s="18">
        <f t="shared" si="25"/>
        <v>2872.8440366972472</v>
      </c>
      <c r="N46" s="18">
        <f t="shared" si="2"/>
        <v>287.28440366972472</v>
      </c>
      <c r="O46" s="19">
        <f t="shared" si="3"/>
        <v>0</v>
      </c>
      <c r="P46" s="20">
        <f t="shared" si="4"/>
        <v>-12.715596330275275</v>
      </c>
      <c r="Q46" s="21">
        <f t="shared" si="5"/>
        <v>0.95761467889908236</v>
      </c>
      <c r="R46" s="188"/>
      <c r="S46" s="28">
        <v>0.37291666666666662</v>
      </c>
      <c r="T46" s="28">
        <v>0.44861111111111107</v>
      </c>
      <c r="U46" s="4">
        <f t="shared" si="27"/>
        <v>6.9999999999999751</v>
      </c>
      <c r="V46" s="22">
        <f t="shared" si="26"/>
        <v>109.00000000000001</v>
      </c>
      <c r="W46" s="23"/>
      <c r="X46" s="23"/>
      <c r="Y46" s="26"/>
      <c r="Z46" s="26"/>
      <c r="AA46" s="175"/>
      <c r="AB46" s="176"/>
      <c r="AC46" s="25" t="s">
        <v>139</v>
      </c>
      <c r="AD46" s="25"/>
      <c r="AE46" s="19">
        <f t="shared" si="7"/>
        <v>-127.15596330275275</v>
      </c>
      <c r="AF46" s="21">
        <f t="shared" si="8"/>
        <v>0.95761467889908236</v>
      </c>
      <c r="AG46" s="188"/>
    </row>
    <row r="47" spans="1:33" ht="15.75" customHeight="1">
      <c r="A47" s="186" t="s">
        <v>66</v>
      </c>
      <c r="B47" s="37" t="s">
        <v>48</v>
      </c>
      <c r="C47" s="166"/>
      <c r="D47" s="167"/>
      <c r="E47" s="41"/>
      <c r="F47" s="4"/>
      <c r="G47" s="4"/>
      <c r="H47" s="4"/>
      <c r="I47" s="30">
        <v>9.8571428571428577</v>
      </c>
      <c r="J47" s="18">
        <v>3000</v>
      </c>
      <c r="K47" s="17">
        <f t="shared" si="0"/>
        <v>304.3478260869565</v>
      </c>
      <c r="L47" s="30">
        <v>9.8571428571428577</v>
      </c>
      <c r="M47" s="18">
        <f>AVERAGE(M40:M46)</f>
        <v>2874.8530924843785</v>
      </c>
      <c r="N47" s="17">
        <f t="shared" si="2"/>
        <v>291.65176300566156</v>
      </c>
      <c r="O47" s="19">
        <f t="shared" si="3"/>
        <v>0</v>
      </c>
      <c r="P47" s="20">
        <f t="shared" si="4"/>
        <v>-12.696063081294938</v>
      </c>
      <c r="Q47" s="21">
        <f t="shared" si="5"/>
        <v>0.95828436416145946</v>
      </c>
      <c r="R47" s="189"/>
      <c r="S47" s="28"/>
      <c r="T47" s="28"/>
      <c r="U47" s="4"/>
      <c r="V47" s="22"/>
      <c r="W47" s="23"/>
      <c r="X47" s="23"/>
      <c r="Y47" s="31">
        <f>SUM(Y40:Y46)</f>
        <v>0</v>
      </c>
      <c r="Z47" s="31">
        <f>SUM(Z40:Z46)</f>
        <v>0</v>
      </c>
      <c r="AA47" s="180"/>
      <c r="AB47" s="181"/>
      <c r="AC47" s="31">
        <v>7</v>
      </c>
      <c r="AD47" s="31">
        <f>SUM(AD40:AD46)</f>
        <v>0</v>
      </c>
      <c r="AE47" s="19">
        <f t="shared" si="7"/>
        <v>-125.14690751562148</v>
      </c>
      <c r="AF47" s="21">
        <f t="shared" si="8"/>
        <v>0.95828436416145946</v>
      </c>
      <c r="AG47" s="189"/>
    </row>
    <row r="48" spans="1:33" ht="15.75" customHeight="1">
      <c r="A48" s="182" t="s">
        <v>70</v>
      </c>
      <c r="B48" s="37" t="s">
        <v>84</v>
      </c>
      <c r="C48" s="165" t="s">
        <v>118</v>
      </c>
      <c r="D48" s="165"/>
      <c r="E48" s="37">
        <v>46</v>
      </c>
      <c r="F48" s="42">
        <v>1022</v>
      </c>
      <c r="G48" s="4">
        <v>47012</v>
      </c>
      <c r="H48" s="22" t="s">
        <v>139</v>
      </c>
      <c r="I48" s="16">
        <v>17</v>
      </c>
      <c r="J48" s="18">
        <v>2000</v>
      </c>
      <c r="K48" s="17">
        <f t="shared" si="0"/>
        <v>117.64705882352941</v>
      </c>
      <c r="L48" s="16">
        <v>17</v>
      </c>
      <c r="M48" s="18">
        <f t="shared" ref="M48:M56" si="28">F48/V48*60</f>
        <v>1916.2499999999995</v>
      </c>
      <c r="N48" s="18">
        <f t="shared" si="2"/>
        <v>112.72058823529409</v>
      </c>
      <c r="O48" s="19">
        <f t="shared" si="3"/>
        <v>0</v>
      </c>
      <c r="P48" s="20">
        <f t="shared" si="4"/>
        <v>-4.9264705882353184</v>
      </c>
      <c r="Q48" s="21">
        <f t="shared" si="5"/>
        <v>0.95812499999999978</v>
      </c>
      <c r="R48" s="172">
        <f>Q57</f>
        <v>0.93353820466835713</v>
      </c>
      <c r="S48" s="28">
        <v>0.20833333333333334</v>
      </c>
      <c r="T48" s="28">
        <v>0.23055555555555557</v>
      </c>
      <c r="U48" s="28"/>
      <c r="V48" s="22">
        <f t="shared" ref="V48:V56" si="29">(T48-S48)*24*60</f>
        <v>32.000000000000007</v>
      </c>
      <c r="W48" s="28"/>
      <c r="X48" s="28"/>
      <c r="Y48" s="28"/>
      <c r="Z48" s="28"/>
      <c r="AA48" s="164"/>
      <c r="AB48" s="164"/>
      <c r="AC48" s="25">
        <v>9</v>
      </c>
      <c r="AD48" s="25"/>
      <c r="AE48" s="19">
        <f t="shared" si="7"/>
        <v>-83.750000000000455</v>
      </c>
      <c r="AF48" s="21">
        <f t="shared" si="8"/>
        <v>0.95812499999999978</v>
      </c>
      <c r="AG48" s="172">
        <f>AF57</f>
        <v>0.93353820466835713</v>
      </c>
    </row>
    <row r="49" spans="1:33" ht="15.75" customHeight="1">
      <c r="A49" s="182" t="s">
        <v>70</v>
      </c>
      <c r="B49" s="37" t="s">
        <v>84</v>
      </c>
      <c r="C49" s="165" t="s">
        <v>119</v>
      </c>
      <c r="D49" s="165"/>
      <c r="E49" s="37">
        <v>46</v>
      </c>
      <c r="F49" s="42">
        <v>1189</v>
      </c>
      <c r="G49" s="4">
        <v>54694</v>
      </c>
      <c r="H49" s="22" t="s">
        <v>139</v>
      </c>
      <c r="I49" s="16">
        <v>17</v>
      </c>
      <c r="J49" s="18">
        <v>2000</v>
      </c>
      <c r="K49" s="17">
        <f t="shared" si="0"/>
        <v>117.64705882352941</v>
      </c>
      <c r="L49" s="16">
        <v>17</v>
      </c>
      <c r="M49" s="18">
        <f t="shared" si="28"/>
        <v>1928.1081081081086</v>
      </c>
      <c r="N49" s="18">
        <f t="shared" si="2"/>
        <v>113.41812400635933</v>
      </c>
      <c r="O49" s="19">
        <f t="shared" si="3"/>
        <v>0</v>
      </c>
      <c r="P49" s="20">
        <f t="shared" si="4"/>
        <v>-4.2289348171700709</v>
      </c>
      <c r="Q49" s="21">
        <f t="shared" si="5"/>
        <v>0.96405405405405442</v>
      </c>
      <c r="R49" s="172"/>
      <c r="S49" s="28">
        <v>0.23541666666666669</v>
      </c>
      <c r="T49" s="28">
        <v>0.26111111111111113</v>
      </c>
      <c r="U49" s="4">
        <f t="shared" ref="U49:U56" si="30">IF(S49=TIME(17,0,0),"",(S49-T48)*24*60)</f>
        <v>7.0000000000000151</v>
      </c>
      <c r="V49" s="22">
        <f t="shared" si="29"/>
        <v>36.999999999999986</v>
      </c>
      <c r="W49" s="23"/>
      <c r="X49" s="23"/>
      <c r="Y49" s="23"/>
      <c r="Z49" s="23"/>
      <c r="AA49" s="164"/>
      <c r="AB49" s="164"/>
      <c r="AC49" s="25"/>
      <c r="AD49" s="25"/>
      <c r="AE49" s="19">
        <f t="shared" si="7"/>
        <v>-71.891891891891419</v>
      </c>
      <c r="AF49" s="21">
        <f t="shared" si="8"/>
        <v>0.96405405405405431</v>
      </c>
      <c r="AG49" s="172"/>
    </row>
    <row r="50" spans="1:33" ht="15.75" customHeight="1">
      <c r="A50" s="182" t="s">
        <v>70</v>
      </c>
      <c r="B50" s="37" t="s">
        <v>78</v>
      </c>
      <c r="C50" s="173" t="s">
        <v>120</v>
      </c>
      <c r="D50" s="174"/>
      <c r="E50" s="37">
        <v>56.43</v>
      </c>
      <c r="F50" s="42">
        <v>1490</v>
      </c>
      <c r="G50" s="4">
        <v>84080.7</v>
      </c>
      <c r="H50" s="22" t="s">
        <v>139</v>
      </c>
      <c r="I50" s="16">
        <v>22</v>
      </c>
      <c r="J50" s="18">
        <v>2000</v>
      </c>
      <c r="K50" s="17">
        <f t="shared" si="0"/>
        <v>90.909090909090907</v>
      </c>
      <c r="L50" s="16">
        <v>22</v>
      </c>
      <c r="M50" s="18">
        <f t="shared" si="28"/>
        <v>1752.941176470589</v>
      </c>
      <c r="N50" s="18">
        <f t="shared" si="2"/>
        <v>79.679144385026774</v>
      </c>
      <c r="O50" s="19">
        <f t="shared" si="3"/>
        <v>0</v>
      </c>
      <c r="P50" s="20">
        <f t="shared" si="4"/>
        <v>-11.229946524064133</v>
      </c>
      <c r="Q50" s="21">
        <f t="shared" si="5"/>
        <v>0.87647058823529456</v>
      </c>
      <c r="R50" s="172"/>
      <c r="S50" s="28">
        <v>0.26527777777777778</v>
      </c>
      <c r="T50" s="28">
        <v>0.30069444444444443</v>
      </c>
      <c r="U50" s="4">
        <f t="shared" si="30"/>
        <v>5.9999999999999787</v>
      </c>
      <c r="V50" s="22">
        <f t="shared" si="29"/>
        <v>50.999999999999979</v>
      </c>
      <c r="W50" s="23"/>
      <c r="X50" s="23"/>
      <c r="Y50" s="26"/>
      <c r="Z50" s="26"/>
      <c r="AA50" s="164"/>
      <c r="AB50" s="164"/>
      <c r="AC50" s="25"/>
      <c r="AD50" s="25"/>
      <c r="AE50" s="19">
        <f t="shared" si="7"/>
        <v>-247.05882352941103</v>
      </c>
      <c r="AF50" s="21">
        <f t="shared" si="8"/>
        <v>0.87647058823529445</v>
      </c>
      <c r="AG50" s="172"/>
    </row>
    <row r="51" spans="1:33" ht="15.75" customHeight="1">
      <c r="A51" s="182" t="s">
        <v>70</v>
      </c>
      <c r="B51" s="37" t="s">
        <v>78</v>
      </c>
      <c r="C51" s="43" t="s">
        <v>121</v>
      </c>
      <c r="D51" s="44"/>
      <c r="E51" s="37">
        <v>51.75</v>
      </c>
      <c r="F51" s="42">
        <v>1391</v>
      </c>
      <c r="G51" s="4">
        <v>71984.25</v>
      </c>
      <c r="H51" s="22" t="s">
        <v>139</v>
      </c>
      <c r="I51" s="16">
        <v>25</v>
      </c>
      <c r="J51" s="18">
        <v>2000</v>
      </c>
      <c r="K51" s="17">
        <f t="shared" si="0"/>
        <v>80</v>
      </c>
      <c r="L51" s="16">
        <v>25</v>
      </c>
      <c r="M51" s="18">
        <f t="shared" si="28"/>
        <v>1703.2653061224494</v>
      </c>
      <c r="N51" s="18">
        <f t="shared" si="2"/>
        <v>68.130612244897975</v>
      </c>
      <c r="O51" s="19">
        <f t="shared" si="3"/>
        <v>0</v>
      </c>
      <c r="P51" s="20">
        <f t="shared" si="4"/>
        <v>-11.869387755102025</v>
      </c>
      <c r="Q51" s="21">
        <f t="shared" si="5"/>
        <v>0.85163265306122471</v>
      </c>
      <c r="R51" s="172"/>
      <c r="S51" s="28">
        <v>0.30555555555555552</v>
      </c>
      <c r="T51" s="28">
        <v>0.33958333333333329</v>
      </c>
      <c r="U51" s="4">
        <f t="shared" si="30"/>
        <v>6.9999999999999751</v>
      </c>
      <c r="V51" s="22">
        <f t="shared" si="29"/>
        <v>48.999999999999986</v>
      </c>
      <c r="W51" s="23"/>
      <c r="X51" s="23"/>
      <c r="Y51" s="26"/>
      <c r="Z51" s="26"/>
      <c r="AA51" s="164"/>
      <c r="AB51" s="164"/>
      <c r="AC51" s="25"/>
      <c r="AD51" s="25"/>
      <c r="AE51" s="19">
        <f t="shared" si="7"/>
        <v>-296.73469387755063</v>
      </c>
      <c r="AF51" s="21">
        <f t="shared" si="8"/>
        <v>0.85163265306122471</v>
      </c>
      <c r="AG51" s="172"/>
    </row>
    <row r="52" spans="1:33" ht="15.75" customHeight="1">
      <c r="A52" s="182" t="s">
        <v>70</v>
      </c>
      <c r="B52" s="37" t="s">
        <v>78</v>
      </c>
      <c r="C52" s="43" t="s">
        <v>122</v>
      </c>
      <c r="D52" s="44"/>
      <c r="E52" s="37">
        <v>54.09</v>
      </c>
      <c r="F52" s="42">
        <v>1435</v>
      </c>
      <c r="G52" s="4">
        <v>77619.150000000009</v>
      </c>
      <c r="H52" s="22" t="s">
        <v>139</v>
      </c>
      <c r="I52" s="16">
        <v>19</v>
      </c>
      <c r="J52" s="18">
        <v>2000</v>
      </c>
      <c r="K52" s="17">
        <f t="shared" si="0"/>
        <v>105.26315789473684</v>
      </c>
      <c r="L52" s="16">
        <v>19</v>
      </c>
      <c r="M52" s="18">
        <f t="shared" si="28"/>
        <v>1831.9148936170216</v>
      </c>
      <c r="N52" s="18">
        <f t="shared" si="2"/>
        <v>96.416573348264293</v>
      </c>
      <c r="O52" s="19">
        <f t="shared" si="3"/>
        <v>0</v>
      </c>
      <c r="P52" s="20">
        <f t="shared" si="4"/>
        <v>-8.8465845464725419</v>
      </c>
      <c r="Q52" s="21">
        <f t="shared" si="5"/>
        <v>0.91595744680851088</v>
      </c>
      <c r="R52" s="172"/>
      <c r="S52" s="28">
        <v>0.34444444444444439</v>
      </c>
      <c r="T52" s="28">
        <v>0.37708333333333327</v>
      </c>
      <c r="U52" s="4">
        <f t="shared" si="30"/>
        <v>6.9999999999999751</v>
      </c>
      <c r="V52" s="22">
        <f t="shared" si="29"/>
        <v>46.999999999999993</v>
      </c>
      <c r="W52" s="23"/>
      <c r="X52" s="23"/>
      <c r="Y52" s="26"/>
      <c r="Z52" s="26"/>
      <c r="AA52" s="164"/>
      <c r="AB52" s="164"/>
      <c r="AC52" s="25"/>
      <c r="AD52" s="25"/>
      <c r="AE52" s="19">
        <f t="shared" si="7"/>
        <v>-168.08510638297844</v>
      </c>
      <c r="AF52" s="21">
        <f t="shared" si="8"/>
        <v>0.91595744680851077</v>
      </c>
      <c r="AG52" s="172"/>
    </row>
    <row r="53" spans="1:33" ht="15.75" customHeight="1">
      <c r="A53" s="182" t="s">
        <v>70</v>
      </c>
      <c r="B53" s="37" t="s">
        <v>78</v>
      </c>
      <c r="C53" s="173" t="s">
        <v>123</v>
      </c>
      <c r="D53" s="174"/>
      <c r="E53" s="37">
        <v>55.56</v>
      </c>
      <c r="F53" s="42">
        <v>1559</v>
      </c>
      <c r="G53" s="4">
        <v>86618.040000000008</v>
      </c>
      <c r="H53" s="22" t="s">
        <v>139</v>
      </c>
      <c r="I53" s="16">
        <v>17</v>
      </c>
      <c r="J53" s="18">
        <v>2000</v>
      </c>
      <c r="K53" s="17">
        <f t="shared" si="0"/>
        <v>117.64705882352941</v>
      </c>
      <c r="L53" s="16">
        <v>17</v>
      </c>
      <c r="M53" s="18">
        <f t="shared" si="28"/>
        <v>1908.9795918367354</v>
      </c>
      <c r="N53" s="18">
        <f t="shared" si="2"/>
        <v>112.29291716686679</v>
      </c>
      <c r="O53" s="19">
        <f t="shared" si="3"/>
        <v>0</v>
      </c>
      <c r="P53" s="20">
        <f t="shared" si="4"/>
        <v>-5.3541416566626197</v>
      </c>
      <c r="Q53" s="21">
        <f t="shared" si="5"/>
        <v>0.95448979591836769</v>
      </c>
      <c r="R53" s="172"/>
      <c r="S53" s="28">
        <v>0.70833333333333337</v>
      </c>
      <c r="T53" s="28">
        <v>0.74236111111111114</v>
      </c>
      <c r="U53" s="4" t="str">
        <f t="shared" si="30"/>
        <v/>
      </c>
      <c r="V53" s="22">
        <f t="shared" si="29"/>
        <v>48.999999999999986</v>
      </c>
      <c r="W53" s="23"/>
      <c r="X53" s="23"/>
      <c r="Y53" s="26"/>
      <c r="Z53" s="26"/>
      <c r="AA53" s="175"/>
      <c r="AB53" s="176"/>
      <c r="AC53" s="25"/>
      <c r="AD53" s="25"/>
      <c r="AE53" s="19">
        <f t="shared" si="7"/>
        <v>-91.020408163264619</v>
      </c>
      <c r="AF53" s="21">
        <f t="shared" si="8"/>
        <v>0.95448979591836769</v>
      </c>
      <c r="AG53" s="172"/>
    </row>
    <row r="54" spans="1:33" ht="15.75" customHeight="1">
      <c r="A54" s="182" t="s">
        <v>70</v>
      </c>
      <c r="B54" s="37" t="s">
        <v>78</v>
      </c>
      <c r="C54" s="173" t="s">
        <v>124</v>
      </c>
      <c r="D54" s="174"/>
      <c r="E54" s="37">
        <v>55.32</v>
      </c>
      <c r="F54" s="42">
        <v>1102</v>
      </c>
      <c r="G54" s="4">
        <v>60962.64</v>
      </c>
      <c r="H54" s="22" t="s">
        <v>139</v>
      </c>
      <c r="I54" s="16">
        <v>15</v>
      </c>
      <c r="J54" s="18">
        <v>2000</v>
      </c>
      <c r="K54" s="17">
        <f t="shared" si="0"/>
        <v>133.33333333333334</v>
      </c>
      <c r="L54" s="16">
        <v>15</v>
      </c>
      <c r="M54" s="18">
        <f t="shared" si="28"/>
        <v>1944.7058823529387</v>
      </c>
      <c r="N54" s="18">
        <f t="shared" si="2"/>
        <v>129.64705882352925</v>
      </c>
      <c r="O54" s="19">
        <f t="shared" si="3"/>
        <v>0</v>
      </c>
      <c r="P54" s="20">
        <f t="shared" si="4"/>
        <v>-3.6862745098040932</v>
      </c>
      <c r="Q54" s="21">
        <f t="shared" si="5"/>
        <v>0.97235294117646931</v>
      </c>
      <c r="R54" s="172"/>
      <c r="S54" s="28">
        <v>0.74722222222222223</v>
      </c>
      <c r="T54" s="28">
        <v>0.77083333333333337</v>
      </c>
      <c r="U54" s="4">
        <f t="shared" si="30"/>
        <v>6.9999999999999751</v>
      </c>
      <c r="V54" s="22">
        <f t="shared" si="29"/>
        <v>34.000000000000043</v>
      </c>
      <c r="W54" s="23"/>
      <c r="X54" s="23"/>
      <c r="Y54" s="26"/>
      <c r="Z54" s="26"/>
      <c r="AA54" s="175"/>
      <c r="AB54" s="176"/>
      <c r="AC54" s="25"/>
      <c r="AD54" s="25"/>
      <c r="AE54" s="19">
        <f t="shared" si="7"/>
        <v>-55.294117647061285</v>
      </c>
      <c r="AF54" s="21">
        <f t="shared" si="8"/>
        <v>0.97235294117646931</v>
      </c>
      <c r="AG54" s="172"/>
    </row>
    <row r="55" spans="1:33" ht="15.75" customHeight="1">
      <c r="A55" s="182" t="s">
        <v>70</v>
      </c>
      <c r="B55" s="37" t="s">
        <v>78</v>
      </c>
      <c r="C55" s="173" t="s">
        <v>125</v>
      </c>
      <c r="D55" s="174"/>
      <c r="E55" s="37">
        <v>54.29</v>
      </c>
      <c r="F55" s="42">
        <v>1469</v>
      </c>
      <c r="G55" s="4">
        <v>79752.009999999995</v>
      </c>
      <c r="H55" s="22" t="s">
        <v>139</v>
      </c>
      <c r="I55" s="16">
        <v>20</v>
      </c>
      <c r="J55" s="18">
        <v>2000</v>
      </c>
      <c r="K55" s="17">
        <f t="shared" si="0"/>
        <v>100</v>
      </c>
      <c r="L55" s="16">
        <v>20</v>
      </c>
      <c r="M55" s="18">
        <f t="shared" si="28"/>
        <v>1916.0869565217392</v>
      </c>
      <c r="N55" s="18">
        <f t="shared" si="2"/>
        <v>95.804347826086968</v>
      </c>
      <c r="O55" s="19">
        <f t="shared" si="3"/>
        <v>0</v>
      </c>
      <c r="P55" s="20">
        <f t="shared" si="4"/>
        <v>-4.1956521739130324</v>
      </c>
      <c r="Q55" s="21">
        <f t="shared" si="5"/>
        <v>0.95804347826086966</v>
      </c>
      <c r="R55" s="172"/>
      <c r="S55" s="28">
        <v>0.77638888888888891</v>
      </c>
      <c r="T55" s="28">
        <v>0.80833333333333335</v>
      </c>
      <c r="U55" s="4">
        <f t="shared" si="30"/>
        <v>7.9999999999999716</v>
      </c>
      <c r="V55" s="22">
        <f t="shared" si="29"/>
        <v>46</v>
      </c>
      <c r="W55" s="23"/>
      <c r="X55" s="23"/>
      <c r="Y55" s="26"/>
      <c r="Z55" s="26"/>
      <c r="AA55" s="175"/>
      <c r="AB55" s="176"/>
      <c r="AC55" s="25"/>
      <c r="AD55" s="25"/>
      <c r="AE55" s="19">
        <f t="shared" si="7"/>
        <v>-83.913043478260761</v>
      </c>
      <c r="AF55" s="21">
        <f t="shared" si="8"/>
        <v>0.95804347826086966</v>
      </c>
      <c r="AG55" s="172"/>
    </row>
    <row r="56" spans="1:33">
      <c r="A56" s="182" t="s">
        <v>70</v>
      </c>
      <c r="B56" s="37" t="s">
        <v>78</v>
      </c>
      <c r="C56" s="173" t="s">
        <v>126</v>
      </c>
      <c r="D56" s="174"/>
      <c r="E56" s="37">
        <v>57.73</v>
      </c>
      <c r="F56" s="42">
        <v>1076</v>
      </c>
      <c r="G56" s="4">
        <v>62117.479999999996</v>
      </c>
      <c r="H56" s="22" t="s">
        <v>139</v>
      </c>
      <c r="I56" s="16">
        <v>16</v>
      </c>
      <c r="J56" s="18">
        <v>1500</v>
      </c>
      <c r="K56" s="17">
        <f t="shared" si="0"/>
        <v>93.75</v>
      </c>
      <c r="L56" s="16">
        <v>16</v>
      </c>
      <c r="M56" s="18">
        <f t="shared" si="28"/>
        <v>1434.6666666666667</v>
      </c>
      <c r="N56" s="18">
        <f t="shared" si="2"/>
        <v>89.666666666666671</v>
      </c>
      <c r="O56" s="19">
        <f t="shared" si="3"/>
        <v>0</v>
      </c>
      <c r="P56" s="20">
        <f t="shared" si="4"/>
        <v>-4.0833333333333286</v>
      </c>
      <c r="Q56" s="21">
        <f t="shared" si="5"/>
        <v>0.95644444444444454</v>
      </c>
      <c r="R56" s="172"/>
      <c r="S56" s="28">
        <v>0.81180555555555556</v>
      </c>
      <c r="T56" s="28">
        <v>0.84305555555555556</v>
      </c>
      <c r="U56" s="4">
        <f t="shared" si="30"/>
        <v>4.9999999999999822</v>
      </c>
      <c r="V56" s="22">
        <f t="shared" si="29"/>
        <v>45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7"/>
        <v>-65.333333333333258</v>
      </c>
      <c r="AF56" s="21">
        <f t="shared" si="8"/>
        <v>0.95644444444444454</v>
      </c>
      <c r="AG56" s="172"/>
    </row>
    <row r="57" spans="1:33">
      <c r="A57" s="183" t="s">
        <v>70</v>
      </c>
      <c r="B57" s="37" t="s">
        <v>48</v>
      </c>
      <c r="C57" s="177"/>
      <c r="D57" s="177"/>
      <c r="E57" s="38"/>
      <c r="F57" s="17"/>
      <c r="G57" s="17"/>
      <c r="H57" s="4"/>
      <c r="I57" s="30">
        <v>18.666666666666668</v>
      </c>
      <c r="J57" s="18">
        <v>1944.4444444444443</v>
      </c>
      <c r="K57" s="17">
        <f t="shared" si="0"/>
        <v>104.16666666666666</v>
      </c>
      <c r="L57" s="30">
        <v>18.666666666666668</v>
      </c>
      <c r="M57" s="18">
        <f>AVERAGE(M48:M56)</f>
        <v>1815.2131757440277</v>
      </c>
      <c r="N57" s="17">
        <f t="shared" si="2"/>
        <v>97.243562986287188</v>
      </c>
      <c r="O57" s="19">
        <f t="shared" si="3"/>
        <v>0</v>
      </c>
      <c r="P57" s="20">
        <f t="shared" si="4"/>
        <v>-6.9231036803794694</v>
      </c>
      <c r="Q57" s="21">
        <f t="shared" si="5"/>
        <v>0.93353820466835713</v>
      </c>
      <c r="R57" s="172"/>
      <c r="S57" s="28"/>
      <c r="T57" s="28"/>
      <c r="U57" s="4"/>
      <c r="V57" s="22"/>
      <c r="W57" s="17"/>
      <c r="X57" s="17"/>
      <c r="Y57" s="31">
        <f>SUM(Y48:Y56)</f>
        <v>0</v>
      </c>
      <c r="Z57" s="31">
        <f>SUM(Z48:Z56)</f>
        <v>0</v>
      </c>
      <c r="AA57" s="168"/>
      <c r="AB57" s="168"/>
      <c r="AC57" s="31">
        <v>9</v>
      </c>
      <c r="AD57" s="31">
        <f>SUM(AD48:AD56)</f>
        <v>0</v>
      </c>
      <c r="AE57" s="19">
        <f>M57-J57</f>
        <v>-129.23126870041665</v>
      </c>
      <c r="AF57" s="21">
        <f t="shared" si="8"/>
        <v>0.93353820466835713</v>
      </c>
      <c r="AG57" s="172"/>
    </row>
    <row r="58" spans="1:33" ht="15.75" customHeight="1">
      <c r="A58" s="178" t="s">
        <v>73</v>
      </c>
      <c r="B58" s="4" t="s">
        <v>84</v>
      </c>
      <c r="C58" s="165" t="s">
        <v>127</v>
      </c>
      <c r="D58" s="165"/>
      <c r="E58" s="37">
        <v>26.97</v>
      </c>
      <c r="F58" s="42">
        <v>1861</v>
      </c>
      <c r="G58" s="4">
        <v>50191.17</v>
      </c>
      <c r="H58" s="22" t="s">
        <v>139</v>
      </c>
      <c r="I58" s="16">
        <v>8</v>
      </c>
      <c r="J58" s="18">
        <v>1500</v>
      </c>
      <c r="K58" s="17">
        <f t="shared" si="0"/>
        <v>187.5</v>
      </c>
      <c r="L58" s="16">
        <v>8</v>
      </c>
      <c r="M58" s="18">
        <f t="shared" ref="M58:M63" si="31">F58/V58*60</f>
        <v>1431.5384615384614</v>
      </c>
      <c r="N58" s="17">
        <f t="shared" si="2"/>
        <v>178.94230769230768</v>
      </c>
      <c r="O58" s="19">
        <f t="shared" si="3"/>
        <v>0</v>
      </c>
      <c r="P58" s="20">
        <f t="shared" si="4"/>
        <v>-8.5576923076923208</v>
      </c>
      <c r="Q58" s="21">
        <f t="shared" si="5"/>
        <v>0.95435897435897432</v>
      </c>
      <c r="R58" s="172">
        <f>Q64</f>
        <v>0.97027013120658567</v>
      </c>
      <c r="S58" s="28">
        <v>0.20833333333333334</v>
      </c>
      <c r="T58" s="28">
        <v>0.26250000000000001</v>
      </c>
      <c r="U58" s="4"/>
      <c r="V58" s="22">
        <f t="shared" ref="V58:V63" si="32">(T58-S58)*24*60</f>
        <v>78</v>
      </c>
      <c r="W58" s="28"/>
      <c r="X58" s="28"/>
      <c r="Y58" s="28"/>
      <c r="Z58" s="28"/>
      <c r="AA58" s="164"/>
      <c r="AB58" s="164"/>
      <c r="AC58" s="25">
        <v>6</v>
      </c>
      <c r="AD58" s="25"/>
      <c r="AE58" s="19">
        <f t="shared" ref="AE58:AE71" si="33">M58-J58</f>
        <v>-68.461538461538566</v>
      </c>
      <c r="AF58" s="21">
        <f t="shared" si="8"/>
        <v>0.95435897435897432</v>
      </c>
      <c r="AG58" s="172">
        <f>AF64</f>
        <v>0.97027013120658578</v>
      </c>
    </row>
    <row r="59" spans="1:33" ht="15.75" customHeight="1">
      <c r="A59" s="178" t="s">
        <v>73</v>
      </c>
      <c r="B59" s="4" t="s">
        <v>84</v>
      </c>
      <c r="C59" s="165" t="s">
        <v>128</v>
      </c>
      <c r="D59" s="165"/>
      <c r="E59" s="37">
        <v>27.4</v>
      </c>
      <c r="F59" s="42">
        <v>1245</v>
      </c>
      <c r="G59" s="4">
        <v>34113</v>
      </c>
      <c r="H59" s="22" t="s">
        <v>139</v>
      </c>
      <c r="I59" s="16">
        <v>10</v>
      </c>
      <c r="J59" s="18">
        <v>1500</v>
      </c>
      <c r="K59" s="17">
        <f t="shared" si="0"/>
        <v>150</v>
      </c>
      <c r="L59" s="16">
        <v>10</v>
      </c>
      <c r="M59" s="18">
        <f t="shared" si="31"/>
        <v>1436.5384615384623</v>
      </c>
      <c r="N59" s="17">
        <f t="shared" si="2"/>
        <v>143.65384615384625</v>
      </c>
      <c r="O59" s="19">
        <f t="shared" si="3"/>
        <v>0</v>
      </c>
      <c r="P59" s="20">
        <f t="shared" si="4"/>
        <v>-6.3461538461537543</v>
      </c>
      <c r="Q59" s="21">
        <f t="shared" si="5"/>
        <v>0.95769230769230829</v>
      </c>
      <c r="R59" s="172"/>
      <c r="S59" s="28">
        <v>0.26597222222222222</v>
      </c>
      <c r="T59" s="28">
        <v>0.30208333333333331</v>
      </c>
      <c r="U59" s="4">
        <f t="shared" ref="U59:U63" si="34">(S59-T58)*24*60</f>
        <v>4.9999999999999822</v>
      </c>
      <c r="V59" s="22">
        <f t="shared" si="32"/>
        <v>51.999999999999972</v>
      </c>
      <c r="W59" s="4"/>
      <c r="X59" s="4"/>
      <c r="Y59" s="4"/>
      <c r="Z59" s="4"/>
      <c r="AA59" s="164"/>
      <c r="AB59" s="164"/>
      <c r="AC59" s="25"/>
      <c r="AD59" s="25"/>
      <c r="AE59" s="19">
        <f t="shared" si="33"/>
        <v>-63.461538461537657</v>
      </c>
      <c r="AF59" s="21">
        <f t="shared" si="8"/>
        <v>0.95769230769230818</v>
      </c>
      <c r="AG59" s="172"/>
    </row>
    <row r="60" spans="1:33" ht="15.75" customHeight="1">
      <c r="A60" s="178" t="s">
        <v>73</v>
      </c>
      <c r="B60" s="4" t="s">
        <v>111</v>
      </c>
      <c r="C60" s="165" t="s">
        <v>129</v>
      </c>
      <c r="D60" s="165"/>
      <c r="E60" s="37">
        <v>31</v>
      </c>
      <c r="F60" s="42">
        <v>488</v>
      </c>
      <c r="G60" s="4">
        <v>15128</v>
      </c>
      <c r="H60" s="22" t="s">
        <v>139</v>
      </c>
      <c r="I60" s="16">
        <v>13</v>
      </c>
      <c r="J60" s="18">
        <v>2000</v>
      </c>
      <c r="K60" s="17">
        <f t="shared" si="0"/>
        <v>153.84615384615384</v>
      </c>
      <c r="L60" s="16">
        <v>13</v>
      </c>
      <c r="M60" s="18">
        <f t="shared" si="31"/>
        <v>1951.9999999999964</v>
      </c>
      <c r="N60" s="17">
        <f t="shared" si="2"/>
        <v>150.15384615384588</v>
      </c>
      <c r="O60" s="19">
        <f t="shared" si="3"/>
        <v>0</v>
      </c>
      <c r="P60" s="20">
        <f t="shared" si="4"/>
        <v>-3.6923076923079634</v>
      </c>
      <c r="Q60" s="21">
        <f t="shared" si="5"/>
        <v>0.9759999999999982</v>
      </c>
      <c r="R60" s="172"/>
      <c r="S60" s="28">
        <v>0.30624999999999997</v>
      </c>
      <c r="T60" s="28">
        <v>0.31666666666666665</v>
      </c>
      <c r="U60" s="4">
        <f t="shared" si="34"/>
        <v>5.9999999999999787</v>
      </c>
      <c r="V60" s="22">
        <f t="shared" si="32"/>
        <v>15.000000000000027</v>
      </c>
      <c r="W60" s="4"/>
      <c r="X60" s="4"/>
      <c r="Y60" s="4"/>
      <c r="Z60" s="4"/>
      <c r="AA60" s="164"/>
      <c r="AB60" s="164"/>
      <c r="AC60" s="25" t="s">
        <v>139</v>
      </c>
      <c r="AD60" s="25"/>
      <c r="AE60" s="19">
        <f t="shared" si="33"/>
        <v>-48.000000000003638</v>
      </c>
      <c r="AF60" s="21">
        <f t="shared" si="8"/>
        <v>0.9759999999999982</v>
      </c>
      <c r="AG60" s="172"/>
    </row>
    <row r="61" spans="1:33" ht="15.75" customHeight="1">
      <c r="A61" s="178" t="s">
        <v>73</v>
      </c>
      <c r="B61" s="4" t="s">
        <v>111</v>
      </c>
      <c r="C61" s="165" t="s">
        <v>130</v>
      </c>
      <c r="D61" s="165"/>
      <c r="E61" s="37">
        <v>37.85</v>
      </c>
      <c r="F61" s="42">
        <v>1903</v>
      </c>
      <c r="G61" s="4">
        <v>72028.55</v>
      </c>
      <c r="H61" s="22" t="s">
        <v>139</v>
      </c>
      <c r="I61" s="16">
        <v>12</v>
      </c>
      <c r="J61" s="18">
        <v>2000</v>
      </c>
      <c r="K61" s="17">
        <f t="shared" si="0"/>
        <v>166.66666666666666</v>
      </c>
      <c r="L61" s="16">
        <v>12</v>
      </c>
      <c r="M61" s="18">
        <f t="shared" si="31"/>
        <v>1902.9999999999991</v>
      </c>
      <c r="N61" s="17">
        <f t="shared" si="2"/>
        <v>158.58333333333326</v>
      </c>
      <c r="O61" s="19">
        <f t="shared" si="3"/>
        <v>0</v>
      </c>
      <c r="P61" s="20">
        <f t="shared" si="4"/>
        <v>-8.0833333333333997</v>
      </c>
      <c r="Q61" s="21">
        <f t="shared" si="5"/>
        <v>0.95149999999999957</v>
      </c>
      <c r="R61" s="172"/>
      <c r="S61" s="28">
        <v>0.32152777777777775</v>
      </c>
      <c r="T61" s="28">
        <v>0.36319444444444443</v>
      </c>
      <c r="U61" s="4">
        <f t="shared" si="34"/>
        <v>6.9999999999999751</v>
      </c>
      <c r="V61" s="22">
        <f t="shared" si="32"/>
        <v>60.000000000000028</v>
      </c>
      <c r="W61" s="4"/>
      <c r="X61" s="4"/>
      <c r="Y61" s="4"/>
      <c r="Z61" s="4"/>
      <c r="AA61" s="164"/>
      <c r="AB61" s="164"/>
      <c r="AC61" s="25" t="s">
        <v>139</v>
      </c>
      <c r="AD61" s="25"/>
      <c r="AE61" s="19">
        <f t="shared" si="33"/>
        <v>-97.000000000000909</v>
      </c>
      <c r="AF61" s="21">
        <f t="shared" si="8"/>
        <v>0.95149999999999957</v>
      </c>
      <c r="AG61" s="172"/>
    </row>
    <row r="62" spans="1:33">
      <c r="A62" s="179" t="s">
        <v>73</v>
      </c>
      <c r="B62" s="4" t="s">
        <v>111</v>
      </c>
      <c r="C62" s="165" t="s">
        <v>131</v>
      </c>
      <c r="D62" s="165"/>
      <c r="E62" s="37">
        <v>34.36</v>
      </c>
      <c r="F62" s="42">
        <v>1121</v>
      </c>
      <c r="G62" s="4">
        <v>38517.56</v>
      </c>
      <c r="H62" s="22" t="s">
        <v>139</v>
      </c>
      <c r="I62" s="16">
        <v>10</v>
      </c>
      <c r="J62" s="18">
        <v>3000</v>
      </c>
      <c r="K62" s="17">
        <f t="shared" si="0"/>
        <v>300</v>
      </c>
      <c r="L62" s="16">
        <v>10</v>
      </c>
      <c r="M62" s="18">
        <f t="shared" si="31"/>
        <v>2924.3478260869565</v>
      </c>
      <c r="N62" s="17">
        <f t="shared" si="2"/>
        <v>292.43478260869563</v>
      </c>
      <c r="O62" s="19">
        <f t="shared" si="3"/>
        <v>0</v>
      </c>
      <c r="P62" s="20">
        <f t="shared" si="4"/>
        <v>-7.5652173913043725</v>
      </c>
      <c r="Q62" s="21">
        <f t="shared" si="5"/>
        <v>0.97478260869565214</v>
      </c>
      <c r="R62" s="172"/>
      <c r="S62" s="28">
        <v>0.36874999999999997</v>
      </c>
      <c r="T62" s="28">
        <v>0.38472222222222219</v>
      </c>
      <c r="U62" s="4">
        <f t="shared" si="34"/>
        <v>7.9999999999999716</v>
      </c>
      <c r="V62" s="22">
        <f t="shared" si="32"/>
        <v>23</v>
      </c>
      <c r="W62" s="23"/>
      <c r="X62" s="23"/>
      <c r="Y62" s="23"/>
      <c r="Z62" s="23"/>
      <c r="AA62" s="164"/>
      <c r="AB62" s="164"/>
      <c r="AC62" s="25" t="s">
        <v>139</v>
      </c>
      <c r="AD62" s="25"/>
      <c r="AE62" s="19">
        <f t="shared" si="33"/>
        <v>-75.652173913043498</v>
      </c>
      <c r="AF62" s="21">
        <f t="shared" si="8"/>
        <v>0.97478260869565214</v>
      </c>
      <c r="AG62" s="172"/>
    </row>
    <row r="63" spans="1:33" ht="15" customHeight="1">
      <c r="A63" s="179" t="s">
        <v>73</v>
      </c>
      <c r="B63" s="4" t="s">
        <v>111</v>
      </c>
      <c r="C63" s="173" t="s">
        <v>132</v>
      </c>
      <c r="D63" s="174"/>
      <c r="E63" s="37">
        <v>32.020000000000003</v>
      </c>
      <c r="F63" s="42">
        <v>1137</v>
      </c>
      <c r="G63" s="4">
        <v>36406.740000000005</v>
      </c>
      <c r="H63" s="22" t="s">
        <v>139</v>
      </c>
      <c r="I63" s="16">
        <v>11</v>
      </c>
      <c r="J63" s="18">
        <v>3000</v>
      </c>
      <c r="K63" s="17">
        <f t="shared" si="0"/>
        <v>272.72727272727275</v>
      </c>
      <c r="L63" s="16">
        <v>11</v>
      </c>
      <c r="M63" s="18">
        <f t="shared" si="31"/>
        <v>2966.086956521739</v>
      </c>
      <c r="N63" s="17">
        <f t="shared" si="2"/>
        <v>269.64426877470356</v>
      </c>
      <c r="O63" s="19">
        <f t="shared" si="3"/>
        <v>0</v>
      </c>
      <c r="P63" s="20">
        <f t="shared" si="4"/>
        <v>-3.0830039525691859</v>
      </c>
      <c r="Q63" s="21">
        <f t="shared" si="5"/>
        <v>0.98869565217391298</v>
      </c>
      <c r="R63" s="172"/>
      <c r="S63" s="28">
        <v>0.38958333333333328</v>
      </c>
      <c r="T63" s="28">
        <v>0.4055555555555555</v>
      </c>
      <c r="U63" s="4">
        <f t="shared" si="34"/>
        <v>6.9999999999999751</v>
      </c>
      <c r="V63" s="22">
        <f t="shared" si="32"/>
        <v>23</v>
      </c>
      <c r="W63" s="4"/>
      <c r="X63" s="4"/>
      <c r="Y63" s="32"/>
      <c r="Z63" s="32"/>
      <c r="AA63" s="175"/>
      <c r="AB63" s="176"/>
      <c r="AC63" s="25" t="s">
        <v>139</v>
      </c>
      <c r="AD63" s="25"/>
      <c r="AE63" s="19">
        <f t="shared" si="33"/>
        <v>-33.913043478260988</v>
      </c>
      <c r="AF63" s="21">
        <f t="shared" si="8"/>
        <v>0.98869565217391298</v>
      </c>
      <c r="AG63" s="172"/>
    </row>
    <row r="64" spans="1:33">
      <c r="A64" s="179" t="s">
        <v>73</v>
      </c>
      <c r="B64" s="37" t="s">
        <v>48</v>
      </c>
      <c r="C64" s="177"/>
      <c r="D64" s="177"/>
      <c r="E64" s="38"/>
      <c r="F64" s="17"/>
      <c r="G64" s="17"/>
      <c r="H64" s="4"/>
      <c r="I64" s="30">
        <v>10.666666666666666</v>
      </c>
      <c r="J64" s="18">
        <v>2166.6666666666665</v>
      </c>
      <c r="K64" s="17">
        <f t="shared" si="0"/>
        <v>203.125</v>
      </c>
      <c r="L64" s="30">
        <v>10.666666666666666</v>
      </c>
      <c r="M64" s="18">
        <f>AVERAGE(M58:M63)</f>
        <v>2102.2519509476024</v>
      </c>
      <c r="N64" s="17">
        <f t="shared" si="2"/>
        <v>197.08612040133772</v>
      </c>
      <c r="O64" s="19">
        <f t="shared" si="3"/>
        <v>0</v>
      </c>
      <c r="P64" s="20">
        <f t="shared" si="4"/>
        <v>-6.0388795986622767</v>
      </c>
      <c r="Q64" s="21">
        <f t="shared" si="5"/>
        <v>0.97027013120658567</v>
      </c>
      <c r="R64" s="172"/>
      <c r="S64" s="28"/>
      <c r="T64" s="28"/>
      <c r="U64" s="17"/>
      <c r="V64" s="22"/>
      <c r="W64" s="17"/>
      <c r="X64" s="17"/>
      <c r="Y64" s="31">
        <f>SUM(Y58:Y63)</f>
        <v>0</v>
      </c>
      <c r="Z64" s="31">
        <f>SUM(Z58:Z63)</f>
        <v>0</v>
      </c>
      <c r="AA64" s="168"/>
      <c r="AB64" s="168"/>
      <c r="AC64" s="31">
        <v>6</v>
      </c>
      <c r="AD64" s="31">
        <f>SUM(AD58:AD63)</f>
        <v>0</v>
      </c>
      <c r="AE64" s="19">
        <f t="shared" si="33"/>
        <v>-64.414715719064134</v>
      </c>
      <c r="AF64" s="21">
        <f t="shared" si="8"/>
        <v>0.97027013120658578</v>
      </c>
      <c r="AG64" s="172"/>
    </row>
    <row r="65" spans="1:33" ht="15.75" customHeight="1">
      <c r="A65" s="169" t="s">
        <v>75</v>
      </c>
      <c r="B65" s="4" t="s">
        <v>100</v>
      </c>
      <c r="C65" s="165" t="s">
        <v>133</v>
      </c>
      <c r="D65" s="165"/>
      <c r="E65" s="37">
        <v>20.2</v>
      </c>
      <c r="F65" s="4">
        <v>1486</v>
      </c>
      <c r="G65" s="4">
        <v>30017.200000000001</v>
      </c>
      <c r="H65" s="22" t="s">
        <v>139</v>
      </c>
      <c r="I65" s="16">
        <v>19</v>
      </c>
      <c r="J65" s="18">
        <v>2400</v>
      </c>
      <c r="K65" s="17">
        <f t="shared" si="0"/>
        <v>126.31578947368421</v>
      </c>
      <c r="L65" s="16">
        <v>19</v>
      </c>
      <c r="M65" s="18">
        <f t="shared" ref="M65:M70" si="35">F65/V65*60</f>
        <v>2286.1538461538462</v>
      </c>
      <c r="N65" s="17">
        <f t="shared" si="2"/>
        <v>120.32388663967612</v>
      </c>
      <c r="O65" s="19">
        <f t="shared" si="3"/>
        <v>0</v>
      </c>
      <c r="P65" s="20">
        <f t="shared" si="4"/>
        <v>-5.9919028340080871</v>
      </c>
      <c r="Q65" s="21">
        <f t="shared" si="5"/>
        <v>0.95256410256410262</v>
      </c>
      <c r="R65" s="172">
        <f>Q71</f>
        <v>0.95712851139629018</v>
      </c>
      <c r="S65" s="28">
        <v>8.3333333333333329E-2</v>
      </c>
      <c r="T65" s="28">
        <v>0.11041666666666666</v>
      </c>
      <c r="U65" s="28"/>
      <c r="V65" s="22">
        <f t="shared" ref="V65:V70" si="36">(T65-S65)*24*60</f>
        <v>39</v>
      </c>
      <c r="W65" s="23">
        <f>T65</f>
        <v>0.11041666666666666</v>
      </c>
      <c r="X65" s="23">
        <f>S66</f>
        <v>0.13055555555555556</v>
      </c>
      <c r="Y65" s="23"/>
      <c r="Z65" s="23"/>
      <c r="AA65" s="164"/>
      <c r="AB65" s="164"/>
      <c r="AC65" s="25">
        <v>6</v>
      </c>
      <c r="AD65" s="25"/>
      <c r="AE65" s="19">
        <f t="shared" si="33"/>
        <v>-113.84615384615381</v>
      </c>
      <c r="AF65" s="21">
        <f t="shared" si="8"/>
        <v>0.95256410256410262</v>
      </c>
      <c r="AG65" s="172">
        <f>AF71</f>
        <v>0.95712851139629018</v>
      </c>
    </row>
    <row r="66" spans="1:33" ht="15.75" customHeight="1">
      <c r="A66" s="170" t="s">
        <v>75</v>
      </c>
      <c r="B66" s="4" t="s">
        <v>100</v>
      </c>
      <c r="C66" s="165" t="s">
        <v>134</v>
      </c>
      <c r="D66" s="165"/>
      <c r="E66" s="37">
        <v>20.52</v>
      </c>
      <c r="F66" s="4">
        <v>2312</v>
      </c>
      <c r="G66" s="4">
        <v>47442.239999999998</v>
      </c>
      <c r="H66" s="22" t="s">
        <v>139</v>
      </c>
      <c r="I66" s="16">
        <v>18</v>
      </c>
      <c r="J66" s="18">
        <v>2400</v>
      </c>
      <c r="K66" s="17">
        <f t="shared" si="0"/>
        <v>133.33333333333334</v>
      </c>
      <c r="L66" s="16">
        <v>18</v>
      </c>
      <c r="M66" s="18">
        <f t="shared" si="35"/>
        <v>2312.0000000000009</v>
      </c>
      <c r="N66" s="17">
        <f t="shared" si="2"/>
        <v>128.44444444444449</v>
      </c>
      <c r="O66" s="19">
        <f t="shared" si="3"/>
        <v>0</v>
      </c>
      <c r="P66" s="20">
        <f t="shared" si="4"/>
        <v>-4.8888888888888573</v>
      </c>
      <c r="Q66" s="21">
        <f t="shared" si="5"/>
        <v>0.9633333333333336</v>
      </c>
      <c r="R66" s="172"/>
      <c r="S66" s="28">
        <v>0.13055555555555556</v>
      </c>
      <c r="T66" s="28">
        <v>0.17222222222222222</v>
      </c>
      <c r="U66" s="4">
        <f t="shared" ref="U66:U70" si="37">(S66-T65)*24*60</f>
        <v>29.000000000000018</v>
      </c>
      <c r="V66" s="22">
        <f t="shared" si="36"/>
        <v>59.999999999999986</v>
      </c>
      <c r="W66" s="23"/>
      <c r="X66" s="23"/>
      <c r="Y66" s="23"/>
      <c r="Z66" s="23"/>
      <c r="AA66" s="164"/>
      <c r="AB66" s="164"/>
      <c r="AC66" s="25"/>
      <c r="AD66" s="25"/>
      <c r="AE66" s="19">
        <f t="shared" si="33"/>
        <v>-87.999999999999091</v>
      </c>
      <c r="AF66" s="21">
        <f t="shared" si="8"/>
        <v>0.96333333333333371</v>
      </c>
      <c r="AG66" s="172"/>
    </row>
    <row r="67" spans="1:33" ht="15.75" customHeight="1">
      <c r="A67" s="170" t="s">
        <v>75</v>
      </c>
      <c r="B67" s="4" t="s">
        <v>100</v>
      </c>
      <c r="C67" s="165" t="s">
        <v>136</v>
      </c>
      <c r="D67" s="165"/>
      <c r="E67" s="37">
        <v>24.43</v>
      </c>
      <c r="F67" s="4">
        <v>4683</v>
      </c>
      <c r="G67" s="4">
        <v>114405.69</v>
      </c>
      <c r="H67" s="22" t="s">
        <v>139</v>
      </c>
      <c r="I67" s="16">
        <v>14</v>
      </c>
      <c r="J67" s="18">
        <v>2400</v>
      </c>
      <c r="K67" s="17">
        <f t="shared" si="0"/>
        <v>171.42857142857142</v>
      </c>
      <c r="L67" s="16">
        <v>14</v>
      </c>
      <c r="M67" s="18">
        <f t="shared" si="35"/>
        <v>2284.3902439024391</v>
      </c>
      <c r="N67" s="17">
        <f t="shared" si="2"/>
        <v>163.17073170731709</v>
      </c>
      <c r="O67" s="19">
        <f t="shared" si="3"/>
        <v>0</v>
      </c>
      <c r="P67" s="20">
        <f t="shared" si="4"/>
        <v>-8.257839721254328</v>
      </c>
      <c r="Q67" s="21">
        <f t="shared" si="5"/>
        <v>0.95182926829268311</v>
      </c>
      <c r="R67" s="172"/>
      <c r="S67" s="28">
        <v>0.1763888888888889</v>
      </c>
      <c r="T67" s="28">
        <v>0.26180555555555557</v>
      </c>
      <c r="U67" s="4">
        <f t="shared" si="37"/>
        <v>6.0000000000000187</v>
      </c>
      <c r="V67" s="22">
        <f t="shared" si="36"/>
        <v>122.99999999999999</v>
      </c>
      <c r="W67" s="23"/>
      <c r="X67" s="23"/>
      <c r="Y67" s="23"/>
      <c r="Z67" s="23"/>
      <c r="AA67" s="164"/>
      <c r="AB67" s="164"/>
      <c r="AC67" s="25"/>
      <c r="AD67" s="25"/>
      <c r="AE67" s="19">
        <f t="shared" si="33"/>
        <v>-115.60975609756088</v>
      </c>
      <c r="AF67" s="21">
        <f t="shared" si="8"/>
        <v>0.951829268292683</v>
      </c>
      <c r="AG67" s="172"/>
    </row>
    <row r="68" spans="1:33" ht="15.75" customHeight="1">
      <c r="A68" s="170" t="s">
        <v>75</v>
      </c>
      <c r="B68" s="4" t="s">
        <v>100</v>
      </c>
      <c r="C68" s="165" t="s">
        <v>137</v>
      </c>
      <c r="D68" s="165"/>
      <c r="E68" s="37">
        <v>20.21</v>
      </c>
      <c r="F68" s="4">
        <v>2434</v>
      </c>
      <c r="G68" s="4">
        <v>49191.14</v>
      </c>
      <c r="H68" s="22" t="s">
        <v>139</v>
      </c>
      <c r="I68" s="16">
        <v>16</v>
      </c>
      <c r="J68" s="18">
        <v>2400</v>
      </c>
      <c r="K68" s="17">
        <f t="shared" si="0"/>
        <v>150</v>
      </c>
      <c r="L68" s="16">
        <v>16</v>
      </c>
      <c r="M68" s="18">
        <f t="shared" si="35"/>
        <v>2318.0952380952376</v>
      </c>
      <c r="N68" s="17">
        <f t="shared" si="2"/>
        <v>144.88095238095235</v>
      </c>
      <c r="O68" s="19">
        <f t="shared" si="3"/>
        <v>0</v>
      </c>
      <c r="P68" s="20">
        <f t="shared" si="4"/>
        <v>-5.1190476190476488</v>
      </c>
      <c r="Q68" s="21">
        <f t="shared" si="5"/>
        <v>0.96587301587301566</v>
      </c>
      <c r="R68" s="172"/>
      <c r="S68" s="28">
        <v>0.26666666666666666</v>
      </c>
      <c r="T68" s="28">
        <v>0.31041666666666667</v>
      </c>
      <c r="U68" s="4">
        <f t="shared" si="37"/>
        <v>6.9999999999999751</v>
      </c>
      <c r="V68" s="22">
        <f t="shared" si="36"/>
        <v>63.000000000000014</v>
      </c>
      <c r="W68" s="23"/>
      <c r="X68" s="23"/>
      <c r="Y68" s="23"/>
      <c r="Z68" s="23"/>
      <c r="AA68" s="164"/>
      <c r="AB68" s="164"/>
      <c r="AC68" s="25"/>
      <c r="AD68" s="25"/>
      <c r="AE68" s="19">
        <f t="shared" si="33"/>
        <v>-81.904761904762381</v>
      </c>
      <c r="AF68" s="21">
        <f t="shared" si="8"/>
        <v>0.96587301587301566</v>
      </c>
      <c r="AG68" s="172"/>
    </row>
    <row r="69" spans="1:33" ht="15.75" customHeight="1">
      <c r="A69" s="170" t="s">
        <v>75</v>
      </c>
      <c r="B69" s="4" t="s">
        <v>100</v>
      </c>
      <c r="C69" s="165" t="s">
        <v>138</v>
      </c>
      <c r="D69" s="165"/>
      <c r="E69" s="37">
        <v>22.69</v>
      </c>
      <c r="F69" s="4">
        <v>767</v>
      </c>
      <c r="G69" s="4">
        <v>17403.23</v>
      </c>
      <c r="H69" s="22" t="s">
        <v>139</v>
      </c>
      <c r="I69" s="16">
        <v>15</v>
      </c>
      <c r="J69" s="18">
        <v>2400</v>
      </c>
      <c r="K69" s="17">
        <f t="shared" ref="K69:K71" si="38">J69/I69</f>
        <v>160</v>
      </c>
      <c r="L69" s="16">
        <v>15</v>
      </c>
      <c r="M69" s="18">
        <f t="shared" si="35"/>
        <v>2300.9999999999991</v>
      </c>
      <c r="N69" s="17">
        <f t="shared" ref="N69:N71" si="39">M69/L69</f>
        <v>153.39999999999995</v>
      </c>
      <c r="O69" s="19">
        <f t="shared" ref="O69:O71" si="40">L69-I69</f>
        <v>0</v>
      </c>
      <c r="P69" s="20">
        <f t="shared" ref="P69:P71" si="41">N69-K69</f>
        <v>-6.6000000000000512</v>
      </c>
      <c r="Q69" s="21">
        <f t="shared" ref="Q69:Q71" si="42">N69/K69</f>
        <v>0.95874999999999966</v>
      </c>
      <c r="R69" s="172"/>
      <c r="S69" s="28">
        <v>0.31388888888888888</v>
      </c>
      <c r="T69" s="28">
        <v>0.32777777777777778</v>
      </c>
      <c r="U69" s="4">
        <f t="shared" si="37"/>
        <v>4.9999999999999822</v>
      </c>
      <c r="V69" s="22">
        <f t="shared" si="36"/>
        <v>20.000000000000007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33"/>
        <v>-99.000000000000909</v>
      </c>
      <c r="AF69" s="21">
        <f t="shared" ref="AF69:AF71" si="43">M69/J69</f>
        <v>0.95874999999999966</v>
      </c>
      <c r="AG69" s="172"/>
    </row>
    <row r="70" spans="1:33" ht="15.75" customHeight="1">
      <c r="A70" s="170" t="s">
        <v>75</v>
      </c>
      <c r="B70" s="4" t="s">
        <v>100</v>
      </c>
      <c r="C70" s="165" t="s">
        <v>135</v>
      </c>
      <c r="D70" s="165"/>
      <c r="E70" s="37">
        <v>19.02</v>
      </c>
      <c r="F70" s="4">
        <v>6767</v>
      </c>
      <c r="G70" s="4">
        <v>128708.34</v>
      </c>
      <c r="H70" s="22" t="s">
        <v>139</v>
      </c>
      <c r="I70" s="16">
        <v>15</v>
      </c>
      <c r="J70" s="18">
        <v>2400</v>
      </c>
      <c r="K70" s="17">
        <f t="shared" si="38"/>
        <v>160</v>
      </c>
      <c r="L70" s="16">
        <v>15</v>
      </c>
      <c r="M70" s="18">
        <f t="shared" si="35"/>
        <v>2281.0112359550562</v>
      </c>
      <c r="N70" s="17">
        <f t="shared" si="39"/>
        <v>152.06741573033707</v>
      </c>
      <c r="O70" s="19">
        <f t="shared" si="40"/>
        <v>0</v>
      </c>
      <c r="P70" s="20">
        <f t="shared" si="41"/>
        <v>-7.9325842696629252</v>
      </c>
      <c r="Q70" s="21">
        <f t="shared" si="42"/>
        <v>0.95042134831460667</v>
      </c>
      <c r="R70" s="172"/>
      <c r="S70" s="28">
        <v>0.33263888888888887</v>
      </c>
      <c r="T70" s="28">
        <v>0.45624999999999999</v>
      </c>
      <c r="U70" s="4">
        <f t="shared" si="37"/>
        <v>6.9999999999999751</v>
      </c>
      <c r="V70" s="22">
        <f t="shared" si="36"/>
        <v>178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33"/>
        <v>-118.98876404494376</v>
      </c>
      <c r="AF70" s="21">
        <f t="shared" si="43"/>
        <v>0.95042134831460678</v>
      </c>
      <c r="AG70" s="172"/>
    </row>
    <row r="71" spans="1:33" ht="16.5" customHeight="1">
      <c r="A71" s="171" t="s">
        <v>75</v>
      </c>
      <c r="B71" s="37" t="s">
        <v>48</v>
      </c>
      <c r="C71" s="166"/>
      <c r="D71" s="167"/>
      <c r="E71" s="38"/>
      <c r="F71" s="17"/>
      <c r="G71" s="17"/>
      <c r="H71" s="4"/>
      <c r="I71" s="30">
        <v>16.166666666666668</v>
      </c>
      <c r="J71" s="18">
        <v>2400</v>
      </c>
      <c r="K71" s="17">
        <f t="shared" si="38"/>
        <v>148.45360824742266</v>
      </c>
      <c r="L71" s="30">
        <v>16.166666666666668</v>
      </c>
      <c r="M71" s="18">
        <f>AVERAGE(M65:M70)</f>
        <v>2297.1084273510965</v>
      </c>
      <c r="N71" s="17">
        <f t="shared" si="39"/>
        <v>142.08918107326369</v>
      </c>
      <c r="O71" s="19">
        <f t="shared" si="40"/>
        <v>0</v>
      </c>
      <c r="P71" s="20">
        <f t="shared" si="41"/>
        <v>-6.3644271741589762</v>
      </c>
      <c r="Q71" s="21">
        <f t="shared" si="42"/>
        <v>0.95712851139629018</v>
      </c>
      <c r="R71" s="172"/>
      <c r="S71" s="28"/>
      <c r="T71" s="28"/>
      <c r="U71" s="17"/>
      <c r="V71" s="22"/>
      <c r="W71" s="17"/>
      <c r="X71" s="17"/>
      <c r="Y71" s="31">
        <f>SUM(Y65:Y70)</f>
        <v>0</v>
      </c>
      <c r="Z71" s="31">
        <f>SUM(Z65:Z70)</f>
        <v>0</v>
      </c>
      <c r="AA71" s="168"/>
      <c r="AB71" s="168"/>
      <c r="AC71" s="31">
        <v>6</v>
      </c>
      <c r="AD71" s="31">
        <f>SUM(AD65:AD70)</f>
        <v>0</v>
      </c>
      <c r="AE71" s="19">
        <f t="shared" si="33"/>
        <v>-102.89157264890355</v>
      </c>
      <c r="AF71" s="21">
        <f t="shared" si="43"/>
        <v>0.95712851139629018</v>
      </c>
      <c r="AG71" s="172"/>
    </row>
    <row r="72" spans="1:33">
      <c r="D72" s="33"/>
      <c r="E72" s="33"/>
    </row>
  </sheetData>
  <mergeCells count="195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14:A20"/>
    <mergeCell ref="C14:D14"/>
    <mergeCell ref="R14:R20"/>
    <mergeCell ref="AA14:AB14"/>
    <mergeCell ref="AG14:AG20"/>
    <mergeCell ref="C18:D18"/>
    <mergeCell ref="AA18:AB18"/>
    <mergeCell ref="C19:D19"/>
    <mergeCell ref="AA19:AB19"/>
    <mergeCell ref="C20:D20"/>
    <mergeCell ref="AA20:AB20"/>
    <mergeCell ref="C15:D15"/>
    <mergeCell ref="AA15:AB15"/>
    <mergeCell ref="C16:D16"/>
    <mergeCell ref="AA16:AB16"/>
    <mergeCell ref="C17:D17"/>
    <mergeCell ref="AA17:AB17"/>
    <mergeCell ref="A11:A13"/>
    <mergeCell ref="C11:D11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G28:AG33"/>
    <mergeCell ref="C29:D29"/>
    <mergeCell ref="AA29:AB29"/>
    <mergeCell ref="C30:D30"/>
    <mergeCell ref="AA30:AB30"/>
    <mergeCell ref="C31:D31"/>
    <mergeCell ref="AA24:AB24"/>
    <mergeCell ref="C25:D25"/>
    <mergeCell ref="AA25:AB25"/>
    <mergeCell ref="C26:D26"/>
    <mergeCell ref="AA26:AB26"/>
    <mergeCell ref="C27:D27"/>
    <mergeCell ref="AA27:AB27"/>
    <mergeCell ref="AA31:AB31"/>
    <mergeCell ref="C32:D32"/>
    <mergeCell ref="AA32:AB32"/>
    <mergeCell ref="C33:D33"/>
    <mergeCell ref="AA33:AB33"/>
    <mergeCell ref="A34:A39"/>
    <mergeCell ref="C34:D34"/>
    <mergeCell ref="R34:R39"/>
    <mergeCell ref="AA34:AB34"/>
    <mergeCell ref="AA39:AB39"/>
    <mergeCell ref="A28:A33"/>
    <mergeCell ref="C28:D28"/>
    <mergeCell ref="R28:R33"/>
    <mergeCell ref="AA28:AB28"/>
    <mergeCell ref="AG40:AG47"/>
    <mergeCell ref="C41:D41"/>
    <mergeCell ref="AA41:AB41"/>
    <mergeCell ref="C42:D42"/>
    <mergeCell ref="AA42:AB42"/>
    <mergeCell ref="C43:D43"/>
    <mergeCell ref="AG34:AG39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3:AB43"/>
    <mergeCell ref="C44:D44"/>
    <mergeCell ref="AA44:AB44"/>
    <mergeCell ref="C45:D45"/>
    <mergeCell ref="AA45:AB45"/>
    <mergeCell ref="C46:D46"/>
    <mergeCell ref="AA46:AB46"/>
    <mergeCell ref="A40:A47"/>
    <mergeCell ref="C40:D40"/>
    <mergeCell ref="R40:R47"/>
    <mergeCell ref="AA40:AB40"/>
    <mergeCell ref="C47:D47"/>
    <mergeCell ref="AA47:AB47"/>
    <mergeCell ref="A48:A57"/>
    <mergeCell ref="C48:D48"/>
    <mergeCell ref="R48:R57"/>
    <mergeCell ref="AA48:AB48"/>
    <mergeCell ref="AA54:AB54"/>
    <mergeCell ref="C55:D55"/>
    <mergeCell ref="AA55:AB55"/>
    <mergeCell ref="C56:D56"/>
    <mergeCell ref="AG48:AG57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AA56:AB56"/>
    <mergeCell ref="C57:D57"/>
    <mergeCell ref="AA57:AB57"/>
    <mergeCell ref="A58:A64"/>
    <mergeCell ref="C58:D58"/>
    <mergeCell ref="R58:R64"/>
    <mergeCell ref="AA58:AB58"/>
    <mergeCell ref="AA63:AB63"/>
    <mergeCell ref="C64:D64"/>
    <mergeCell ref="AA64:AB64"/>
    <mergeCell ref="AG65:AG71"/>
    <mergeCell ref="C66:D66"/>
    <mergeCell ref="AA66:AB66"/>
    <mergeCell ref="C67:D67"/>
    <mergeCell ref="AA67:AB67"/>
    <mergeCell ref="C68:D68"/>
    <mergeCell ref="AG58:AG64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  <mergeCell ref="AA68:AB68"/>
    <mergeCell ref="C69:D69"/>
    <mergeCell ref="AA69:AB69"/>
    <mergeCell ref="C70:D70"/>
    <mergeCell ref="AA70:AB70"/>
    <mergeCell ref="C71:D71"/>
    <mergeCell ref="AA71:AB71"/>
    <mergeCell ref="A65:A71"/>
    <mergeCell ref="C65:D65"/>
    <mergeCell ref="R65:R71"/>
    <mergeCell ref="AA65:AB65"/>
  </mergeCells>
  <phoneticPr fontId="3" type="noConversion"/>
  <conditionalFormatting sqref="O5:O71">
    <cfRule type="cellIs" dxfId="58" priority="1" operator="greaterThan">
      <formula>0</formula>
    </cfRule>
  </conditionalFormatting>
  <conditionalFormatting sqref="P5:P71">
    <cfRule type="cellIs" dxfId="57" priority="4" operator="lessThan">
      <formula>0</formula>
    </cfRule>
  </conditionalFormatting>
  <conditionalFormatting sqref="Q5:Q71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R5:R11 AG5:AG11">
    <cfRule type="cellIs" dxfId="54" priority="63" operator="lessThan">
      <formula>0.8</formula>
    </cfRule>
  </conditionalFormatting>
  <conditionalFormatting sqref="AE5:AE71">
    <cfRule type="cellIs" dxfId="53" priority="17" operator="lessThan">
      <formula>0</formula>
    </cfRule>
  </conditionalFormatting>
  <conditionalFormatting sqref="AF5:AF71">
    <cfRule type="cellIs" dxfId="52" priority="16" operator="lessThan">
      <formula>0.8</formula>
    </cfRule>
    <cfRule type="cellIs" dxfId="51" priority="15" operator="greaterThan">
      <formula>1</formula>
    </cfRule>
  </conditionalFormatting>
  <conditionalFormatting sqref="AG14:AG61 R14:R71">
    <cfRule type="cellIs" dxfId="50" priority="5" operator="lessThan">
      <formula>0.8</formula>
    </cfRule>
  </conditionalFormatting>
  <dataValidations count="1">
    <dataValidation type="list" allowBlank="1" showInputMessage="1" showErrorMessage="1" sqref="AB10 AA5:AB9 AB62:AB63 AB12:AB58 AA10:AA63 AA64:AB71" xr:uid="{00000000-0002-0000-2D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Q32"/>
  <sheetViews>
    <sheetView topLeftCell="A3" zoomScale="85" zoomScaleNormal="85" workbookViewId="0">
      <selection activeCell="I3" sqref="I3:J3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491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492</v>
      </c>
      <c r="C3" s="153" t="str">
        <f>TEXT('0205 4度C'!A2,"yyyy.mm.ddaaaa")</f>
        <v>2026.02.05星期四</v>
      </c>
      <c r="D3" s="154"/>
      <c r="E3" s="47" t="s">
        <v>493</v>
      </c>
      <c r="F3" s="155">
        <f>'0205 4度C'!D1</f>
        <v>144905</v>
      </c>
      <c r="G3" s="156"/>
      <c r="H3" s="47" t="s">
        <v>494</v>
      </c>
      <c r="I3" s="157">
        <f>'0205 4度C'!F1</f>
        <v>4893637.8600000003</v>
      </c>
      <c r="J3" s="158"/>
      <c r="K3" s="48"/>
      <c r="L3" s="49"/>
      <c r="M3" s="49"/>
      <c r="N3" s="49"/>
    </row>
    <row r="4" spans="2:17" ht="28.5" customHeight="1">
      <c r="B4" s="159" t="s">
        <v>495</v>
      </c>
      <c r="C4" s="145" t="s">
        <v>496</v>
      </c>
      <c r="D4" s="146"/>
      <c r="E4" s="162" t="s">
        <v>497</v>
      </c>
      <c r="F4" s="163"/>
      <c r="G4" s="162" t="s">
        <v>498</v>
      </c>
      <c r="H4" s="163"/>
      <c r="I4" s="162" t="s">
        <v>499</v>
      </c>
      <c r="J4" s="163"/>
      <c r="K4" s="143" t="s">
        <v>500</v>
      </c>
      <c r="L4" s="144"/>
      <c r="M4" s="144" t="s">
        <v>501</v>
      </c>
      <c r="N4" s="144"/>
    </row>
    <row r="5" spans="2:17" ht="28.5" customHeight="1">
      <c r="B5" s="160"/>
      <c r="C5" s="145" t="s">
        <v>502</v>
      </c>
      <c r="D5" s="146"/>
      <c r="E5" s="145" t="s">
        <v>503</v>
      </c>
      <c r="F5" s="146"/>
      <c r="G5" s="147" t="s">
        <v>504</v>
      </c>
      <c r="H5" s="148"/>
      <c r="I5" s="149" t="s">
        <v>505</v>
      </c>
      <c r="J5" s="150"/>
      <c r="K5" s="50" t="s">
        <v>506</v>
      </c>
      <c r="L5" s="51" t="s">
        <v>507</v>
      </c>
      <c r="M5" s="50" t="s">
        <v>506</v>
      </c>
      <c r="N5" s="51" t="s">
        <v>508</v>
      </c>
    </row>
    <row r="6" spans="2:17" ht="28.5" customHeight="1">
      <c r="B6" s="160"/>
      <c r="C6" s="145" t="s">
        <v>158</v>
      </c>
      <c r="D6" s="146"/>
      <c r="E6" s="137">
        <f>AVERAGE(D13:M13)</f>
        <v>145.1161828952425</v>
      </c>
      <c r="F6" s="138">
        <f>AVERAGE(D31:O31,D13:J13)</f>
        <v>148.6293294611678</v>
      </c>
      <c r="G6" s="139">
        <f>AVERAGE(D13:J13)</f>
        <v>148.6293294611678</v>
      </c>
      <c r="H6" s="140"/>
      <c r="I6" s="139">
        <f>AVERAGE(K13:M13)</f>
        <v>136.91884090808341</v>
      </c>
      <c r="J6" s="140"/>
      <c r="K6" s="141">
        <f>'0205 4度C'!Y2</f>
        <v>0</v>
      </c>
      <c r="L6" s="126">
        <f>'0205 4度C'!Z2</f>
        <v>0</v>
      </c>
      <c r="M6" s="142">
        <f>'0205 4度C'!AC2</f>
        <v>57</v>
      </c>
      <c r="N6" s="126">
        <f>'0205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138.84849070492265</v>
      </c>
      <c r="F7" s="130">
        <f>AVERAGE(D32:O32,D14:J14)</f>
        <v>142.26353458989692</v>
      </c>
      <c r="G7" s="131">
        <f>AVERAGE(D14:J14)</f>
        <v>142.26353458989692</v>
      </c>
      <c r="H7" s="132"/>
      <c r="I7" s="131">
        <f>AVERAGE(K14:M14)</f>
        <v>130.88005497331599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0.95630107106016526</v>
      </c>
      <c r="F8" s="134">
        <f>AVERAGE(D15:J15,D33:O33)</f>
        <v>0.9565504160659396</v>
      </c>
      <c r="G8" s="135">
        <f>AVERAGE(D15:J15)</f>
        <v>0.9565504160659396</v>
      </c>
      <c r="H8" s="136"/>
      <c r="I8" s="135">
        <f>AVERAGE(K15:M15)</f>
        <v>0.955719266046692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509</v>
      </c>
      <c r="N9" s="49"/>
      <c r="O9" s="49"/>
      <c r="P9" s="49"/>
      <c r="Q9" s="49"/>
    </row>
    <row r="10" spans="2:17" ht="30" customHeight="1">
      <c r="B10" s="109" t="s">
        <v>510</v>
      </c>
      <c r="C10" s="110"/>
      <c r="D10" s="111" t="s">
        <v>511</v>
      </c>
      <c r="E10" s="112"/>
      <c r="F10" s="112"/>
      <c r="G10" s="112"/>
      <c r="H10" s="112"/>
      <c r="I10" s="112"/>
      <c r="J10" s="113"/>
      <c r="K10" s="114" t="s">
        <v>512</v>
      </c>
      <c r="L10" s="115"/>
      <c r="M10" s="116"/>
      <c r="P10" s="55"/>
      <c r="Q10" s="55"/>
    </row>
    <row r="11" spans="2:17" ht="17.25" customHeight="1">
      <c r="B11" s="117" t="s">
        <v>513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514</v>
      </c>
      <c r="C13" s="62" t="s">
        <v>515</v>
      </c>
      <c r="D13" s="63">
        <f>SUMIFS('0205 4度C'!$K:$K,'0205 4度C'!$A:$A,"新豐6線",'0205 4度C'!$B:$B,"平均")</f>
        <v>113.63636363636363</v>
      </c>
      <c r="E13" s="64">
        <f>SUMIFS('0205 4度C'!$K:$K,'0205 4度C'!$A:$A,"新豐2線",'0205 4度C'!$B:$B,"平均")</f>
        <v>83.333333333333329</v>
      </c>
      <c r="F13" s="65">
        <f>SUMIFS('0205 4度C'!$K:$K,'0205 4度C'!$A:$A,"新豐5線",'0205 4度C'!$B:$B,"平均")</f>
        <v>106.79611650485435</v>
      </c>
      <c r="G13" s="65">
        <f>SUMIFS('0205 4度C'!$K:$K,'0205 4度C'!$A:$A,"新豐7線",'0205 4度C'!$B:$B,"平均")</f>
        <v>125</v>
      </c>
      <c r="H13" s="65">
        <f>SUMIFS('0205 4度C'!$K:$K,'0205 4度C'!$A:$A,"新豐3線",'0205 4度C'!$B:$B,"平均")</f>
        <v>304.3478260869565</v>
      </c>
      <c r="I13" s="65">
        <f>SUMIFS('0205 4度C'!$K:$K,'0205 4度C'!$A:$A,"新豐1線",'0205 4度C'!$B:$B,"平均")</f>
        <v>104.16666666666666</v>
      </c>
      <c r="J13" s="66">
        <f>SUMIFS('0205 4度C'!$K:$K,'0205 4度C'!$A:$A,"新豐10線",'0205 4度C'!$B:$B,"平均")</f>
        <v>203.125</v>
      </c>
      <c r="K13" s="67">
        <f>SUMIFS('0205 4度C'!$K:$K,'0205 4度C'!$A:$A,"新豐8線",'0205 4度C'!$B:$B,"平均")</f>
        <v>131.86813186813188</v>
      </c>
      <c r="L13" s="68">
        <f>SUMIFS('0205 4度C'!$K:$K,'0205 4度C'!$A:$A,"新豐9線",'0205 4度C'!$B:$B,"平均")</f>
        <v>130.43478260869566</v>
      </c>
      <c r="M13" s="66">
        <f>SUMIFS('0205 4度C'!$K:$K,'0205 4度C'!$A:$A,"新豐4線",'0205 4度C'!$B:$B,"平均")</f>
        <v>148.45360824742266</v>
      </c>
    </row>
    <row r="14" spans="2:17" ht="39.6" customHeight="1">
      <c r="B14" s="122"/>
      <c r="C14" s="69" t="s">
        <v>516</v>
      </c>
      <c r="D14" s="70">
        <f>SUMIFS('0205 4度C'!$N:$N,'0205 4度C'!$A:$A,"新豐6線",'0205 4度C'!$B:$B,"平均")</f>
        <v>110.16764402041802</v>
      </c>
      <c r="E14" s="71">
        <f>SUMIFS('0205 4度C'!$N:$N,'0205 4度C'!$A:$A,"新豐2線",'0205 4度C'!$B:$B,"平均")</f>
        <v>79.679850582289589</v>
      </c>
      <c r="F14" s="71">
        <f>SUMIFS('0205 4度C'!$N:$N,'0205 4度C'!$A:$A,"新豐5線",'0205 4度C'!$B:$B,"平均")</f>
        <v>102.51117493300526</v>
      </c>
      <c r="G14" s="71">
        <f>SUMIFS('0205 4度C'!$N:$N,'0205 4度C'!$A:$A,"新豐7線",'0205 4度C'!$B:$B,"平均")</f>
        <v>119.61970091306792</v>
      </c>
      <c r="H14" s="71">
        <f>SUMIFS('0205 4度C'!$N:$N,'0205 4度C'!$A:$A,"新豐3線",'0205 4度C'!$B:$B,"平均")</f>
        <v>291.16646463022397</v>
      </c>
      <c r="I14" s="71">
        <f>SUMIFS('0205 4度C'!$N:$N,'0205 4度C'!$A:$A,"新豐1線",'0205 4度C'!$B:$B,"平均")</f>
        <v>97.438099338058393</v>
      </c>
      <c r="J14" s="72">
        <f>SUMIFS('0205 4度C'!$N:$N,'0205 4度C'!$A:$A,"新豐10線",'0205 4度C'!$B:$B,"平均")</f>
        <v>195.26180771221539</v>
      </c>
      <c r="K14" s="73">
        <f>SUMIFS('0205 4度C'!$N:$N,'0205 4度C'!$A:$A,"新豐8線",'0205 4度C'!$B:$B,"平均")</f>
        <v>125.79840518484738</v>
      </c>
      <c r="L14" s="74">
        <f>SUMIFS('0205 4度C'!$N:$N,'0205 4度C'!$A:$A,"新豐9線",'0205 4度C'!$B:$B,"平均")</f>
        <v>124.34595169604502</v>
      </c>
      <c r="M14" s="72">
        <f>SUMIFS('0205 4度C'!$N:$N,'0205 4度C'!$A:$A,"新豐4線",'0205 4度C'!$B:$B,"平均")</f>
        <v>142.49580803905559</v>
      </c>
    </row>
    <row r="15" spans="2:17" ht="40.15" customHeight="1">
      <c r="B15" s="123"/>
      <c r="C15" s="75" t="s">
        <v>517</v>
      </c>
      <c r="D15" s="76">
        <f t="shared" ref="D15:M15" si="0">D14/D13</f>
        <v>0.96947526737967871</v>
      </c>
      <c r="E15" s="77">
        <f t="shared" si="0"/>
        <v>0.95615820698747511</v>
      </c>
      <c r="F15" s="77">
        <f t="shared" si="0"/>
        <v>0.9598773652817767</v>
      </c>
      <c r="G15" s="77">
        <f t="shared" si="0"/>
        <v>0.95695760730454338</v>
      </c>
      <c r="H15" s="77">
        <f t="shared" si="0"/>
        <v>0.95668981235645023</v>
      </c>
      <c r="I15" s="77">
        <f t="shared" si="0"/>
        <v>0.9354057536453606</v>
      </c>
      <c r="J15" s="78">
        <f t="shared" si="0"/>
        <v>0.96128889950629115</v>
      </c>
      <c r="K15" s="76">
        <f t="shared" si="0"/>
        <v>0.95397123931842587</v>
      </c>
      <c r="L15" s="77">
        <f t="shared" si="0"/>
        <v>0.95331896300301178</v>
      </c>
      <c r="M15" s="78">
        <f t="shared" si="0"/>
        <v>0.95986759581863845</v>
      </c>
    </row>
    <row r="16" spans="2:17" ht="17.25" customHeight="1">
      <c r="B16" s="124" t="s">
        <v>518</v>
      </c>
      <c r="C16" s="79" t="s">
        <v>519</v>
      </c>
      <c r="D16" s="80">
        <f>VLOOKUP("新豐6線",'0205 4度C'!$A:$T,19,0)</f>
        <v>0.70833333333333337</v>
      </c>
      <c r="E16" s="81">
        <f>VLOOKUP("新豐2線",'0205 4度C'!$A:$T,19,0)</f>
        <v>0.20833333333333334</v>
      </c>
      <c r="F16" s="81">
        <f>VLOOKUP("新豐5線",'0205 4度C'!$A:$T,19,0)</f>
        <v>0.20833333333333334</v>
      </c>
      <c r="G16" s="81">
        <f>VLOOKUP("新豐7線",'0205 4度C'!$A:$T,19,0)</f>
        <v>0.20833333333333334</v>
      </c>
      <c r="H16" s="81">
        <f>VLOOKUP("新豐3線",'0205 4度C'!$A:$T,19,0)</f>
        <v>8.3333333333333329E-2</v>
      </c>
      <c r="I16" s="81">
        <f>VLOOKUP("新豐1線",'0205 4度C'!$A:$T,19,0)</f>
        <v>0.20833333333333334</v>
      </c>
      <c r="J16" s="82">
        <f>VLOOKUP("新豐10線",'0205 4度C'!$A:$T,19,0)</f>
        <v>0.20833333333333334</v>
      </c>
      <c r="K16" s="83">
        <f>VLOOKUP("新豐8線",'0205 4度C'!$A:$T,19,0)</f>
        <v>8.3333333333333329E-2</v>
      </c>
      <c r="L16" s="84">
        <f>VLOOKUP("新豐9線",'0205 4度C'!$A:$T,19,0)</f>
        <v>8.3333333333333329E-2</v>
      </c>
      <c r="M16" s="85">
        <f>VLOOKUP("新豐4線",'0205 4度C'!$A:$T,19,0)</f>
        <v>8.3333333333333329E-2</v>
      </c>
    </row>
    <row r="17" spans="2:13" ht="17.25" customHeight="1">
      <c r="B17" s="125"/>
      <c r="C17" s="79" t="s">
        <v>520</v>
      </c>
      <c r="D17" s="83">
        <f>LOOKUP(2,1/(('0205 4度C'!$A:$A="新豐6線")*('0205 4度C'!$T:$T&lt;&gt;"")),'0205 4度C'!$T:$T)</f>
        <v>0.83263888888888893</v>
      </c>
      <c r="E17" s="81">
        <f>LOOKUP(2,1/(('0205 4度C'!$A:$A="新豐2線")*('0205 4度C'!$T:$T&lt;&gt;"")),'0205 4度C'!$T:$T)</f>
        <v>0.42777777777777781</v>
      </c>
      <c r="F17" s="81">
        <f>LOOKUP(2,1/(('0205 4度C'!$A:$A="新豐5線")*('0205 4度C'!$T:$T&lt;&gt;"")),'0205 4度C'!$T:$T)</f>
        <v>0.84791666666666665</v>
      </c>
      <c r="G17" s="81">
        <f>LOOKUP(2,1/(('0205 4度C'!$A:$A="新豐7線")*('0205 4度C'!$T:$T&lt;&gt;"")),'0205 4度C'!$T:$T)</f>
        <v>0.84791666666666665</v>
      </c>
      <c r="H17" s="81">
        <f>LOOKUP(2,1/(('0205 4度C'!$A:$A="新豐3線")*('0205 4度C'!$T:$T&lt;&gt;"")),'0205 4度C'!$T:$T)</f>
        <v>0.52083333333333337</v>
      </c>
      <c r="I17" s="81">
        <f>LOOKUP(2,1/(('0205 4度C'!$A:$A="新豐1線")*('0205 4度C'!$T:$T&lt;&gt;"")),'0205 4度C'!$T:$T)</f>
        <v>0.84027777777777779</v>
      </c>
      <c r="J17" s="82">
        <f>LOOKUP(2,1/(('0205 4度C'!$A:$A="新豐10線")*('0205 4度C'!$T:$T&lt;&gt;"")),'0205 4度C'!$T:$T)</f>
        <v>0.45624999999999993</v>
      </c>
      <c r="K17" s="80">
        <f>LOOKUP(2,1/(('0205 4度C'!$A:$A="新豐8線")*('0205 4度C'!$T:$T&lt;&gt;"")),'0205 4度C'!$T:$T)</f>
        <v>0.5083333333333333</v>
      </c>
      <c r="L17" s="81">
        <f>LOOKUP(2,1/(('0205 4度C'!$A:$A="新豐9線")*('0205 4度C'!$T:$T&lt;&gt;"")),'0205 4度C'!$T:$T)</f>
        <v>0.50763888888888886</v>
      </c>
      <c r="M17" s="82">
        <f>LOOKUP(2,1/(('0205 4度C'!$A:$A="新豐4線")*('0205 4度C'!$T:$T&lt;&gt;"")),'0205 4度C'!$T:$T)</f>
        <v>0.51249999999999984</v>
      </c>
    </row>
    <row r="18" spans="2:13" ht="17.25" customHeight="1">
      <c r="B18" s="103" t="s">
        <v>521</v>
      </c>
      <c r="C18" s="86" t="s">
        <v>522</v>
      </c>
      <c r="D18" s="87">
        <f>SUMIFS('0205 4度C'!$Y:$Y,'0205 4度C'!$A:$A,"新豐6線",'0205 4度C'!$B:$B,"平均")</f>
        <v>0</v>
      </c>
      <c r="E18" s="88">
        <f>SUMIFS('0205 4度C'!$Y:$Y,'0205 4度C'!$A:$A,"新豐2線",'0205 4度C'!$B:$B,"平均")</f>
        <v>0</v>
      </c>
      <c r="F18" s="88">
        <f>SUMIFS('0205 4度C'!$Y:$Y,'0205 4度C'!$A:$A,"新豐5線",'0205 4度C'!$B:$B,"平均")</f>
        <v>0</v>
      </c>
      <c r="G18" s="88">
        <f>SUMIFS('0205 4度C'!$Y:$Y,'0205 4度C'!$A:$A,"新豐7線",'0205 4度C'!$B:$B,"平均")</f>
        <v>0</v>
      </c>
      <c r="H18" s="88">
        <f>SUMIFS('0205 4度C'!$Y:$Y,'0205 4度C'!$A:$A,"新豐3線",'0205 4度C'!$B:$B,"平均")</f>
        <v>0</v>
      </c>
      <c r="I18" s="88">
        <f>SUMIFS('0205 4度C'!$Y:$Y,'0205 4度C'!$A:$A,"新豐1線",'0205 4度C'!$B:$B,"平均")</f>
        <v>0</v>
      </c>
      <c r="J18" s="89">
        <f>SUMIFS('0205 4度C'!$Y:$Y,'0205 4度C'!$A:$A,"新豐10線",'0205 4度C'!$B:$B,"平均")</f>
        <v>0</v>
      </c>
      <c r="K18" s="90">
        <f>SUMIFS('0205 4度C'!$Y:$Y,'0205 4度C'!$A:$A,"新豐8線",'0205 4度C'!$B:$B,"平均")</f>
        <v>0</v>
      </c>
      <c r="L18" s="88">
        <f>SUMIFS('0205 4度C'!$Y:$Y,'0205 4度C'!$A:$A,"新豐9線",'0205 4度C'!$B:$B,"平均")</f>
        <v>0</v>
      </c>
      <c r="M18" s="89">
        <f>SUMIFS('0205 4度C'!$Y:$Y,'0205 4度C'!$A:$A,"新豐4線",'0205 4度C'!$B:$B,"平均")</f>
        <v>0</v>
      </c>
    </row>
    <row r="19" spans="2:13" ht="17.25" customHeight="1">
      <c r="B19" s="104"/>
      <c r="C19" s="86" t="s">
        <v>523</v>
      </c>
      <c r="D19" s="87">
        <f>SUMIFS('0205 4度C'!$Z:$Z,'0205 4度C'!$A:$A,"新豐6線",'0205 4度C'!$B:$B,"平均")</f>
        <v>0</v>
      </c>
      <c r="E19" s="88">
        <f>SUMIFS('0205 4度C'!$Z:$Z,'0205 4度C'!$A:$A,"新豐2線",'0205 4度C'!$B:$B,"平均")</f>
        <v>0</v>
      </c>
      <c r="F19" s="88">
        <f>SUMIFS('0205 4度C'!$Z:$Z,'0205 4度C'!$A:$A,"新豐5線",'0205 4度C'!$B:$B,"平均")</f>
        <v>0</v>
      </c>
      <c r="G19" s="88">
        <f>SUMIFS('0205 4度C'!$Z:$Z,'0205 4度C'!$A:$A,"新豐7線",'0205 4度C'!$B:$B,"平均")</f>
        <v>0</v>
      </c>
      <c r="H19" s="88">
        <f>SUMIFS('0205 4度C'!$Z:$Z,'0205 4度C'!$A:$A,"新豐3線",'0205 4度C'!$B:$B,"平均")</f>
        <v>0</v>
      </c>
      <c r="I19" s="88">
        <f>SUMIFS('0205 4度C'!$Z:$Z,'0205 4度C'!$A:$A,"新豐1線",'0205 4度C'!$B:$B,"平均")</f>
        <v>0</v>
      </c>
      <c r="J19" s="89">
        <f>SUMIFS('0205 4度C'!$Z:$Z,'0205 4度C'!$A:$A,"新豐10線",'0205 4度C'!$B:$B,"平均")</f>
        <v>0</v>
      </c>
      <c r="K19" s="90">
        <f>SUMIFS('0205 4度C'!$Z:$Z,'0205 4度C'!$A:$A,"新豐8線",'0205 4度C'!$B:$B,"平均")</f>
        <v>0</v>
      </c>
      <c r="L19" s="88">
        <f>SUMIFS('0205 4度C'!$Z:$Z,'0205 4度C'!$A:$A,"新豐9線",'0205 4度C'!$B:$B,"平均")</f>
        <v>0</v>
      </c>
      <c r="M19" s="89">
        <f>SUMIFS('0205 4度C'!$Z:$Z,'0205 4度C'!$A:$A,"新豐4線",'0205 4度C'!$B:$B,"平均")</f>
        <v>0</v>
      </c>
    </row>
    <row r="20" spans="2:13" ht="17.25" customHeight="1">
      <c r="B20" s="103" t="s">
        <v>524</v>
      </c>
      <c r="C20" s="86" t="s">
        <v>522</v>
      </c>
      <c r="D20" s="87">
        <f>SUMIFS('0205 4度C'!$AC:$AC,'0205 4度C'!$A:$A,"新豐6線",'0205 4度C'!$B:$B,"平均")</f>
        <v>5</v>
      </c>
      <c r="E20" s="88">
        <f>SUMIFS('0205 4度C'!$AC:$AC,'0205 4度C'!$A:$A,"新豐2線",'0205 4度C'!$B:$B,"平均")</f>
        <v>2</v>
      </c>
      <c r="F20" s="88">
        <f>SUMIFS('0205 4度C'!$AC:$AC,'0205 4度C'!$A:$A,"新豐5線",'0205 4度C'!$B:$B,"平均")</f>
        <v>6</v>
      </c>
      <c r="G20" s="88">
        <f>SUMIFS('0205 4度C'!$AC:$AC,'0205 4度C'!$A:$A,"新豐7線",'0205 4度C'!$B:$B,"平均")</f>
        <v>6</v>
      </c>
      <c r="H20" s="88">
        <f>SUMIFS('0205 4度C'!$AC:$AC,'0205 4度C'!$A:$A,"新豐3線",'0205 4度C'!$B:$B,"平均")</f>
        <v>7</v>
      </c>
      <c r="I20" s="88">
        <f>SUMIFS('0205 4度C'!$AC:$AC,'0205 4度C'!$A:$A,"新豐1線",'0205 4度C'!$B:$B,"平均")</f>
        <v>9</v>
      </c>
      <c r="J20" s="89">
        <f>SUMIFS('0205 4度C'!$AC:$AC,'0205 4度C'!$A:$A,"新豐10線",'0205 4度C'!$B:$B,"平均")</f>
        <v>6</v>
      </c>
      <c r="K20" s="90">
        <f>SUMIFS('0205 4度C'!$AC:$AC,'0205 4度C'!$A:$A,"新豐8線",'0205 4度C'!$B:$B,"平均")</f>
        <v>5</v>
      </c>
      <c r="L20" s="88">
        <f>SUMIFS('0205 4度C'!$AC:$AC,'0205 4度C'!$A:$A,"新豐9線",'0205 4度C'!$B:$B,"平均")</f>
        <v>5</v>
      </c>
      <c r="M20" s="89">
        <f>SUMIFS('0205 4度C'!$AC:$AC,'0205 4度C'!$A:$A,"新豐4線",'0205 4度C'!$B:$B,"平均")</f>
        <v>6</v>
      </c>
    </row>
    <row r="21" spans="2:13" ht="17.25" customHeight="1">
      <c r="B21" s="104"/>
      <c r="C21" s="86" t="s">
        <v>525</v>
      </c>
      <c r="D21" s="87">
        <f>SUMIFS('0205 4度C'!$AD:$AD,'0205 4度C'!$A:$A,"新豐6線",'0205 4度C'!$B:$B,"平均")</f>
        <v>0</v>
      </c>
      <c r="E21" s="88">
        <f>SUMIFS('0205 4度C'!$AD:$AD,'0205 4度C'!$A:$A,"新豐2線",'0205 4度C'!$B:$B,"平均")</f>
        <v>0</v>
      </c>
      <c r="F21" s="88">
        <f>SUMIFS('0205 4度C'!$AD:$AD,'0205 4度C'!$A:$A,"新豐5線",'0205 4度C'!$B:$B,"平均")</f>
        <v>0</v>
      </c>
      <c r="G21" s="88">
        <f>SUMIFS('0205 4度C'!$AD:$AD,'0205 4度C'!$A:$A,"新豐7線",'0205 4度C'!$B:$B,"平均")</f>
        <v>0</v>
      </c>
      <c r="H21" s="88">
        <f>SUMIFS('0205 4度C'!$AD:$AD,'0205 4度C'!$A:$A,"新豐3線",'0205 4度C'!$B:$B,"平均")</f>
        <v>0</v>
      </c>
      <c r="I21" s="88">
        <f>SUMIFS('0205 4度C'!$AD:$AD,'0205 4度C'!$A:$A,"新豐1線",'0205 4度C'!$B:$B,"平均")</f>
        <v>0</v>
      </c>
      <c r="J21" s="89">
        <f>SUMIFS('0205 4度C'!$AD:$AD,'0205 4度C'!$A:$A,"新豐10線",'0205 4度C'!$B:$B,"平均")</f>
        <v>0</v>
      </c>
      <c r="K21" s="90">
        <f>SUMIFS('0205 4度C'!$AD:$AD,'0205 4度C'!$A:$A,"新豐8線",'0205 4度C'!$B:$B,"平均")</f>
        <v>0</v>
      </c>
      <c r="L21" s="88">
        <f>SUMIFS('0205 4度C'!$AD:$AD,'0205 4度C'!$A:$A,"新豐9線",'0205 4度C'!$B:$B,"平均")</f>
        <v>0</v>
      </c>
      <c r="M21" s="89">
        <f>SUMIFS('0205 4度C'!$AD:$AD,'0205 4度C'!$A:$A,"新豐4線",'0205 4度C'!$B:$B,"平均")</f>
        <v>0</v>
      </c>
    </row>
    <row r="22" spans="2:13" ht="17.25" customHeight="1">
      <c r="B22" s="105" t="s">
        <v>526</v>
      </c>
      <c r="C22" s="106"/>
      <c r="D22" s="91">
        <f>SUMIFS('0205 4度C'!$I:$I,'0205 4度C'!$A:$A,"新豐6線",'0205 4度C'!$B:$B,"平均")</f>
        <v>17.600000000000001</v>
      </c>
      <c r="E22" s="92">
        <f>SUMIFS('0205 4度C'!$I:$I,'0205 4度C'!$A:$A,"新豐2線",'0205 4度C'!$B:$B,"平均")</f>
        <v>18</v>
      </c>
      <c r="F22" s="92">
        <f>SUMIFS('0205 4度C'!$I:$I,'0205 4度C'!$A:$A,"新豐5線",'0205 4度C'!$B:$B,"平均")</f>
        <v>17.166666666666668</v>
      </c>
      <c r="G22" s="92">
        <f>SUMIFS('0205 4度C'!$I:$I,'0205 4度C'!$A:$A,"新豐7線",'0205 4度C'!$B:$B,"平均")</f>
        <v>15.333333333333334</v>
      </c>
      <c r="H22" s="92">
        <f>SUMIFS('0205 4度C'!$I:$I,'0205 4度C'!$A:$A,"新豐3線",'0205 4度C'!$B:$B,"平均")</f>
        <v>9.8571428571428577</v>
      </c>
      <c r="I22" s="92">
        <f>SUMIFS('0205 4度C'!$I:$I,'0205 4度C'!$A:$A,"新豐1線",'0205 4度C'!$B:$B,"平均")</f>
        <v>18.666666666666668</v>
      </c>
      <c r="J22" s="93">
        <f>SUMIFS('0205 4度C'!$I:$I,'0205 4度C'!$A:$A,"新豐10線",'0205 4度C'!$B:$B,"平均")</f>
        <v>10.666666666666666</v>
      </c>
      <c r="K22" s="91">
        <f>SUMIFS('0205 4度C'!$I:$I,'0205 4度C'!$A:$A,"新豐8線",'0205 4度C'!$B:$B,"平均")</f>
        <v>18.2</v>
      </c>
      <c r="L22" s="92">
        <f>SUMIFS('0205 4度C'!$I:$I,'0205 4度C'!$A:$A,"新豐9線",'0205 4度C'!$B:$B,"平均")</f>
        <v>18.399999999999999</v>
      </c>
      <c r="M22" s="93">
        <f>SUMIFS('0205 4度C'!$I:$I,'0205 4度C'!$A:$A,"新豐4線",'0205 4度C'!$B:$B,"平均")</f>
        <v>16.166666666666668</v>
      </c>
    </row>
    <row r="23" spans="2:13" ht="17.25" customHeight="1">
      <c r="B23" s="105" t="s">
        <v>527</v>
      </c>
      <c r="C23" s="106"/>
      <c r="D23" s="94" t="s">
        <v>191</v>
      </c>
      <c r="E23" s="95" t="s">
        <v>192</v>
      </c>
      <c r="F23" s="95" t="s">
        <v>528</v>
      </c>
      <c r="G23" s="95" t="s">
        <v>528</v>
      </c>
      <c r="H23" s="95" t="s">
        <v>194</v>
      </c>
      <c r="I23" s="95" t="s">
        <v>191</v>
      </c>
      <c r="J23" s="96" t="s">
        <v>194</v>
      </c>
      <c r="K23" s="94" t="s">
        <v>529</v>
      </c>
      <c r="L23" s="95" t="s">
        <v>529</v>
      </c>
      <c r="M23" s="96" t="s">
        <v>529</v>
      </c>
    </row>
    <row r="24" spans="2:13" ht="17.25" customHeight="1">
      <c r="B24" s="105" t="s">
        <v>530</v>
      </c>
      <c r="C24" s="106"/>
      <c r="D24" s="94"/>
      <c r="E24" s="95"/>
      <c r="F24" s="95" t="s">
        <v>531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532</v>
      </c>
      <c r="C25" s="108"/>
      <c r="D25" s="97"/>
      <c r="E25" s="98" t="s">
        <v>533</v>
      </c>
      <c r="F25" s="101" t="s">
        <v>534</v>
      </c>
      <c r="G25" s="102"/>
      <c r="H25" s="98" t="s">
        <v>535</v>
      </c>
      <c r="I25" s="98" t="s">
        <v>536</v>
      </c>
      <c r="J25" s="99" t="s">
        <v>535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4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工作表13">
    <pageSetUpPr fitToPage="1"/>
  </sheetPr>
  <dimension ref="A1:AG72"/>
  <sheetViews>
    <sheetView topLeftCell="N1" zoomScale="80" zoomScaleNormal="80" workbookViewId="0">
      <pane ySplit="4" topLeftCell="A5" activePane="bottomLeft" state="frozen"/>
      <selection activeCell="D10" sqref="D10:J10"/>
      <selection pane="bottomLeft" activeCell="AC2" sqref="AC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SUM(F5:F71)</f>
        <v>144905</v>
      </c>
      <c r="E1" s="4" t="s">
        <v>537</v>
      </c>
      <c r="F1" s="1">
        <f>SUM(G5:G71)</f>
        <v>4893637.8600000003</v>
      </c>
      <c r="G1" s="1" t="s">
        <v>3</v>
      </c>
      <c r="H1" s="5">
        <f>L10+L13+L47+L57+L20+L64+L33+L39+L27+L71</f>
        <v>160.05714285714288</v>
      </c>
      <c r="I1" s="214" t="s">
        <v>4</v>
      </c>
      <c r="J1" s="214"/>
      <c r="K1" s="214"/>
      <c r="L1" s="214" t="s">
        <v>5</v>
      </c>
      <c r="M1" s="214"/>
      <c r="N1" s="214"/>
      <c r="O1" s="214" t="s">
        <v>6</v>
      </c>
      <c r="P1" s="214"/>
      <c r="Q1" s="214"/>
      <c r="R1" s="214"/>
      <c r="S1" s="214" t="s">
        <v>7</v>
      </c>
      <c r="T1" s="214"/>
      <c r="U1" s="214"/>
      <c r="V1" s="214"/>
      <c r="W1" s="214"/>
      <c r="X1" s="214"/>
      <c r="Y1" s="6" t="s">
        <v>8</v>
      </c>
      <c r="Z1" s="7" t="s">
        <v>9</v>
      </c>
      <c r="AA1" s="215" t="s">
        <v>10</v>
      </c>
      <c r="AB1" s="215"/>
      <c r="AC1" s="8" t="s">
        <v>8</v>
      </c>
      <c r="AD1" s="7" t="s">
        <v>11</v>
      </c>
      <c r="AE1" s="214" t="s">
        <v>538</v>
      </c>
      <c r="AF1" s="216"/>
      <c r="AG1" s="216"/>
    </row>
    <row r="2" spans="1:33" ht="26.25" customHeight="1">
      <c r="A2" s="35">
        <v>46058</v>
      </c>
      <c r="B2" s="36" t="s">
        <v>539</v>
      </c>
      <c r="C2" s="2" t="s">
        <v>13</v>
      </c>
      <c r="D2" s="10">
        <f>AVERAGE(N10,N13,N47,N57,N20,N64,N27,N33,N39,N71)</f>
        <v>138.84849070492265</v>
      </c>
      <c r="E2" s="11" t="s">
        <v>14</v>
      </c>
      <c r="F2" s="12">
        <f>F1/D1</f>
        <v>33.771352679341639</v>
      </c>
      <c r="G2" s="1" t="s">
        <v>540</v>
      </c>
      <c r="H2" s="13">
        <f>COUNT(H5:H71)</f>
        <v>1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SUM(Y10+Y13+Y20+Y27+Y33+Y39+Y47+Y57+Y64+Y71)</f>
        <v>0</v>
      </c>
      <c r="Z2" s="14">
        <f>SUM(Z10+Z13+Z20+Z27+Z33+Z39+Z47+Z57+Z64+Z71)</f>
        <v>0</v>
      </c>
      <c r="AA2" s="215"/>
      <c r="AB2" s="215"/>
      <c r="AC2" s="14">
        <f>SUM(AC10+AC13+AC20+AC27+AC33+AC39+AC47+AC57+AC64+AC71)</f>
        <v>57</v>
      </c>
      <c r="AD2" s="14">
        <f>SUM(AD10+AD13+AD20+AD27+AD33+AD39+AD47+AD57+AD64+AD71)</f>
        <v>0</v>
      </c>
      <c r="AE2" s="216"/>
      <c r="AF2" s="216"/>
      <c r="AG2" s="216"/>
    </row>
    <row r="3" spans="1:33" ht="40.5" customHeight="1">
      <c r="A3" s="164" t="s">
        <v>16</v>
      </c>
      <c r="B3" s="164" t="s">
        <v>541</v>
      </c>
      <c r="C3" s="164" t="s">
        <v>18</v>
      </c>
      <c r="D3" s="164"/>
      <c r="E3" s="212" t="s">
        <v>19</v>
      </c>
      <c r="F3" s="164" t="s">
        <v>542</v>
      </c>
      <c r="G3" s="212" t="s">
        <v>543</v>
      </c>
      <c r="H3" s="206" t="s">
        <v>22</v>
      </c>
      <c r="I3" s="204" t="s">
        <v>544</v>
      </c>
      <c r="J3" s="201" t="s">
        <v>24</v>
      </c>
      <c r="K3" s="211" t="s">
        <v>13</v>
      </c>
      <c r="L3" s="204" t="s">
        <v>544</v>
      </c>
      <c r="M3" s="201" t="s">
        <v>24</v>
      </c>
      <c r="N3" s="211" t="s">
        <v>13</v>
      </c>
      <c r="O3" s="204" t="s">
        <v>544</v>
      </c>
      <c r="P3" s="211" t="s">
        <v>13</v>
      </c>
      <c r="Q3" s="202" t="s">
        <v>545</v>
      </c>
      <c r="R3" s="182" t="s">
        <v>29</v>
      </c>
      <c r="S3" s="164" t="s">
        <v>30</v>
      </c>
      <c r="T3" s="164"/>
      <c r="U3" s="206" t="s">
        <v>31</v>
      </c>
      <c r="V3" s="206" t="s">
        <v>546</v>
      </c>
      <c r="W3" s="164" t="s">
        <v>547</v>
      </c>
      <c r="X3" s="164"/>
      <c r="Y3" s="207" t="s">
        <v>548</v>
      </c>
      <c r="Z3" s="168"/>
      <c r="AA3" s="208" t="s">
        <v>549</v>
      </c>
      <c r="AB3" s="209"/>
      <c r="AC3" s="207" t="s">
        <v>550</v>
      </c>
      <c r="AD3" s="168"/>
      <c r="AE3" s="201" t="s">
        <v>551</v>
      </c>
      <c r="AF3" s="202" t="s">
        <v>552</v>
      </c>
      <c r="AG3" s="182" t="s">
        <v>553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554</v>
      </c>
      <c r="X4" s="4" t="s">
        <v>555</v>
      </c>
      <c r="Y4" s="15" t="s">
        <v>556</v>
      </c>
      <c r="Z4" s="15" t="s">
        <v>557</v>
      </c>
      <c r="AA4" s="210"/>
      <c r="AB4" s="209"/>
      <c r="AC4" s="15" t="s">
        <v>558</v>
      </c>
      <c r="AD4" s="15" t="s">
        <v>559</v>
      </c>
      <c r="AE4" s="201"/>
      <c r="AF4" s="202"/>
      <c r="AG4" s="182"/>
    </row>
    <row r="5" spans="1:33">
      <c r="A5" s="203" t="s">
        <v>560</v>
      </c>
      <c r="B5" s="37" t="s">
        <v>78</v>
      </c>
      <c r="C5" s="205" t="s">
        <v>79</v>
      </c>
      <c r="D5" s="205"/>
      <c r="E5" s="37">
        <v>50.67</v>
      </c>
      <c r="F5" s="4">
        <v>1095</v>
      </c>
      <c r="G5" s="4">
        <v>55483.65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9" si="1">F5/V5*60</f>
        <v>1932.3529411764682</v>
      </c>
      <c r="N5" s="17">
        <f t="shared" ref="N5:N68" si="2">M5/L5</f>
        <v>113.66782006920401</v>
      </c>
      <c r="O5" s="19">
        <f t="shared" ref="O5:O68" si="3">L5-I5</f>
        <v>0</v>
      </c>
      <c r="P5" s="20">
        <f t="shared" ref="P5:P68" si="4">N5-K5</f>
        <v>-3.9792387543253938</v>
      </c>
      <c r="Q5" s="21">
        <f t="shared" ref="Q5:Q68" si="5">N5/K5</f>
        <v>0.96617647058823419</v>
      </c>
      <c r="R5" s="172">
        <f>Q10</f>
        <v>0.96947526737967871</v>
      </c>
      <c r="S5" s="28">
        <v>0.70833333333333337</v>
      </c>
      <c r="T5" s="28">
        <v>0.73194444444444451</v>
      </c>
      <c r="U5" s="4"/>
      <c r="V5" s="22">
        <f t="shared" ref="V5:V9" si="6">(T5-S5)*24*60</f>
        <v>34.000000000000043</v>
      </c>
      <c r="W5" s="23"/>
      <c r="X5" s="24"/>
      <c r="Y5" s="24"/>
      <c r="Z5" s="24"/>
      <c r="AA5" s="164"/>
      <c r="AB5" s="164"/>
      <c r="AC5" s="25">
        <v>5</v>
      </c>
      <c r="AD5" s="25"/>
      <c r="AE5" s="19">
        <f t="shared" ref="AE5:AE56" si="7">M5-J5</f>
        <v>-67.647058823531779</v>
      </c>
      <c r="AF5" s="21">
        <f t="shared" ref="AF5:AF68" si="8">M5/J5</f>
        <v>0.96617647058823408</v>
      </c>
      <c r="AG5" s="172">
        <f>AF10</f>
        <v>0.96947526737967871</v>
      </c>
    </row>
    <row r="6" spans="1:33">
      <c r="A6" s="204" t="s">
        <v>561</v>
      </c>
      <c r="B6" s="37" t="s">
        <v>78</v>
      </c>
      <c r="C6" s="205" t="s">
        <v>80</v>
      </c>
      <c r="D6" s="205"/>
      <c r="E6" s="37">
        <v>54.09</v>
      </c>
      <c r="F6" s="4">
        <v>1030</v>
      </c>
      <c r="G6" s="4">
        <v>55712.700000000004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1931.2499999999975</v>
      </c>
      <c r="N6" s="17">
        <f t="shared" si="2"/>
        <v>101.64473684210513</v>
      </c>
      <c r="O6" s="19">
        <f t="shared" si="3"/>
        <v>0</v>
      </c>
      <c r="P6" s="20">
        <f t="shared" si="4"/>
        <v>-3.6184210526317031</v>
      </c>
      <c r="Q6" s="21">
        <f t="shared" si="5"/>
        <v>0.96562499999999885</v>
      </c>
      <c r="R6" s="172"/>
      <c r="S6" s="28">
        <v>0.73611111111111116</v>
      </c>
      <c r="T6" s="28">
        <v>0.75833333333333341</v>
      </c>
      <c r="U6" s="4">
        <f t="shared" ref="U6:U9" si="9">IF(S6=TIME(17,0,0),"",(S6-T5)*24*60)</f>
        <v>5.9999999999999787</v>
      </c>
      <c r="V6" s="22">
        <f t="shared" si="6"/>
        <v>32.000000000000043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-68.750000000002501</v>
      </c>
      <c r="AF6" s="21">
        <f t="shared" si="8"/>
        <v>0.96562499999999873</v>
      </c>
      <c r="AG6" s="172"/>
    </row>
    <row r="7" spans="1:33">
      <c r="A7" s="204" t="s">
        <v>46</v>
      </c>
      <c r="B7" s="37" t="s">
        <v>78</v>
      </c>
      <c r="C7" s="196" t="s">
        <v>81</v>
      </c>
      <c r="D7" s="197"/>
      <c r="E7" s="37">
        <v>50.29</v>
      </c>
      <c r="F7" s="4">
        <v>563</v>
      </c>
      <c r="G7" s="4">
        <v>28313.27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1987.058823529419</v>
      </c>
      <c r="N7" s="17">
        <f t="shared" si="2"/>
        <v>124.19117647058869</v>
      </c>
      <c r="O7" s="19">
        <f t="shared" si="3"/>
        <v>0</v>
      </c>
      <c r="P7" s="20">
        <f t="shared" si="4"/>
        <v>-0.8088235294113133</v>
      </c>
      <c r="Q7" s="21">
        <f t="shared" si="5"/>
        <v>0.99352941176470955</v>
      </c>
      <c r="R7" s="172"/>
      <c r="S7" s="28">
        <v>0.76388888888888895</v>
      </c>
      <c r="T7" s="28">
        <v>0.77569444444444446</v>
      </c>
      <c r="U7" s="4">
        <f t="shared" si="9"/>
        <v>7.9999999999999716</v>
      </c>
      <c r="V7" s="22">
        <f t="shared" si="6"/>
        <v>16.99999999999994</v>
      </c>
      <c r="W7" s="23"/>
      <c r="X7" s="23"/>
      <c r="Y7" s="26"/>
      <c r="Z7" s="26"/>
      <c r="AA7" s="175"/>
      <c r="AB7" s="176"/>
      <c r="AC7" s="27"/>
      <c r="AD7" s="27"/>
      <c r="AE7" s="19">
        <f t="shared" si="7"/>
        <v>-12.941176470581013</v>
      </c>
      <c r="AF7" s="21">
        <f t="shared" si="8"/>
        <v>0.99352941176470955</v>
      </c>
      <c r="AG7" s="172"/>
    </row>
    <row r="8" spans="1:33">
      <c r="A8" s="204" t="s">
        <v>46</v>
      </c>
      <c r="B8" s="37" t="s">
        <v>78</v>
      </c>
      <c r="C8" s="196" t="s">
        <v>82</v>
      </c>
      <c r="D8" s="197"/>
      <c r="E8" s="37">
        <v>57.3</v>
      </c>
      <c r="F8" s="4">
        <v>1411</v>
      </c>
      <c r="G8" s="4">
        <v>80850.3</v>
      </c>
      <c r="H8" s="22" t="s">
        <v>139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1924.0909090909092</v>
      </c>
      <c r="N8" s="17">
        <f t="shared" si="2"/>
        <v>128.27272727272728</v>
      </c>
      <c r="O8" s="19">
        <f t="shared" si="3"/>
        <v>0</v>
      </c>
      <c r="P8" s="20">
        <f t="shared" si="4"/>
        <v>-5.0606060606060623</v>
      </c>
      <c r="Q8" s="21">
        <f t="shared" si="5"/>
        <v>0.96204545454545454</v>
      </c>
      <c r="R8" s="172"/>
      <c r="S8" s="28">
        <v>0.77986111111111112</v>
      </c>
      <c r="T8" s="28">
        <v>0.81041666666666667</v>
      </c>
      <c r="U8" s="4">
        <f t="shared" si="9"/>
        <v>5.9999999999999787</v>
      </c>
      <c r="V8" s="22">
        <f t="shared" si="6"/>
        <v>44</v>
      </c>
      <c r="W8" s="28"/>
      <c r="X8" s="28"/>
      <c r="Y8" s="29"/>
      <c r="Z8" s="29"/>
      <c r="AA8" s="175"/>
      <c r="AB8" s="176"/>
      <c r="AC8" s="27"/>
      <c r="AD8" s="27"/>
      <c r="AE8" s="19">
        <f t="shared" si="7"/>
        <v>-75.909090909090764</v>
      </c>
      <c r="AF8" s="21">
        <f t="shared" si="8"/>
        <v>0.96204545454545465</v>
      </c>
      <c r="AG8" s="172"/>
    </row>
    <row r="9" spans="1:33">
      <c r="A9" s="204" t="s">
        <v>46</v>
      </c>
      <c r="B9" s="37" t="s">
        <v>78</v>
      </c>
      <c r="C9" s="196" t="s">
        <v>83</v>
      </c>
      <c r="D9" s="197"/>
      <c r="E9" s="37">
        <v>50.67</v>
      </c>
      <c r="F9" s="4">
        <v>768</v>
      </c>
      <c r="G9" s="4">
        <v>38914.559999999998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1919.9999999999941</v>
      </c>
      <c r="N9" s="17">
        <f t="shared" si="2"/>
        <v>91.428571428571146</v>
      </c>
      <c r="O9" s="19">
        <f t="shared" si="3"/>
        <v>0</v>
      </c>
      <c r="P9" s="20">
        <f t="shared" si="4"/>
        <v>-3.8095238095240944</v>
      </c>
      <c r="Q9" s="21">
        <f t="shared" si="5"/>
        <v>0.95999999999999697</v>
      </c>
      <c r="R9" s="172"/>
      <c r="S9" s="28">
        <v>0.81597222222222221</v>
      </c>
      <c r="T9" s="28">
        <v>0.83263888888888893</v>
      </c>
      <c r="U9" s="4">
        <f t="shared" si="9"/>
        <v>7.9999999999999716</v>
      </c>
      <c r="V9" s="22">
        <f t="shared" si="6"/>
        <v>24.000000000000075</v>
      </c>
      <c r="W9" s="23"/>
      <c r="X9" s="23"/>
      <c r="Y9" s="26"/>
      <c r="Z9" s="26"/>
      <c r="AA9" s="175"/>
      <c r="AB9" s="176"/>
      <c r="AC9" s="27"/>
      <c r="AD9" s="27"/>
      <c r="AE9" s="19">
        <f t="shared" si="7"/>
        <v>-80.000000000005912</v>
      </c>
      <c r="AF9" s="21">
        <f t="shared" si="8"/>
        <v>0.95999999999999708</v>
      </c>
      <c r="AG9" s="172"/>
    </row>
    <row r="10" spans="1:33">
      <c r="A10" s="204" t="s">
        <v>46</v>
      </c>
      <c r="B10" s="37" t="s">
        <v>51</v>
      </c>
      <c r="C10" s="177"/>
      <c r="D10" s="177"/>
      <c r="E10" s="38"/>
      <c r="F10" s="17"/>
      <c r="G10" s="17"/>
      <c r="H10" s="4"/>
      <c r="I10" s="30">
        <v>17.600000000000001</v>
      </c>
      <c r="J10" s="18">
        <v>2000</v>
      </c>
      <c r="K10" s="17">
        <f t="shared" si="0"/>
        <v>113.63636363636363</v>
      </c>
      <c r="L10" s="30">
        <v>17.600000000000001</v>
      </c>
      <c r="M10" s="18">
        <f>AVERAGE(M5:M9)</f>
        <v>1938.9505347593574</v>
      </c>
      <c r="N10" s="17">
        <f t="shared" si="2"/>
        <v>110.16764402041802</v>
      </c>
      <c r="O10" s="19">
        <f t="shared" si="3"/>
        <v>0</v>
      </c>
      <c r="P10" s="20">
        <f t="shared" si="4"/>
        <v>-3.4687196159456022</v>
      </c>
      <c r="Q10" s="21">
        <f t="shared" si="5"/>
        <v>0.96947526737967871</v>
      </c>
      <c r="R10" s="172"/>
      <c r="S10" s="28"/>
      <c r="T10" s="28"/>
      <c r="U10" s="4"/>
      <c r="V10" s="22"/>
      <c r="W10" s="17"/>
      <c r="X10" s="17"/>
      <c r="Y10" s="31">
        <f>SUM(Y5:Y9)</f>
        <v>0</v>
      </c>
      <c r="Z10" s="31">
        <f>SUM(Z5:Z9)</f>
        <v>0</v>
      </c>
      <c r="AA10" s="168"/>
      <c r="AB10" s="168"/>
      <c r="AC10" s="31">
        <v>5</v>
      </c>
      <c r="AD10" s="31">
        <f>SUM(AD5:AD9)</f>
        <v>0</v>
      </c>
      <c r="AE10" s="19">
        <f t="shared" si="7"/>
        <v>-61.049465240642576</v>
      </c>
      <c r="AF10" s="21">
        <f t="shared" si="8"/>
        <v>0.96947526737967871</v>
      </c>
      <c r="AG10" s="172"/>
    </row>
    <row r="11" spans="1:33" ht="15.75" customHeight="1">
      <c r="A11" s="200" t="s">
        <v>50</v>
      </c>
      <c r="B11" s="37" t="s">
        <v>84</v>
      </c>
      <c r="C11" s="196" t="s">
        <v>85</v>
      </c>
      <c r="D11" s="197"/>
      <c r="E11" s="37">
        <v>39.619999999999997</v>
      </c>
      <c r="F11" s="4">
        <v>2943</v>
      </c>
      <c r="G11" s="4">
        <v>116601.65999999999</v>
      </c>
      <c r="H11" s="22" t="s">
        <v>139</v>
      </c>
      <c r="I11" s="16">
        <v>19</v>
      </c>
      <c r="J11" s="18">
        <v>1500</v>
      </c>
      <c r="K11" s="17">
        <f t="shared" si="0"/>
        <v>78.94736842105263</v>
      </c>
      <c r="L11" s="16">
        <v>19</v>
      </c>
      <c r="M11" s="18">
        <f t="shared" ref="M11:M12" si="10">F11/V11*60</f>
        <v>1435.6097560975611</v>
      </c>
      <c r="N11" s="17">
        <f t="shared" si="2"/>
        <v>75.558408215661117</v>
      </c>
      <c r="O11" s="19">
        <f t="shared" si="3"/>
        <v>0</v>
      </c>
      <c r="P11" s="20">
        <f t="shared" si="4"/>
        <v>-3.3889602053915127</v>
      </c>
      <c r="Q11" s="21">
        <f t="shared" si="5"/>
        <v>0.9570731707317075</v>
      </c>
      <c r="R11" s="172">
        <f>Q13</f>
        <v>0.95615820698747511</v>
      </c>
      <c r="S11" s="28">
        <v>0.20833333333333334</v>
      </c>
      <c r="T11" s="28">
        <v>0.29375000000000001</v>
      </c>
      <c r="U11" s="4"/>
      <c r="V11" s="22">
        <f t="shared" ref="V11:V12" si="11">(T11-S11)*24*60</f>
        <v>122.99999999999999</v>
      </c>
      <c r="W11" s="23"/>
      <c r="X11" s="23"/>
      <c r="Y11" s="23"/>
      <c r="Z11" s="23"/>
      <c r="AA11" s="164"/>
      <c r="AB11" s="164"/>
      <c r="AC11" s="25">
        <v>2</v>
      </c>
      <c r="AD11" s="25"/>
      <c r="AE11" s="19">
        <f t="shared" si="7"/>
        <v>-64.390243902438897</v>
      </c>
      <c r="AF11" s="21">
        <f t="shared" si="8"/>
        <v>0.95707317073170739</v>
      </c>
      <c r="AG11" s="172">
        <f>AF13</f>
        <v>0.95615820698747511</v>
      </c>
    </row>
    <row r="12" spans="1:33" ht="15.75" customHeight="1">
      <c r="A12" s="200" t="s">
        <v>562</v>
      </c>
      <c r="B12" s="37" t="s">
        <v>84</v>
      </c>
      <c r="C12" s="196" t="s">
        <v>86</v>
      </c>
      <c r="D12" s="197"/>
      <c r="E12" s="37">
        <v>39.799999999999997</v>
      </c>
      <c r="F12" s="4">
        <v>4418</v>
      </c>
      <c r="G12" s="4">
        <v>175836.4</v>
      </c>
      <c r="H12" s="22" t="s">
        <v>139</v>
      </c>
      <c r="I12" s="16">
        <v>17</v>
      </c>
      <c r="J12" s="18">
        <v>1500</v>
      </c>
      <c r="K12" s="17">
        <f t="shared" si="0"/>
        <v>88.235294117647058</v>
      </c>
      <c r="L12" s="16">
        <v>17</v>
      </c>
      <c r="M12" s="18">
        <f t="shared" si="10"/>
        <v>1432.8648648648646</v>
      </c>
      <c r="N12" s="17">
        <f t="shared" si="2"/>
        <v>84.286168521462628</v>
      </c>
      <c r="O12" s="19">
        <f t="shared" si="3"/>
        <v>0</v>
      </c>
      <c r="P12" s="20">
        <f t="shared" si="4"/>
        <v>-3.9491255961844303</v>
      </c>
      <c r="Q12" s="21">
        <f t="shared" si="5"/>
        <v>0.95524324324324317</v>
      </c>
      <c r="R12" s="172"/>
      <c r="S12" s="28">
        <v>0.29930555555555555</v>
      </c>
      <c r="T12" s="28">
        <v>0.42777777777777781</v>
      </c>
      <c r="U12" s="4">
        <f t="shared" ref="U12" si="12">IF(S12=TIME(17,0,0),"",(S12-T11)*24*60)</f>
        <v>7.9999999999999716</v>
      </c>
      <c r="V12" s="22">
        <f t="shared" si="11"/>
        <v>185.00000000000006</v>
      </c>
      <c r="W12" s="23"/>
      <c r="X12" s="23"/>
      <c r="Y12" s="23"/>
      <c r="Z12" s="23"/>
      <c r="AA12" s="164"/>
      <c r="AB12" s="164"/>
      <c r="AC12" s="25"/>
      <c r="AD12" s="25"/>
      <c r="AE12" s="19">
        <f t="shared" si="7"/>
        <v>-67.135135135135442</v>
      </c>
      <c r="AF12" s="21">
        <f t="shared" si="8"/>
        <v>0.95524324324324306</v>
      </c>
      <c r="AG12" s="172"/>
    </row>
    <row r="13" spans="1:33" ht="16.5" customHeight="1">
      <c r="A13" s="200" t="s">
        <v>50</v>
      </c>
      <c r="B13" s="37" t="s">
        <v>51</v>
      </c>
      <c r="C13" s="177"/>
      <c r="D13" s="177"/>
      <c r="E13" s="38"/>
      <c r="F13" s="18"/>
      <c r="G13" s="18"/>
      <c r="H13" s="4"/>
      <c r="I13" s="30">
        <v>18</v>
      </c>
      <c r="J13" s="18">
        <v>1500</v>
      </c>
      <c r="K13" s="17">
        <f t="shared" si="0"/>
        <v>83.333333333333329</v>
      </c>
      <c r="L13" s="30">
        <v>18</v>
      </c>
      <c r="M13" s="18">
        <f>AVERAGE(M11:M12)</f>
        <v>1434.2373104812127</v>
      </c>
      <c r="N13" s="17">
        <f t="shared" si="2"/>
        <v>79.679850582289589</v>
      </c>
      <c r="O13" s="19">
        <f t="shared" si="3"/>
        <v>0</v>
      </c>
      <c r="P13" s="20">
        <f t="shared" si="4"/>
        <v>-3.6534827510437395</v>
      </c>
      <c r="Q13" s="21">
        <f t="shared" si="5"/>
        <v>0.95615820698747511</v>
      </c>
      <c r="R13" s="172"/>
      <c r="S13" s="28"/>
      <c r="T13" s="28"/>
      <c r="U13" s="17"/>
      <c r="V13" s="22"/>
      <c r="W13" s="17"/>
      <c r="X13" s="17"/>
      <c r="Y13" s="31">
        <f>SUM(Y11:Y12)</f>
        <v>0</v>
      </c>
      <c r="Z13" s="31">
        <f>SUM(Z11:Z12)</f>
        <v>0</v>
      </c>
      <c r="AA13" s="168"/>
      <c r="AB13" s="168"/>
      <c r="AC13" s="31">
        <v>2</v>
      </c>
      <c r="AD13" s="31">
        <f>SUM(AD11:AD12)</f>
        <v>0</v>
      </c>
      <c r="AE13" s="19">
        <f t="shared" si="7"/>
        <v>-65.762689518787283</v>
      </c>
      <c r="AF13" s="21">
        <f t="shared" si="8"/>
        <v>0.95615820698747511</v>
      </c>
      <c r="AG13" s="172"/>
    </row>
    <row r="14" spans="1:33" ht="16.5" customHeight="1">
      <c r="A14" s="198" t="s">
        <v>563</v>
      </c>
      <c r="B14" s="4" t="s">
        <v>87</v>
      </c>
      <c r="C14" s="190" t="s">
        <v>88</v>
      </c>
      <c r="D14" s="190"/>
      <c r="E14" s="37">
        <v>41</v>
      </c>
      <c r="F14" s="4">
        <v>2175</v>
      </c>
      <c r="G14" s="4">
        <v>89175</v>
      </c>
      <c r="H14" s="22" t="s">
        <v>139</v>
      </c>
      <c r="I14" s="16">
        <v>26</v>
      </c>
      <c r="J14" s="18">
        <v>1500</v>
      </c>
      <c r="K14" s="17">
        <f t="shared" si="0"/>
        <v>57.692307692307693</v>
      </c>
      <c r="L14" s="16">
        <v>26</v>
      </c>
      <c r="M14" s="18">
        <f t="shared" ref="M14:M19" si="13">F14/V14*60</f>
        <v>1434.0659340659336</v>
      </c>
      <c r="N14" s="17">
        <f t="shared" si="2"/>
        <v>55.156382079458986</v>
      </c>
      <c r="O14" s="19">
        <f t="shared" si="3"/>
        <v>0</v>
      </c>
      <c r="P14" s="20">
        <f t="shared" si="4"/>
        <v>-2.5359256128487075</v>
      </c>
      <c r="Q14" s="21">
        <f t="shared" si="5"/>
        <v>0.95604395604395576</v>
      </c>
      <c r="R14" s="172">
        <f>Q20</f>
        <v>0.9598773652817767</v>
      </c>
      <c r="S14" s="28">
        <v>0.20833333333333334</v>
      </c>
      <c r="T14" s="28">
        <v>0.27152777777777781</v>
      </c>
      <c r="U14" s="4"/>
      <c r="V14" s="22">
        <f t="shared" ref="V14:V19" si="14">(T14-S14)*24*60</f>
        <v>91.000000000000043</v>
      </c>
      <c r="W14" s="28"/>
      <c r="X14" s="28"/>
      <c r="Y14" s="28"/>
      <c r="Z14" s="28"/>
      <c r="AA14" s="164"/>
      <c r="AB14" s="164"/>
      <c r="AC14" s="25">
        <v>6</v>
      </c>
      <c r="AD14" s="25"/>
      <c r="AE14" s="19">
        <f t="shared" si="7"/>
        <v>-65.934065934066439</v>
      </c>
      <c r="AF14" s="21">
        <f t="shared" si="8"/>
        <v>0.95604395604395576</v>
      </c>
      <c r="AG14" s="172">
        <f>AF20</f>
        <v>0.9598773652817767</v>
      </c>
    </row>
    <row r="15" spans="1:33" ht="16.5" customHeight="1">
      <c r="A15" s="199" t="s">
        <v>53</v>
      </c>
      <c r="B15" s="4" t="s">
        <v>89</v>
      </c>
      <c r="C15" s="190" t="s">
        <v>90</v>
      </c>
      <c r="D15" s="190"/>
      <c r="E15" s="37">
        <v>72.400000000000006</v>
      </c>
      <c r="F15" s="4">
        <v>773</v>
      </c>
      <c r="G15" s="4">
        <v>55965.200000000004</v>
      </c>
      <c r="H15" s="22" t="s">
        <v>139</v>
      </c>
      <c r="I15" s="16">
        <v>18</v>
      </c>
      <c r="J15" s="18">
        <v>1500</v>
      </c>
      <c r="K15" s="17">
        <f t="shared" si="0"/>
        <v>83.333333333333329</v>
      </c>
      <c r="L15" s="16">
        <v>18</v>
      </c>
      <c r="M15" s="18">
        <f t="shared" si="13"/>
        <v>1449.3750000000018</v>
      </c>
      <c r="N15" s="17">
        <f t="shared" si="2"/>
        <v>80.520833333333428</v>
      </c>
      <c r="O15" s="19">
        <f t="shared" si="3"/>
        <v>0</v>
      </c>
      <c r="P15" s="20">
        <f t="shared" si="4"/>
        <v>-2.8124999999999005</v>
      </c>
      <c r="Q15" s="21">
        <f t="shared" si="5"/>
        <v>0.96625000000000116</v>
      </c>
      <c r="R15" s="172"/>
      <c r="S15" s="28">
        <v>0.27708333333333335</v>
      </c>
      <c r="T15" s="28">
        <v>0.29930555555555555</v>
      </c>
      <c r="U15" s="4">
        <f t="shared" ref="U15:U19" si="15">IF(S15=TIME(17,0,0),"",(S15-T14)*24*60)</f>
        <v>7.9999999999999716</v>
      </c>
      <c r="V15" s="22">
        <f t="shared" si="14"/>
        <v>31.999999999999964</v>
      </c>
      <c r="W15" s="23"/>
      <c r="X15" s="23"/>
      <c r="Y15" s="23"/>
      <c r="Z15" s="23"/>
      <c r="AA15" s="164"/>
      <c r="AB15" s="164"/>
      <c r="AC15" s="25"/>
      <c r="AD15" s="25"/>
      <c r="AE15" s="19">
        <f t="shared" si="7"/>
        <v>-50.624999999998181</v>
      </c>
      <c r="AF15" s="21">
        <f t="shared" si="8"/>
        <v>0.96625000000000116</v>
      </c>
      <c r="AG15" s="172"/>
    </row>
    <row r="16" spans="1:33" ht="16.5" customHeight="1">
      <c r="A16" s="199" t="s">
        <v>563</v>
      </c>
      <c r="B16" s="4" t="s">
        <v>78</v>
      </c>
      <c r="C16" s="190" t="s">
        <v>91</v>
      </c>
      <c r="D16" s="190"/>
      <c r="E16" s="37">
        <v>50.98</v>
      </c>
      <c r="F16" s="4">
        <v>1984</v>
      </c>
      <c r="G16" s="4">
        <v>101144.31999999999</v>
      </c>
      <c r="H16" s="22" t="s">
        <v>139</v>
      </c>
      <c r="I16" s="16">
        <v>16</v>
      </c>
      <c r="J16" s="18">
        <v>2000</v>
      </c>
      <c r="K16" s="17">
        <f t="shared" si="0"/>
        <v>125</v>
      </c>
      <c r="L16" s="16">
        <v>16</v>
      </c>
      <c r="M16" s="18">
        <f t="shared" si="13"/>
        <v>1920.0000000000018</v>
      </c>
      <c r="N16" s="17">
        <f t="shared" si="2"/>
        <v>120.00000000000011</v>
      </c>
      <c r="O16" s="19">
        <f t="shared" si="3"/>
        <v>0</v>
      </c>
      <c r="P16" s="20">
        <f t="shared" si="4"/>
        <v>-4.9999999999998863</v>
      </c>
      <c r="Q16" s="21">
        <f t="shared" si="5"/>
        <v>0.96000000000000096</v>
      </c>
      <c r="R16" s="172"/>
      <c r="S16" s="28">
        <v>0.70833333333333337</v>
      </c>
      <c r="T16" s="28">
        <v>0.75138888888888888</v>
      </c>
      <c r="U16" s="4" t="str">
        <f t="shared" si="15"/>
        <v/>
      </c>
      <c r="V16" s="22">
        <f t="shared" si="14"/>
        <v>61.999999999999943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-79.999999999998181</v>
      </c>
      <c r="AF16" s="21">
        <f t="shared" si="8"/>
        <v>0.96000000000000096</v>
      </c>
      <c r="AG16" s="172"/>
    </row>
    <row r="17" spans="1:33" ht="16.5" customHeight="1">
      <c r="A17" s="199" t="s">
        <v>563</v>
      </c>
      <c r="B17" s="4" t="s">
        <v>78</v>
      </c>
      <c r="C17" s="190" t="s">
        <v>92</v>
      </c>
      <c r="D17" s="190"/>
      <c r="E17" s="37">
        <v>50.92</v>
      </c>
      <c r="F17" s="4">
        <v>800</v>
      </c>
      <c r="G17" s="4">
        <v>40736</v>
      </c>
      <c r="H17" s="22">
        <v>2</v>
      </c>
      <c r="I17" s="16">
        <v>15</v>
      </c>
      <c r="J17" s="18">
        <v>2000</v>
      </c>
      <c r="K17" s="17">
        <f t="shared" si="0"/>
        <v>133.33333333333334</v>
      </c>
      <c r="L17" s="16">
        <v>15</v>
      </c>
      <c r="M17" s="18">
        <f t="shared" si="13"/>
        <v>1919.9999999999945</v>
      </c>
      <c r="N17" s="17">
        <f t="shared" si="2"/>
        <v>127.99999999999963</v>
      </c>
      <c r="O17" s="19">
        <f t="shared" si="3"/>
        <v>0</v>
      </c>
      <c r="P17" s="20">
        <f t="shared" si="4"/>
        <v>-5.3333333333337123</v>
      </c>
      <c r="Q17" s="21">
        <f t="shared" si="5"/>
        <v>0.95999999999999719</v>
      </c>
      <c r="R17" s="172"/>
      <c r="S17" s="28">
        <v>0.75694444444444442</v>
      </c>
      <c r="T17" s="28">
        <v>0.77430555555555558</v>
      </c>
      <c r="U17" s="4">
        <f t="shared" si="15"/>
        <v>7.9999999999999716</v>
      </c>
      <c r="V17" s="22">
        <f t="shared" si="14"/>
        <v>25.000000000000071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-80.000000000005457</v>
      </c>
      <c r="AF17" s="21">
        <f t="shared" si="8"/>
        <v>0.9599999999999973</v>
      </c>
      <c r="AG17" s="172"/>
    </row>
    <row r="18" spans="1:33" ht="16.5" customHeight="1">
      <c r="A18" s="199" t="s">
        <v>564</v>
      </c>
      <c r="B18" s="4" t="s">
        <v>78</v>
      </c>
      <c r="C18" s="190" t="s">
        <v>93</v>
      </c>
      <c r="D18" s="190"/>
      <c r="E18" s="37">
        <v>50.67</v>
      </c>
      <c r="F18" s="4">
        <v>1353</v>
      </c>
      <c r="G18" s="4">
        <v>68556.510000000009</v>
      </c>
      <c r="H18" s="22" t="s">
        <v>139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1932.857142857142</v>
      </c>
      <c r="N18" s="17">
        <f t="shared" si="2"/>
        <v>128.8571428571428</v>
      </c>
      <c r="O18" s="19">
        <f t="shared" si="3"/>
        <v>0</v>
      </c>
      <c r="P18" s="20">
        <f t="shared" si="4"/>
        <v>-4.4761904761905384</v>
      </c>
      <c r="Q18" s="21">
        <f t="shared" si="5"/>
        <v>0.96642857142857097</v>
      </c>
      <c r="R18" s="172"/>
      <c r="S18" s="28">
        <v>0.77847222222222223</v>
      </c>
      <c r="T18" s="28">
        <v>0.80763888888888891</v>
      </c>
      <c r="U18" s="4">
        <f t="shared" si="15"/>
        <v>5.9999999999999787</v>
      </c>
      <c r="V18" s="22">
        <f t="shared" si="14"/>
        <v>42.000000000000014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-67.14285714285802</v>
      </c>
      <c r="AF18" s="21">
        <f t="shared" si="8"/>
        <v>0.96642857142857097</v>
      </c>
      <c r="AG18" s="172"/>
    </row>
    <row r="19" spans="1:33" ht="16.5" customHeight="1">
      <c r="A19" s="199" t="s">
        <v>53</v>
      </c>
      <c r="B19" s="4" t="s">
        <v>78</v>
      </c>
      <c r="C19" s="217" t="s">
        <v>94</v>
      </c>
      <c r="D19" s="218"/>
      <c r="E19" s="37">
        <v>57.3</v>
      </c>
      <c r="F19" s="4">
        <v>1617</v>
      </c>
      <c r="G19" s="4">
        <v>92654.099999999991</v>
      </c>
      <c r="H19" s="22" t="s">
        <v>139</v>
      </c>
      <c r="I19" s="16">
        <v>13</v>
      </c>
      <c r="J19" s="18">
        <v>2000</v>
      </c>
      <c r="K19" s="17">
        <f t="shared" si="0"/>
        <v>153.84615384615384</v>
      </c>
      <c r="L19" s="16">
        <v>13</v>
      </c>
      <c r="M19" s="18">
        <f t="shared" si="13"/>
        <v>1902.3529411764712</v>
      </c>
      <c r="N19" s="17">
        <f t="shared" si="2"/>
        <v>146.33484162895931</v>
      </c>
      <c r="O19" s="19">
        <f t="shared" si="3"/>
        <v>0</v>
      </c>
      <c r="P19" s="20">
        <f t="shared" si="4"/>
        <v>-7.5113122171945292</v>
      </c>
      <c r="Q19" s="21">
        <f t="shared" si="5"/>
        <v>0.95117647058823551</v>
      </c>
      <c r="R19" s="172"/>
      <c r="S19" s="28">
        <v>0.8125</v>
      </c>
      <c r="T19" s="28">
        <v>0.84791666666666665</v>
      </c>
      <c r="U19" s="4">
        <f t="shared" si="15"/>
        <v>6.9999999999999751</v>
      </c>
      <c r="V19" s="22">
        <f t="shared" si="14"/>
        <v>50.999999999999979</v>
      </c>
      <c r="W19" s="23"/>
      <c r="X19" s="23"/>
      <c r="Y19" s="26"/>
      <c r="Z19" s="26"/>
      <c r="AA19" s="175"/>
      <c r="AB19" s="176"/>
      <c r="AC19" s="25"/>
      <c r="AD19" s="25"/>
      <c r="AE19" s="19">
        <f t="shared" si="7"/>
        <v>-97.647058823528823</v>
      </c>
      <c r="AF19" s="21">
        <f t="shared" si="8"/>
        <v>0.95117647058823562</v>
      </c>
      <c r="AG19" s="172"/>
    </row>
    <row r="20" spans="1:33" ht="16.5" customHeight="1">
      <c r="A20" s="199" t="s">
        <v>53</v>
      </c>
      <c r="B20" s="37" t="s">
        <v>51</v>
      </c>
      <c r="C20" s="177"/>
      <c r="D20" s="177"/>
      <c r="E20" s="38"/>
      <c r="F20" s="17"/>
      <c r="G20" s="17"/>
      <c r="H20" s="4"/>
      <c r="I20" s="30">
        <v>17.166666666666668</v>
      </c>
      <c r="J20" s="18">
        <v>1833.3333333333333</v>
      </c>
      <c r="K20" s="17">
        <f t="shared" si="0"/>
        <v>106.79611650485435</v>
      </c>
      <c r="L20" s="30">
        <v>17.166666666666668</v>
      </c>
      <c r="M20" s="18">
        <f>AVERAGE(M14:M19)</f>
        <v>1759.7751696832572</v>
      </c>
      <c r="N20" s="17">
        <f t="shared" si="2"/>
        <v>102.51117493300526</v>
      </c>
      <c r="O20" s="19">
        <f t="shared" si="3"/>
        <v>0</v>
      </c>
      <c r="P20" s="20">
        <f t="shared" si="4"/>
        <v>-4.2849415718490889</v>
      </c>
      <c r="Q20" s="21">
        <f t="shared" si="5"/>
        <v>0.9598773652817767</v>
      </c>
      <c r="R20" s="172"/>
      <c r="S20" s="28"/>
      <c r="T20" s="28"/>
      <c r="U20" s="4"/>
      <c r="V20" s="22"/>
      <c r="W20" s="17"/>
      <c r="X20" s="17"/>
      <c r="Y20" s="31">
        <f>SUM(Y14:Y19)</f>
        <v>0</v>
      </c>
      <c r="Z20" s="31">
        <f>SUM(Z14:Z19)</f>
        <v>0</v>
      </c>
      <c r="AA20" s="168"/>
      <c r="AB20" s="168"/>
      <c r="AC20" s="31">
        <v>6</v>
      </c>
      <c r="AD20" s="31">
        <f>SUM(AD14:AD19)</f>
        <v>0</v>
      </c>
      <c r="AE20" s="19">
        <f t="shared" si="7"/>
        <v>-73.55816365007604</v>
      </c>
      <c r="AF20" s="21">
        <f t="shared" si="8"/>
        <v>0.9598773652817767</v>
      </c>
      <c r="AG20" s="172"/>
    </row>
    <row r="21" spans="1:33" ht="15.75" customHeight="1">
      <c r="A21" s="194" t="s">
        <v>60</v>
      </c>
      <c r="B21" s="37" t="s">
        <v>78</v>
      </c>
      <c r="C21" s="190" t="s">
        <v>95</v>
      </c>
      <c r="D21" s="190"/>
      <c r="E21" s="37">
        <v>57.73</v>
      </c>
      <c r="F21" s="4">
        <v>2210</v>
      </c>
      <c r="G21" s="4">
        <v>127583.29999999999</v>
      </c>
      <c r="H21" s="22" t="s">
        <v>139</v>
      </c>
      <c r="I21" s="16">
        <v>14</v>
      </c>
      <c r="J21" s="18">
        <v>2000</v>
      </c>
      <c r="K21" s="17">
        <f t="shared" si="0"/>
        <v>142.85714285714286</v>
      </c>
      <c r="L21" s="16">
        <v>14</v>
      </c>
      <c r="M21" s="18">
        <f t="shared" ref="M21:M26" si="16">F21/V21*60</f>
        <v>1921.7391304347839</v>
      </c>
      <c r="N21" s="17">
        <f t="shared" si="2"/>
        <v>137.2670807453417</v>
      </c>
      <c r="O21" s="19">
        <f t="shared" si="3"/>
        <v>0</v>
      </c>
      <c r="P21" s="20">
        <f t="shared" si="4"/>
        <v>-5.59006211180116</v>
      </c>
      <c r="Q21" s="21">
        <f t="shared" si="5"/>
        <v>0.96086956521739186</v>
      </c>
      <c r="R21" s="172">
        <f>Q27</f>
        <v>0.95695760730454338</v>
      </c>
      <c r="S21" s="28">
        <v>0.20833333333333334</v>
      </c>
      <c r="T21" s="28">
        <v>0.25624999999999998</v>
      </c>
      <c r="U21" s="4"/>
      <c r="V21" s="22">
        <f t="shared" ref="V21:V26" si="17">(T21-S21)*24*60</f>
        <v>68.999999999999957</v>
      </c>
      <c r="W21" s="28"/>
      <c r="X21" s="28"/>
      <c r="Y21" s="28"/>
      <c r="Z21" s="28"/>
      <c r="AA21" s="164"/>
      <c r="AB21" s="164"/>
      <c r="AC21" s="25">
        <v>6</v>
      </c>
      <c r="AD21" s="25"/>
      <c r="AE21" s="19">
        <f t="shared" si="7"/>
        <v>-78.260869565216126</v>
      </c>
      <c r="AF21" s="21">
        <f t="shared" si="8"/>
        <v>0.96086956521739197</v>
      </c>
      <c r="AG21" s="172">
        <f>AF27</f>
        <v>0.95695760730454327</v>
      </c>
    </row>
    <row r="22" spans="1:33" ht="15.75" customHeight="1">
      <c r="A22" s="195" t="s">
        <v>565</v>
      </c>
      <c r="B22" s="37" t="s">
        <v>78</v>
      </c>
      <c r="C22" s="190" t="s">
        <v>96</v>
      </c>
      <c r="D22" s="190"/>
      <c r="E22" s="37">
        <v>53.68</v>
      </c>
      <c r="F22" s="4">
        <v>1396</v>
      </c>
      <c r="G22" s="4">
        <v>74937.279999999999</v>
      </c>
      <c r="H22" s="22" t="s">
        <v>139</v>
      </c>
      <c r="I22" s="16">
        <v>16</v>
      </c>
      <c r="J22" s="18">
        <v>2000</v>
      </c>
      <c r="K22" s="17">
        <f t="shared" si="0"/>
        <v>125</v>
      </c>
      <c r="L22" s="16">
        <v>16</v>
      </c>
      <c r="M22" s="18">
        <f t="shared" si="16"/>
        <v>1903.6363636363635</v>
      </c>
      <c r="N22" s="17">
        <f t="shared" si="2"/>
        <v>118.97727272727272</v>
      </c>
      <c r="O22" s="19">
        <f t="shared" si="3"/>
        <v>0</v>
      </c>
      <c r="P22" s="20">
        <f t="shared" si="4"/>
        <v>-6.0227272727272805</v>
      </c>
      <c r="Q22" s="21">
        <f t="shared" si="5"/>
        <v>0.95181818181818179</v>
      </c>
      <c r="R22" s="172"/>
      <c r="S22" s="28">
        <v>0.26041666666666663</v>
      </c>
      <c r="T22" s="28">
        <v>0.29097222222222219</v>
      </c>
      <c r="U22" s="4">
        <f t="shared" ref="U22:U26" si="18">IF(S22=TIME(17,0,0),"",(S22-T21)*24*60)</f>
        <v>5.9999999999999787</v>
      </c>
      <c r="V22" s="22">
        <f t="shared" si="17"/>
        <v>44</v>
      </c>
      <c r="W22" s="23"/>
      <c r="X22" s="4"/>
      <c r="Y22" s="4"/>
      <c r="Z22" s="4"/>
      <c r="AA22" s="164"/>
      <c r="AB22" s="164"/>
      <c r="AC22" s="25"/>
      <c r="AD22" s="25"/>
      <c r="AE22" s="19">
        <f t="shared" si="7"/>
        <v>-96.363636363636488</v>
      </c>
      <c r="AF22" s="21">
        <f t="shared" si="8"/>
        <v>0.95181818181818179</v>
      </c>
      <c r="AG22" s="172"/>
    </row>
    <row r="23" spans="1:33" ht="15.75" customHeight="1">
      <c r="A23" s="195" t="s">
        <v>565</v>
      </c>
      <c r="B23" s="37" t="s">
        <v>78</v>
      </c>
      <c r="C23" s="190" t="s">
        <v>97</v>
      </c>
      <c r="D23" s="190"/>
      <c r="E23" s="37">
        <v>50.49</v>
      </c>
      <c r="F23" s="4">
        <v>1722</v>
      </c>
      <c r="G23" s="4">
        <v>86943.78</v>
      </c>
      <c r="H23" s="22" t="s">
        <v>139</v>
      </c>
      <c r="I23" s="16">
        <v>15</v>
      </c>
      <c r="J23" s="18">
        <v>2000</v>
      </c>
      <c r="K23" s="17">
        <f t="shared" si="0"/>
        <v>133.33333333333334</v>
      </c>
      <c r="L23" s="16">
        <v>15</v>
      </c>
      <c r="M23" s="18">
        <f t="shared" si="16"/>
        <v>1913.3333333333344</v>
      </c>
      <c r="N23" s="17">
        <f t="shared" si="2"/>
        <v>127.55555555555563</v>
      </c>
      <c r="O23" s="19">
        <f t="shared" si="3"/>
        <v>0</v>
      </c>
      <c r="P23" s="20">
        <f t="shared" si="4"/>
        <v>-5.7777777777777146</v>
      </c>
      <c r="Q23" s="21">
        <f t="shared" si="5"/>
        <v>0.95666666666666711</v>
      </c>
      <c r="R23" s="172"/>
      <c r="S23" s="28">
        <v>0.70833333333333337</v>
      </c>
      <c r="T23" s="28">
        <v>0.74583333333333335</v>
      </c>
      <c r="U23" s="4" t="str">
        <f t="shared" si="18"/>
        <v/>
      </c>
      <c r="V23" s="22">
        <f t="shared" si="17"/>
        <v>53.999999999999972</v>
      </c>
      <c r="W23" s="23"/>
      <c r="X23" s="4"/>
      <c r="Y23" s="4"/>
      <c r="Z23" s="4"/>
      <c r="AA23" s="164"/>
      <c r="AB23" s="164"/>
      <c r="AC23" s="25"/>
      <c r="AD23" s="25"/>
      <c r="AE23" s="19">
        <f t="shared" si="7"/>
        <v>-86.666666666665606</v>
      </c>
      <c r="AF23" s="21">
        <f t="shared" si="8"/>
        <v>0.95666666666666722</v>
      </c>
      <c r="AG23" s="172"/>
    </row>
    <row r="24" spans="1:33" ht="15.75" customHeight="1">
      <c r="A24" s="195" t="s">
        <v>60</v>
      </c>
      <c r="B24" s="37" t="s">
        <v>78</v>
      </c>
      <c r="C24" s="190" t="s">
        <v>98</v>
      </c>
      <c r="D24" s="190"/>
      <c r="E24" s="37">
        <v>50.67</v>
      </c>
      <c r="F24" s="4">
        <v>764</v>
      </c>
      <c r="G24" s="4">
        <v>38711.880000000005</v>
      </c>
      <c r="H24" s="22" t="s">
        <v>139</v>
      </c>
      <c r="I24" s="16">
        <v>16</v>
      </c>
      <c r="J24" s="18">
        <v>2000</v>
      </c>
      <c r="K24" s="17">
        <f t="shared" si="0"/>
        <v>125</v>
      </c>
      <c r="L24" s="16">
        <v>16</v>
      </c>
      <c r="M24" s="18">
        <f t="shared" si="16"/>
        <v>1909.9999999999939</v>
      </c>
      <c r="N24" s="17">
        <f t="shared" si="2"/>
        <v>119.37499999999962</v>
      </c>
      <c r="O24" s="19">
        <f t="shared" si="3"/>
        <v>0</v>
      </c>
      <c r="P24" s="20">
        <f t="shared" si="4"/>
        <v>-5.6250000000003837</v>
      </c>
      <c r="Q24" s="21">
        <f t="shared" si="5"/>
        <v>0.95499999999999696</v>
      </c>
      <c r="R24" s="172"/>
      <c r="S24" s="28">
        <v>0.74930555555555556</v>
      </c>
      <c r="T24" s="28">
        <v>0.76597222222222228</v>
      </c>
      <c r="U24" s="4">
        <f t="shared" si="18"/>
        <v>4.9999999999999822</v>
      </c>
      <c r="V24" s="22">
        <f t="shared" si="17"/>
        <v>24.000000000000075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-90.000000000006139</v>
      </c>
      <c r="AF24" s="21">
        <f t="shared" si="8"/>
        <v>0.95499999999999696</v>
      </c>
      <c r="AG24" s="172"/>
    </row>
    <row r="25" spans="1:33" ht="15.75" customHeight="1">
      <c r="A25" s="195" t="s">
        <v>565</v>
      </c>
      <c r="B25" s="37" t="s">
        <v>78</v>
      </c>
      <c r="C25" s="190" t="s">
        <v>99</v>
      </c>
      <c r="D25" s="190"/>
      <c r="E25" s="37">
        <v>53.68</v>
      </c>
      <c r="F25" s="4">
        <v>1637</v>
      </c>
      <c r="G25" s="4">
        <v>87874.16</v>
      </c>
      <c r="H25" s="22" t="s">
        <v>139</v>
      </c>
      <c r="I25" s="16">
        <v>16</v>
      </c>
      <c r="J25" s="18">
        <v>1500</v>
      </c>
      <c r="K25" s="17">
        <f t="shared" si="0"/>
        <v>93.75</v>
      </c>
      <c r="L25" s="16">
        <v>16</v>
      </c>
      <c r="M25" s="18">
        <f t="shared" si="16"/>
        <v>1444.411764705884</v>
      </c>
      <c r="N25" s="17">
        <f t="shared" si="2"/>
        <v>90.275735294117752</v>
      </c>
      <c r="O25" s="19">
        <f t="shared" si="3"/>
        <v>0</v>
      </c>
      <c r="P25" s="20">
        <f t="shared" si="4"/>
        <v>-3.4742647058822484</v>
      </c>
      <c r="Q25" s="21">
        <f t="shared" si="5"/>
        <v>0.9629411764705893</v>
      </c>
      <c r="R25" s="172"/>
      <c r="S25" s="28">
        <v>0.76944444444444449</v>
      </c>
      <c r="T25" s="28">
        <v>0.81666666666666665</v>
      </c>
      <c r="U25" s="4">
        <f t="shared" si="18"/>
        <v>4.9999999999999822</v>
      </c>
      <c r="V25" s="22">
        <f t="shared" si="17"/>
        <v>67.999999999999915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-55.588235294115975</v>
      </c>
      <c r="AF25" s="21">
        <f t="shared" si="8"/>
        <v>0.9629411764705893</v>
      </c>
      <c r="AG25" s="172"/>
    </row>
    <row r="26" spans="1:33" ht="15.75" customHeight="1">
      <c r="A26" s="195" t="s">
        <v>565</v>
      </c>
      <c r="B26" s="37" t="s">
        <v>78</v>
      </c>
      <c r="C26" s="190" t="s">
        <v>92</v>
      </c>
      <c r="D26" s="190"/>
      <c r="E26" s="37">
        <v>50.92</v>
      </c>
      <c r="F26" s="4">
        <v>1179</v>
      </c>
      <c r="G26" s="4">
        <v>60034.68</v>
      </c>
      <c r="H26" s="22" t="s">
        <v>139</v>
      </c>
      <c r="I26" s="16">
        <v>15</v>
      </c>
      <c r="J26" s="18">
        <v>2000</v>
      </c>
      <c r="K26" s="17">
        <f t="shared" si="0"/>
        <v>133.33333333333334</v>
      </c>
      <c r="L26" s="16">
        <v>15</v>
      </c>
      <c r="M26" s="18">
        <f t="shared" si="16"/>
        <v>1911.8918918918905</v>
      </c>
      <c r="N26" s="17">
        <f t="shared" si="2"/>
        <v>127.45945945945937</v>
      </c>
      <c r="O26" s="19">
        <f t="shared" si="3"/>
        <v>0</v>
      </c>
      <c r="P26" s="20">
        <f t="shared" si="4"/>
        <v>-5.8738738738739755</v>
      </c>
      <c r="Q26" s="21">
        <f t="shared" si="5"/>
        <v>0.95594594594594517</v>
      </c>
      <c r="R26" s="172"/>
      <c r="S26" s="28">
        <v>0.82222222222222219</v>
      </c>
      <c r="T26" s="28">
        <v>0.84791666666666665</v>
      </c>
      <c r="U26" s="4">
        <f t="shared" si="18"/>
        <v>7.9999999999999716</v>
      </c>
      <c r="V26" s="22">
        <f t="shared" si="17"/>
        <v>37.000000000000028</v>
      </c>
      <c r="W26" s="23"/>
      <c r="X26" s="28"/>
      <c r="Y26" s="28"/>
      <c r="Z26" s="28"/>
      <c r="AA26" s="164"/>
      <c r="AB26" s="164"/>
      <c r="AC26" s="25"/>
      <c r="AD26" s="25"/>
      <c r="AE26" s="19">
        <f t="shared" si="7"/>
        <v>-88.108108108109491</v>
      </c>
      <c r="AF26" s="21">
        <f t="shared" si="8"/>
        <v>0.95594594594594529</v>
      </c>
      <c r="AG26" s="172"/>
    </row>
    <row r="27" spans="1:33" ht="15.75" customHeight="1">
      <c r="A27" s="195" t="s">
        <v>60</v>
      </c>
      <c r="B27" s="37" t="s">
        <v>566</v>
      </c>
      <c r="C27" s="177"/>
      <c r="D27" s="177"/>
      <c r="E27" s="38"/>
      <c r="F27" s="4"/>
      <c r="G27" s="4"/>
      <c r="H27" s="4"/>
      <c r="I27" s="30">
        <v>15.333333333333334</v>
      </c>
      <c r="J27" s="18">
        <v>1916.6666666666667</v>
      </c>
      <c r="K27" s="17">
        <f t="shared" si="0"/>
        <v>125</v>
      </c>
      <c r="L27" s="30">
        <v>15.333333333333334</v>
      </c>
      <c r="M27" s="18">
        <f>AVERAGE(M21:M26)</f>
        <v>1834.1687473337081</v>
      </c>
      <c r="N27" s="17">
        <f t="shared" si="2"/>
        <v>119.61970091306792</v>
      </c>
      <c r="O27" s="19">
        <f t="shared" si="3"/>
        <v>0</v>
      </c>
      <c r="P27" s="20">
        <f t="shared" si="4"/>
        <v>-5.3802990869320837</v>
      </c>
      <c r="Q27" s="21">
        <f t="shared" si="5"/>
        <v>0.95695760730454338</v>
      </c>
      <c r="R27" s="172"/>
      <c r="S27" s="28"/>
      <c r="T27" s="28"/>
      <c r="U27" s="17"/>
      <c r="V27" s="22"/>
      <c r="W27" s="17"/>
      <c r="X27" s="17"/>
      <c r="Y27" s="31">
        <f>SUM(Y21:Y26)</f>
        <v>0</v>
      </c>
      <c r="Z27" s="31">
        <f>SUM(Z21:Z26)</f>
        <v>0</v>
      </c>
      <c r="AA27" s="168"/>
      <c r="AB27" s="168"/>
      <c r="AC27" s="31">
        <v>6</v>
      </c>
      <c r="AD27" s="31">
        <f>SUM(AD21:AD26)</f>
        <v>0</v>
      </c>
      <c r="AE27" s="19">
        <f t="shared" si="7"/>
        <v>-82.497919332958645</v>
      </c>
      <c r="AF27" s="21">
        <f t="shared" si="8"/>
        <v>0.95695760730454327</v>
      </c>
      <c r="AG27" s="172"/>
    </row>
    <row r="28" spans="1:33" ht="15.75" customHeight="1">
      <c r="A28" s="193" t="s">
        <v>567</v>
      </c>
      <c r="B28" s="37" t="s">
        <v>100</v>
      </c>
      <c r="C28" s="190" t="s">
        <v>101</v>
      </c>
      <c r="D28" s="190"/>
      <c r="E28" s="37">
        <v>31.29</v>
      </c>
      <c r="F28" s="4">
        <v>7290</v>
      </c>
      <c r="G28" s="4">
        <v>228104.1</v>
      </c>
      <c r="H28" s="22" t="s">
        <v>139</v>
      </c>
      <c r="I28" s="16">
        <v>18</v>
      </c>
      <c r="J28" s="18">
        <v>2400</v>
      </c>
      <c r="K28" s="17">
        <f t="shared" si="0"/>
        <v>133.33333333333334</v>
      </c>
      <c r="L28" s="16">
        <v>18</v>
      </c>
      <c r="M28" s="18">
        <f t="shared" ref="M28:M32" si="19">F28/V28*60</f>
        <v>2290.0523560209417</v>
      </c>
      <c r="N28" s="17">
        <f t="shared" si="2"/>
        <v>127.22513089005231</v>
      </c>
      <c r="O28" s="19">
        <f t="shared" si="3"/>
        <v>0</v>
      </c>
      <c r="P28" s="20">
        <f t="shared" si="4"/>
        <v>-6.10820244328103</v>
      </c>
      <c r="Q28" s="21">
        <f t="shared" si="5"/>
        <v>0.95418848167539227</v>
      </c>
      <c r="R28" s="172">
        <f>Q33</f>
        <v>0.95397123931842587</v>
      </c>
      <c r="S28" s="28">
        <v>8.3333333333333329E-2</v>
      </c>
      <c r="T28" s="28">
        <v>0.21597222222222223</v>
      </c>
      <c r="U28" s="4"/>
      <c r="V28" s="22">
        <f t="shared" ref="V28:V32" si="20">(T28-S28)*24*60</f>
        <v>191.00000000000003</v>
      </c>
      <c r="W28" s="23">
        <f>T28</f>
        <v>0.21597222222222223</v>
      </c>
      <c r="X28" s="23">
        <f>S29</f>
        <v>0.23333333333333331</v>
      </c>
      <c r="Y28" s="23"/>
      <c r="Z28" s="23"/>
      <c r="AA28" s="164"/>
      <c r="AB28" s="164"/>
      <c r="AC28" s="25">
        <v>5</v>
      </c>
      <c r="AD28" s="25"/>
      <c r="AE28" s="19">
        <f t="shared" si="7"/>
        <v>-109.94764397905828</v>
      </c>
      <c r="AF28" s="21">
        <f t="shared" si="8"/>
        <v>0.95418848167539239</v>
      </c>
      <c r="AG28" s="172">
        <f>AF33</f>
        <v>0.95397123931842598</v>
      </c>
    </row>
    <row r="29" spans="1:33" ht="15.75" customHeight="1">
      <c r="A29" s="193" t="s">
        <v>568</v>
      </c>
      <c r="B29" s="37" t="s">
        <v>100</v>
      </c>
      <c r="C29" s="190" t="s">
        <v>102</v>
      </c>
      <c r="D29" s="190"/>
      <c r="E29" s="37">
        <v>26.2</v>
      </c>
      <c r="F29" s="4">
        <v>4353</v>
      </c>
      <c r="G29" s="4">
        <v>114048.59999999999</v>
      </c>
      <c r="H29" s="22" t="s">
        <v>139</v>
      </c>
      <c r="I29" s="16">
        <v>20</v>
      </c>
      <c r="J29" s="18">
        <v>2400</v>
      </c>
      <c r="K29" s="17">
        <f t="shared" si="0"/>
        <v>120</v>
      </c>
      <c r="L29" s="16">
        <v>20</v>
      </c>
      <c r="M29" s="18">
        <f t="shared" si="19"/>
        <v>2291.0526315789466</v>
      </c>
      <c r="N29" s="17">
        <f t="shared" si="2"/>
        <v>114.55263157894733</v>
      </c>
      <c r="O29" s="19">
        <f t="shared" si="3"/>
        <v>0</v>
      </c>
      <c r="P29" s="20">
        <f t="shared" si="4"/>
        <v>-5.4473684210526727</v>
      </c>
      <c r="Q29" s="21">
        <f t="shared" si="5"/>
        <v>0.9546052631578944</v>
      </c>
      <c r="R29" s="172"/>
      <c r="S29" s="28">
        <v>0.23333333333333331</v>
      </c>
      <c r="T29" s="28">
        <v>0.3125</v>
      </c>
      <c r="U29" s="4">
        <f t="shared" ref="U29:U32" si="21">(S29-T28)*24*60</f>
        <v>24.99999999999995</v>
      </c>
      <c r="V29" s="22">
        <f t="shared" si="20"/>
        <v>114.00000000000003</v>
      </c>
      <c r="W29" s="23"/>
      <c r="X29" s="23"/>
      <c r="Y29" s="23"/>
      <c r="Z29" s="23"/>
      <c r="AA29" s="164"/>
      <c r="AB29" s="164"/>
      <c r="AC29" s="25"/>
      <c r="AD29" s="25"/>
      <c r="AE29" s="19">
        <f t="shared" si="7"/>
        <v>-108.9473684210534</v>
      </c>
      <c r="AF29" s="21">
        <f t="shared" si="8"/>
        <v>0.9546052631578944</v>
      </c>
      <c r="AG29" s="172"/>
    </row>
    <row r="30" spans="1:33" ht="15.75" customHeight="1">
      <c r="A30" s="193" t="s">
        <v>61</v>
      </c>
      <c r="B30" s="37" t="s">
        <v>100</v>
      </c>
      <c r="C30" s="190" t="s">
        <v>103</v>
      </c>
      <c r="D30" s="190"/>
      <c r="E30" s="37">
        <v>25.99</v>
      </c>
      <c r="F30" s="4">
        <v>3613</v>
      </c>
      <c r="G30" s="4">
        <v>93901.87</v>
      </c>
      <c r="H30" s="22" t="s">
        <v>139</v>
      </c>
      <c r="I30" s="16">
        <v>14</v>
      </c>
      <c r="J30" s="18">
        <v>2400</v>
      </c>
      <c r="K30" s="17">
        <f t="shared" si="0"/>
        <v>171.42857142857142</v>
      </c>
      <c r="L30" s="16">
        <v>14</v>
      </c>
      <c r="M30" s="18">
        <f t="shared" si="19"/>
        <v>2281.8947368421054</v>
      </c>
      <c r="N30" s="17">
        <f t="shared" si="2"/>
        <v>162.99248120300754</v>
      </c>
      <c r="O30" s="19">
        <f t="shared" si="3"/>
        <v>0</v>
      </c>
      <c r="P30" s="20">
        <f t="shared" si="4"/>
        <v>-8.4360902255638734</v>
      </c>
      <c r="Q30" s="21">
        <f t="shared" si="5"/>
        <v>0.95078947368421074</v>
      </c>
      <c r="R30" s="172"/>
      <c r="S30" s="28">
        <v>0.31666666666666665</v>
      </c>
      <c r="T30" s="28">
        <v>0.38263888888888886</v>
      </c>
      <c r="U30" s="4">
        <f t="shared" si="21"/>
        <v>5.9999999999999787</v>
      </c>
      <c r="V30" s="22">
        <f t="shared" si="20"/>
        <v>94.999999999999986</v>
      </c>
      <c r="W30" s="23"/>
      <c r="X30" s="23"/>
      <c r="Y30" s="23"/>
      <c r="Z30" s="23"/>
      <c r="AA30" s="164"/>
      <c r="AB30" s="164"/>
      <c r="AC30" s="25"/>
      <c r="AD30" s="25"/>
      <c r="AE30" s="19">
        <f t="shared" si="7"/>
        <v>-118.10526315789457</v>
      </c>
      <c r="AF30" s="21">
        <f t="shared" si="8"/>
        <v>0.95078947368421063</v>
      </c>
      <c r="AG30" s="172"/>
    </row>
    <row r="31" spans="1:33" ht="15.75" customHeight="1">
      <c r="A31" s="193" t="s">
        <v>61</v>
      </c>
      <c r="B31" s="37" t="s">
        <v>100</v>
      </c>
      <c r="C31" s="190" t="s">
        <v>104</v>
      </c>
      <c r="D31" s="190"/>
      <c r="E31" s="37">
        <v>20.52</v>
      </c>
      <c r="F31" s="4">
        <v>3704</v>
      </c>
      <c r="G31" s="4">
        <v>76006.080000000002</v>
      </c>
      <c r="H31" s="22" t="s">
        <v>139</v>
      </c>
      <c r="I31" s="16">
        <v>18</v>
      </c>
      <c r="J31" s="18">
        <v>2400</v>
      </c>
      <c r="K31" s="17">
        <f t="shared" si="0"/>
        <v>133.33333333333334</v>
      </c>
      <c r="L31" s="16">
        <v>18</v>
      </c>
      <c r="M31" s="18">
        <f t="shared" si="19"/>
        <v>2291.1340206185573</v>
      </c>
      <c r="N31" s="17">
        <f t="shared" si="2"/>
        <v>127.28522336769763</v>
      </c>
      <c r="O31" s="19">
        <f t="shared" si="3"/>
        <v>0</v>
      </c>
      <c r="P31" s="20">
        <f t="shared" si="4"/>
        <v>-6.0481099656357173</v>
      </c>
      <c r="Q31" s="21">
        <f t="shared" si="5"/>
        <v>0.95463917525773212</v>
      </c>
      <c r="R31" s="172"/>
      <c r="S31" s="28">
        <v>0.38611111111111107</v>
      </c>
      <c r="T31" s="28">
        <v>0.45347222222222217</v>
      </c>
      <c r="U31" s="4">
        <f t="shared" si="21"/>
        <v>4.9999999999999822</v>
      </c>
      <c r="V31" s="22">
        <f t="shared" si="20"/>
        <v>96.999999999999972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-108.86597938144268</v>
      </c>
      <c r="AF31" s="21">
        <f t="shared" si="8"/>
        <v>0.95463917525773223</v>
      </c>
      <c r="AG31" s="172"/>
    </row>
    <row r="32" spans="1:33" ht="15.75" customHeight="1">
      <c r="A32" s="193" t="s">
        <v>61</v>
      </c>
      <c r="B32" s="37" t="s">
        <v>100</v>
      </c>
      <c r="C32" s="190" t="s">
        <v>105</v>
      </c>
      <c r="D32" s="190"/>
      <c r="E32" s="37">
        <v>25.98</v>
      </c>
      <c r="F32" s="4">
        <v>2714</v>
      </c>
      <c r="G32" s="4">
        <v>70509.72</v>
      </c>
      <c r="H32" s="22" t="s">
        <v>139</v>
      </c>
      <c r="I32" s="16">
        <v>21</v>
      </c>
      <c r="J32" s="18">
        <v>2400</v>
      </c>
      <c r="K32" s="17">
        <f t="shared" si="0"/>
        <v>114.28571428571429</v>
      </c>
      <c r="L32" s="16">
        <v>21</v>
      </c>
      <c r="M32" s="18">
        <f t="shared" si="19"/>
        <v>2293.5211267605614</v>
      </c>
      <c r="N32" s="17">
        <f t="shared" si="2"/>
        <v>109.21529175050293</v>
      </c>
      <c r="O32" s="19">
        <f t="shared" si="3"/>
        <v>0</v>
      </c>
      <c r="P32" s="20">
        <f t="shared" si="4"/>
        <v>-5.0704225352113639</v>
      </c>
      <c r="Q32" s="21">
        <f t="shared" si="5"/>
        <v>0.95563380281690058</v>
      </c>
      <c r="R32" s="172"/>
      <c r="S32" s="28">
        <v>0.4590277777777777</v>
      </c>
      <c r="T32" s="28">
        <v>0.5083333333333333</v>
      </c>
      <c r="U32" s="4">
        <f t="shared" si="21"/>
        <v>7.9999999999999716</v>
      </c>
      <c r="V32" s="22">
        <f t="shared" si="20"/>
        <v>71.000000000000071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-106.4788732394386</v>
      </c>
      <c r="AF32" s="21">
        <f t="shared" si="8"/>
        <v>0.95563380281690058</v>
      </c>
      <c r="AG32" s="172"/>
    </row>
    <row r="33" spans="1:33" ht="15.75" customHeight="1">
      <c r="A33" s="193" t="s">
        <v>61</v>
      </c>
      <c r="B33" s="37" t="s">
        <v>51</v>
      </c>
      <c r="C33" s="177"/>
      <c r="D33" s="177"/>
      <c r="E33" s="38"/>
      <c r="F33" s="4"/>
      <c r="G33" s="4"/>
      <c r="H33" s="4"/>
      <c r="I33" s="30">
        <v>18.2</v>
      </c>
      <c r="J33" s="18">
        <v>2400</v>
      </c>
      <c r="K33" s="17">
        <f t="shared" si="0"/>
        <v>131.86813186813188</v>
      </c>
      <c r="L33" s="30">
        <v>18.2</v>
      </c>
      <c r="M33" s="18">
        <f>AVERAGE(M28:M32)</f>
        <v>2289.5309743642224</v>
      </c>
      <c r="N33" s="17">
        <f t="shared" si="2"/>
        <v>125.79840518484738</v>
      </c>
      <c r="O33" s="19">
        <f t="shared" si="3"/>
        <v>0</v>
      </c>
      <c r="P33" s="20">
        <f t="shared" si="4"/>
        <v>-6.0697266832845003</v>
      </c>
      <c r="Q33" s="21">
        <f t="shared" si="5"/>
        <v>0.95397123931842587</v>
      </c>
      <c r="R33" s="172"/>
      <c r="S33" s="28"/>
      <c r="T33" s="28"/>
      <c r="U33" s="4"/>
      <c r="V33" s="22"/>
      <c r="W33" s="4"/>
      <c r="X33" s="4"/>
      <c r="Y33" s="31">
        <f>SUM(Y28:Y32)</f>
        <v>0</v>
      </c>
      <c r="Z33" s="31">
        <f>SUM(Z28:Z32)</f>
        <v>0</v>
      </c>
      <c r="AA33" s="168"/>
      <c r="AB33" s="168"/>
      <c r="AC33" s="31">
        <v>5</v>
      </c>
      <c r="AD33" s="31">
        <f>SUM(AD28:AD32)</f>
        <v>0</v>
      </c>
      <c r="AE33" s="19">
        <f t="shared" si="7"/>
        <v>-110.4690256357776</v>
      </c>
      <c r="AF33" s="21">
        <f t="shared" si="8"/>
        <v>0.95397123931842598</v>
      </c>
      <c r="AG33" s="172"/>
    </row>
    <row r="34" spans="1:33" ht="15.75" customHeight="1">
      <c r="A34" s="191" t="s">
        <v>64</v>
      </c>
      <c r="B34" s="37" t="s">
        <v>100</v>
      </c>
      <c r="C34" s="165" t="s">
        <v>106</v>
      </c>
      <c r="D34" s="165"/>
      <c r="E34" s="37">
        <v>26.2</v>
      </c>
      <c r="F34" s="4">
        <v>5491</v>
      </c>
      <c r="G34" s="4">
        <v>143864.19999999998</v>
      </c>
      <c r="H34" s="22" t="s">
        <v>139</v>
      </c>
      <c r="I34" s="16">
        <v>18</v>
      </c>
      <c r="J34" s="18">
        <v>2400</v>
      </c>
      <c r="K34" s="17">
        <f t="shared" si="0"/>
        <v>133.33333333333334</v>
      </c>
      <c r="L34" s="16">
        <v>18</v>
      </c>
      <c r="M34" s="18">
        <f t="shared" ref="M34:M38" si="22">F34/V34*60</f>
        <v>2287.9166666666665</v>
      </c>
      <c r="N34" s="17">
        <f t="shared" si="2"/>
        <v>127.10648148148147</v>
      </c>
      <c r="O34" s="19">
        <f t="shared" si="3"/>
        <v>0</v>
      </c>
      <c r="P34" s="20">
        <f t="shared" si="4"/>
        <v>-6.2268518518518761</v>
      </c>
      <c r="Q34" s="21">
        <f t="shared" si="5"/>
        <v>0.95329861111111092</v>
      </c>
      <c r="R34" s="172">
        <f>Q39</f>
        <v>0.95331896300301178</v>
      </c>
      <c r="S34" s="28">
        <v>8.3333333333333329E-2</v>
      </c>
      <c r="T34" s="28">
        <v>0.18333333333333332</v>
      </c>
      <c r="U34" s="4"/>
      <c r="V34" s="22">
        <f t="shared" ref="V34:V38" si="23">(T34-S34)*24*60</f>
        <v>144</v>
      </c>
      <c r="W34" s="28">
        <f>T34</f>
        <v>0.18333333333333332</v>
      </c>
      <c r="X34" s="28">
        <f>S35</f>
        <v>0.20347222222222222</v>
      </c>
      <c r="Y34" s="28"/>
      <c r="Z34" s="28"/>
      <c r="AA34" s="164"/>
      <c r="AB34" s="164"/>
      <c r="AC34" s="25">
        <v>5</v>
      </c>
      <c r="AD34" s="25"/>
      <c r="AE34" s="19">
        <f t="shared" si="7"/>
        <v>-112.08333333333348</v>
      </c>
      <c r="AF34" s="21">
        <f t="shared" si="8"/>
        <v>0.95329861111111103</v>
      </c>
      <c r="AG34" s="172">
        <f>AF39</f>
        <v>0.95331896300301178</v>
      </c>
    </row>
    <row r="35" spans="1:33" ht="15.75" customHeight="1">
      <c r="A35" s="191" t="s">
        <v>64</v>
      </c>
      <c r="B35" s="37" t="s">
        <v>100</v>
      </c>
      <c r="C35" s="165" t="s">
        <v>107</v>
      </c>
      <c r="D35" s="165"/>
      <c r="E35" s="37">
        <v>26.18</v>
      </c>
      <c r="F35" s="4">
        <v>2133</v>
      </c>
      <c r="G35" s="4">
        <v>55841.94</v>
      </c>
      <c r="H35" s="22" t="s">
        <v>139</v>
      </c>
      <c r="I35" s="16">
        <v>19</v>
      </c>
      <c r="J35" s="18">
        <v>2400</v>
      </c>
      <c r="K35" s="17">
        <f t="shared" si="0"/>
        <v>126.31578947368421</v>
      </c>
      <c r="L35" s="16">
        <v>19</v>
      </c>
      <c r="M35" s="18">
        <f t="shared" si="22"/>
        <v>2285.3571428571431</v>
      </c>
      <c r="N35" s="17">
        <f t="shared" si="2"/>
        <v>120.28195488721806</v>
      </c>
      <c r="O35" s="19">
        <f t="shared" si="3"/>
        <v>0</v>
      </c>
      <c r="P35" s="20">
        <f t="shared" si="4"/>
        <v>-6.033834586466142</v>
      </c>
      <c r="Q35" s="21">
        <f t="shared" si="5"/>
        <v>0.95223214285714308</v>
      </c>
      <c r="R35" s="172"/>
      <c r="S35" s="28">
        <v>0.20347222222222222</v>
      </c>
      <c r="T35" s="28">
        <v>0.24236111111111111</v>
      </c>
      <c r="U35" s="4">
        <f t="shared" ref="U35:U38" si="24">(S35-T34)*24*60</f>
        <v>29.000000000000018</v>
      </c>
      <c r="V35" s="22">
        <f t="shared" si="23"/>
        <v>56</v>
      </c>
      <c r="W35" s="4"/>
      <c r="X35" s="4"/>
      <c r="Y35" s="4"/>
      <c r="Z35" s="4"/>
      <c r="AA35" s="164"/>
      <c r="AB35" s="164"/>
      <c r="AC35" s="25"/>
      <c r="AD35" s="25"/>
      <c r="AE35" s="19">
        <f t="shared" si="7"/>
        <v>-114.64285714285688</v>
      </c>
      <c r="AF35" s="21">
        <f t="shared" si="8"/>
        <v>0.95223214285714297</v>
      </c>
      <c r="AG35" s="172"/>
    </row>
    <row r="36" spans="1:33">
      <c r="A36" s="192" t="s">
        <v>64</v>
      </c>
      <c r="B36" s="37" t="s">
        <v>100</v>
      </c>
      <c r="C36" s="165" t="s">
        <v>108</v>
      </c>
      <c r="D36" s="165"/>
      <c r="E36" s="37">
        <v>26.39</v>
      </c>
      <c r="F36" s="4">
        <v>5093</v>
      </c>
      <c r="G36" s="4">
        <v>134404.26999999999</v>
      </c>
      <c r="H36" s="22" t="s">
        <v>139</v>
      </c>
      <c r="I36" s="16">
        <v>19</v>
      </c>
      <c r="J36" s="18">
        <v>2400</v>
      </c>
      <c r="K36" s="17">
        <f t="shared" si="0"/>
        <v>126.31578947368421</v>
      </c>
      <c r="L36" s="16">
        <v>19</v>
      </c>
      <c r="M36" s="18">
        <f t="shared" si="22"/>
        <v>2297.593984962406</v>
      </c>
      <c r="N36" s="17">
        <f t="shared" si="2"/>
        <v>120.92599920854768</v>
      </c>
      <c r="O36" s="19">
        <f t="shared" si="3"/>
        <v>0</v>
      </c>
      <c r="P36" s="20">
        <f t="shared" si="4"/>
        <v>-5.3897902651365257</v>
      </c>
      <c r="Q36" s="21">
        <f t="shared" si="5"/>
        <v>0.95733082706766914</v>
      </c>
      <c r="R36" s="172"/>
      <c r="S36" s="28">
        <v>0.24791666666666667</v>
      </c>
      <c r="T36" s="28">
        <v>0.34027777777777779</v>
      </c>
      <c r="U36" s="4">
        <f t="shared" si="24"/>
        <v>8.0000000000000107</v>
      </c>
      <c r="V36" s="22">
        <f t="shared" si="23"/>
        <v>133</v>
      </c>
      <c r="W36" s="4"/>
      <c r="X36" s="4"/>
      <c r="Y36" s="4"/>
      <c r="Z36" s="4"/>
      <c r="AA36" s="164"/>
      <c r="AB36" s="164"/>
      <c r="AC36" s="25"/>
      <c r="AD36" s="25"/>
      <c r="AE36" s="19">
        <f t="shared" si="7"/>
        <v>-102.40601503759399</v>
      </c>
      <c r="AF36" s="21">
        <f t="shared" si="8"/>
        <v>0.95733082706766914</v>
      </c>
      <c r="AG36" s="172"/>
    </row>
    <row r="37" spans="1:33">
      <c r="A37" s="192" t="s">
        <v>64</v>
      </c>
      <c r="B37" s="37" t="s">
        <v>100</v>
      </c>
      <c r="C37" s="165" t="s">
        <v>109</v>
      </c>
      <c r="D37" s="165"/>
      <c r="E37" s="37">
        <v>24.45</v>
      </c>
      <c r="F37" s="4">
        <v>2326</v>
      </c>
      <c r="G37" s="4">
        <v>56870.7</v>
      </c>
      <c r="H37" s="22" t="s">
        <v>139</v>
      </c>
      <c r="I37" s="16">
        <v>20</v>
      </c>
      <c r="J37" s="18">
        <v>2400</v>
      </c>
      <c r="K37" s="17">
        <f t="shared" si="0"/>
        <v>120</v>
      </c>
      <c r="L37" s="16">
        <v>20</v>
      </c>
      <c r="M37" s="18">
        <f t="shared" si="22"/>
        <v>2287.8688524590152</v>
      </c>
      <c r="N37" s="17">
        <f t="shared" si="2"/>
        <v>114.39344262295076</v>
      </c>
      <c r="O37" s="19">
        <f t="shared" si="3"/>
        <v>0</v>
      </c>
      <c r="P37" s="20">
        <f t="shared" si="4"/>
        <v>-5.6065573770492421</v>
      </c>
      <c r="Q37" s="21">
        <f t="shared" si="5"/>
        <v>0.95327868852458963</v>
      </c>
      <c r="R37" s="172"/>
      <c r="S37" s="28">
        <v>0.34583333333333333</v>
      </c>
      <c r="T37" s="28">
        <v>0.38819444444444445</v>
      </c>
      <c r="U37" s="4">
        <f t="shared" si="24"/>
        <v>7.9999999999999716</v>
      </c>
      <c r="V37" s="22">
        <f t="shared" si="23"/>
        <v>61.000000000000021</v>
      </c>
      <c r="W37" s="23"/>
      <c r="X37" s="23"/>
      <c r="Y37" s="23"/>
      <c r="Z37" s="23"/>
      <c r="AA37" s="164"/>
      <c r="AB37" s="164"/>
      <c r="AC37" s="25"/>
      <c r="AD37" s="25"/>
      <c r="AE37" s="19">
        <f t="shared" si="7"/>
        <v>-112.13114754098478</v>
      </c>
      <c r="AF37" s="21">
        <f t="shared" si="8"/>
        <v>0.95327868852458963</v>
      </c>
      <c r="AG37" s="172"/>
    </row>
    <row r="38" spans="1:33">
      <c r="A38" s="192" t="s">
        <v>64</v>
      </c>
      <c r="B38" s="37" t="s">
        <v>100</v>
      </c>
      <c r="C38" s="165" t="s">
        <v>110</v>
      </c>
      <c r="D38" s="165"/>
      <c r="E38" s="37">
        <v>22.69</v>
      </c>
      <c r="F38" s="4">
        <v>6273</v>
      </c>
      <c r="G38" s="4">
        <v>142334.37</v>
      </c>
      <c r="H38" s="22" t="s">
        <v>139</v>
      </c>
      <c r="I38" s="16">
        <v>16</v>
      </c>
      <c r="J38" s="18">
        <v>2400</v>
      </c>
      <c r="K38" s="17">
        <f t="shared" si="0"/>
        <v>150</v>
      </c>
      <c r="L38" s="16">
        <v>16</v>
      </c>
      <c r="M38" s="18">
        <f t="shared" si="22"/>
        <v>2281.0909090909095</v>
      </c>
      <c r="N38" s="17">
        <f t="shared" si="2"/>
        <v>142.56818181818184</v>
      </c>
      <c r="O38" s="19">
        <f t="shared" si="3"/>
        <v>0</v>
      </c>
      <c r="P38" s="20">
        <f t="shared" si="4"/>
        <v>-7.4318181818181586</v>
      </c>
      <c r="Q38" s="21">
        <f t="shared" si="5"/>
        <v>0.95045454545454566</v>
      </c>
      <c r="R38" s="172"/>
      <c r="S38" s="28">
        <v>0.39305555555555555</v>
      </c>
      <c r="T38" s="28">
        <v>0.50763888888888886</v>
      </c>
      <c r="U38" s="4">
        <f t="shared" si="24"/>
        <v>6.9999999999999751</v>
      </c>
      <c r="V38" s="22">
        <f t="shared" si="23"/>
        <v>164.99999999999997</v>
      </c>
      <c r="W38" s="23"/>
      <c r="X38" s="23"/>
      <c r="Y38" s="23"/>
      <c r="Z38" s="23"/>
      <c r="AA38" s="164"/>
      <c r="AB38" s="164"/>
      <c r="AC38" s="25"/>
      <c r="AD38" s="25"/>
      <c r="AE38" s="19">
        <f t="shared" si="7"/>
        <v>-118.90909090909054</v>
      </c>
      <c r="AF38" s="21">
        <f t="shared" si="8"/>
        <v>0.95045454545454566</v>
      </c>
      <c r="AG38" s="172"/>
    </row>
    <row r="39" spans="1:33">
      <c r="A39" s="192" t="s">
        <v>64</v>
      </c>
      <c r="B39" s="17" t="s">
        <v>51</v>
      </c>
      <c r="C39" s="177"/>
      <c r="D39" s="177"/>
      <c r="E39" s="38"/>
      <c r="F39" s="17"/>
      <c r="G39" s="17"/>
      <c r="H39" s="4"/>
      <c r="I39" s="30">
        <v>18.399999999999999</v>
      </c>
      <c r="J39" s="18">
        <v>2400</v>
      </c>
      <c r="K39" s="17">
        <f t="shared" si="0"/>
        <v>130.43478260869566</v>
      </c>
      <c r="L39" s="30">
        <v>18.399999999999999</v>
      </c>
      <c r="M39" s="18">
        <f>AVERAGE(M34:M38)</f>
        <v>2287.9655112072282</v>
      </c>
      <c r="N39" s="17">
        <f t="shared" si="2"/>
        <v>124.34595169604502</v>
      </c>
      <c r="O39" s="19">
        <f t="shared" si="3"/>
        <v>0</v>
      </c>
      <c r="P39" s="20">
        <f t="shared" si="4"/>
        <v>-6.0888309126506357</v>
      </c>
      <c r="Q39" s="21">
        <f t="shared" si="5"/>
        <v>0.95331896300301178</v>
      </c>
      <c r="R39" s="172"/>
      <c r="S39" s="28"/>
      <c r="T39" s="28"/>
      <c r="U39" s="17"/>
      <c r="V39" s="22"/>
      <c r="W39" s="17"/>
      <c r="X39" s="17"/>
      <c r="Y39" s="31">
        <f>SUM(Y34:Y38)</f>
        <v>0</v>
      </c>
      <c r="Z39" s="31">
        <f>SUM(Z34:Z38)</f>
        <v>0</v>
      </c>
      <c r="AA39" s="168"/>
      <c r="AB39" s="168"/>
      <c r="AC39" s="31">
        <v>5</v>
      </c>
      <c r="AD39" s="31">
        <f>SUM(AD34:AD38)</f>
        <v>0</v>
      </c>
      <c r="AE39" s="19">
        <f t="shared" si="7"/>
        <v>-112.03448879277175</v>
      </c>
      <c r="AF39" s="21">
        <f t="shared" si="8"/>
        <v>0.95331896300301178</v>
      </c>
      <c r="AG39" s="172"/>
    </row>
    <row r="40" spans="1:33" ht="15.75" customHeight="1">
      <c r="A40" s="184" t="s">
        <v>67</v>
      </c>
      <c r="B40" s="37" t="s">
        <v>111</v>
      </c>
      <c r="C40" s="173" t="s">
        <v>403</v>
      </c>
      <c r="D40" s="174"/>
      <c r="E40" s="37">
        <v>32.83</v>
      </c>
      <c r="F40" s="4">
        <v>5229</v>
      </c>
      <c r="G40" s="4">
        <v>171668.06999999998</v>
      </c>
      <c r="H40" s="22" t="s">
        <v>139</v>
      </c>
      <c r="I40" s="16">
        <v>10</v>
      </c>
      <c r="J40" s="18">
        <v>3000</v>
      </c>
      <c r="K40" s="17">
        <f t="shared" si="0"/>
        <v>300</v>
      </c>
      <c r="L40" s="16">
        <v>10</v>
      </c>
      <c r="M40" s="18">
        <f t="shared" ref="M40:M46" si="25">F40/V40*60</f>
        <v>2852.1818181818189</v>
      </c>
      <c r="N40" s="18">
        <f t="shared" si="2"/>
        <v>285.2181818181819</v>
      </c>
      <c r="O40" s="19">
        <f t="shared" si="3"/>
        <v>0</v>
      </c>
      <c r="P40" s="20">
        <f t="shared" si="4"/>
        <v>-14.781818181818096</v>
      </c>
      <c r="Q40" s="21">
        <f t="shared" si="5"/>
        <v>0.95072727272727298</v>
      </c>
      <c r="R40" s="187">
        <f>Q47</f>
        <v>0.95668981235645023</v>
      </c>
      <c r="S40" s="28">
        <v>8.3333333333333329E-2</v>
      </c>
      <c r="T40" s="28">
        <v>0.15972222222222221</v>
      </c>
      <c r="U40" s="28"/>
      <c r="V40" s="22">
        <f t="shared" ref="V40:V46" si="26">(T40-S40)*24*60</f>
        <v>109.99999999999999</v>
      </c>
      <c r="W40" s="23">
        <f>T40</f>
        <v>0.15972222222222221</v>
      </c>
      <c r="X40" s="23">
        <f>S41</f>
        <v>0.17986111111111111</v>
      </c>
      <c r="Y40" s="26"/>
      <c r="Z40" s="26"/>
      <c r="AA40" s="175"/>
      <c r="AB40" s="176"/>
      <c r="AC40" s="25">
        <v>7</v>
      </c>
      <c r="AD40" s="25"/>
      <c r="AE40" s="19">
        <f t="shared" si="7"/>
        <v>-147.81818181818107</v>
      </c>
      <c r="AF40" s="21">
        <f t="shared" si="8"/>
        <v>0.95072727272727298</v>
      </c>
      <c r="AG40" s="187">
        <f>AF47</f>
        <v>0.95668981235645012</v>
      </c>
    </row>
    <row r="41" spans="1:33" ht="15.75" customHeight="1">
      <c r="A41" s="185" t="s">
        <v>67</v>
      </c>
      <c r="B41" s="37" t="s">
        <v>111</v>
      </c>
      <c r="C41" s="173" t="s">
        <v>114</v>
      </c>
      <c r="D41" s="174"/>
      <c r="E41" s="37">
        <v>35.119999999999997</v>
      </c>
      <c r="F41" s="4">
        <v>4407</v>
      </c>
      <c r="G41" s="4">
        <v>154773.84</v>
      </c>
      <c r="H41" s="22" t="s">
        <v>139</v>
      </c>
      <c r="I41" s="16">
        <v>10</v>
      </c>
      <c r="J41" s="18">
        <v>3000</v>
      </c>
      <c r="K41" s="17">
        <f t="shared" si="0"/>
        <v>300</v>
      </c>
      <c r="L41" s="16">
        <v>10</v>
      </c>
      <c r="M41" s="18">
        <f t="shared" si="25"/>
        <v>2874.1304347826076</v>
      </c>
      <c r="N41" s="18">
        <f t="shared" si="2"/>
        <v>287.41304347826076</v>
      </c>
      <c r="O41" s="19">
        <f t="shared" si="3"/>
        <v>0</v>
      </c>
      <c r="P41" s="20">
        <f t="shared" si="4"/>
        <v>-12.586956521739239</v>
      </c>
      <c r="Q41" s="21">
        <f t="shared" si="5"/>
        <v>0.95804347826086922</v>
      </c>
      <c r="R41" s="188"/>
      <c r="S41" s="28">
        <v>0.17986111111111111</v>
      </c>
      <c r="T41" s="28">
        <v>0.24375000000000002</v>
      </c>
      <c r="U41" s="4">
        <f t="shared" ref="U41:U46" si="27">(S41-T40)*24*60</f>
        <v>29.000000000000018</v>
      </c>
      <c r="V41" s="22">
        <f t="shared" si="26"/>
        <v>92.000000000000028</v>
      </c>
      <c r="W41" s="23"/>
      <c r="X41" s="23"/>
      <c r="Y41" s="26"/>
      <c r="Z41" s="26"/>
      <c r="AA41" s="175"/>
      <c r="AB41" s="176"/>
      <c r="AC41" s="25" t="s">
        <v>139</v>
      </c>
      <c r="AD41" s="25"/>
      <c r="AE41" s="19">
        <f t="shared" si="7"/>
        <v>-125.86956521739239</v>
      </c>
      <c r="AF41" s="21">
        <f t="shared" si="8"/>
        <v>0.95804347826086922</v>
      </c>
      <c r="AG41" s="188"/>
    </row>
    <row r="42" spans="1:33" ht="15.75" customHeight="1">
      <c r="A42" s="185" t="s">
        <v>569</v>
      </c>
      <c r="B42" s="37" t="s">
        <v>111</v>
      </c>
      <c r="C42" s="173" t="s">
        <v>115</v>
      </c>
      <c r="D42" s="174"/>
      <c r="E42" s="37">
        <v>26.78</v>
      </c>
      <c r="F42" s="4">
        <v>2436</v>
      </c>
      <c r="G42" s="4">
        <v>65236.08</v>
      </c>
      <c r="H42" s="22" t="s">
        <v>139</v>
      </c>
      <c r="I42" s="16">
        <v>10</v>
      </c>
      <c r="J42" s="18">
        <v>3000</v>
      </c>
      <c r="K42" s="17">
        <f t="shared" si="0"/>
        <v>300</v>
      </c>
      <c r="L42" s="16">
        <v>10</v>
      </c>
      <c r="M42" s="18">
        <f t="shared" si="25"/>
        <v>2865.8823529411752</v>
      </c>
      <c r="N42" s="18">
        <f t="shared" si="2"/>
        <v>286.58823529411751</v>
      </c>
      <c r="O42" s="19">
        <f t="shared" si="3"/>
        <v>0</v>
      </c>
      <c r="P42" s="20">
        <f t="shared" si="4"/>
        <v>-13.41176470588249</v>
      </c>
      <c r="Q42" s="21">
        <f t="shared" si="5"/>
        <v>0.95529411764705841</v>
      </c>
      <c r="R42" s="188"/>
      <c r="S42" s="28">
        <v>0.24930555555555559</v>
      </c>
      <c r="T42" s="28">
        <v>0.28472222222222227</v>
      </c>
      <c r="U42" s="4">
        <f t="shared" si="27"/>
        <v>8.0000000000000107</v>
      </c>
      <c r="V42" s="22">
        <f t="shared" si="26"/>
        <v>51.000000000000021</v>
      </c>
      <c r="W42" s="23"/>
      <c r="X42" s="23"/>
      <c r="Y42" s="26"/>
      <c r="Z42" s="26"/>
      <c r="AA42" s="175"/>
      <c r="AB42" s="176"/>
      <c r="AC42" s="25" t="s">
        <v>139</v>
      </c>
      <c r="AD42" s="25"/>
      <c r="AE42" s="19">
        <f t="shared" si="7"/>
        <v>-134.11764705882479</v>
      </c>
      <c r="AF42" s="21">
        <f t="shared" si="8"/>
        <v>0.95529411764705841</v>
      </c>
      <c r="AG42" s="188"/>
    </row>
    <row r="43" spans="1:33" ht="15.75" customHeight="1">
      <c r="A43" s="185" t="s">
        <v>67</v>
      </c>
      <c r="B43" s="37" t="s">
        <v>111</v>
      </c>
      <c r="C43" s="173" t="s">
        <v>116</v>
      </c>
      <c r="D43" s="174"/>
      <c r="E43" s="37">
        <v>35.869999999999997</v>
      </c>
      <c r="F43" s="4">
        <v>3071</v>
      </c>
      <c r="G43" s="4">
        <v>110156.76999999999</v>
      </c>
      <c r="H43" s="22" t="s">
        <v>139</v>
      </c>
      <c r="I43" s="16">
        <v>9</v>
      </c>
      <c r="J43" s="18">
        <v>3000</v>
      </c>
      <c r="K43" s="17">
        <f t="shared" si="0"/>
        <v>333.33333333333331</v>
      </c>
      <c r="L43" s="16">
        <v>9</v>
      </c>
      <c r="M43" s="18">
        <f t="shared" si="25"/>
        <v>2879.0624999999995</v>
      </c>
      <c r="N43" s="18">
        <f t="shared" si="2"/>
        <v>319.89583333333326</v>
      </c>
      <c r="O43" s="19">
        <f t="shared" si="3"/>
        <v>0</v>
      </c>
      <c r="P43" s="20">
        <f t="shared" si="4"/>
        <v>-13.437500000000057</v>
      </c>
      <c r="Q43" s="21">
        <f t="shared" si="5"/>
        <v>0.9596874999999998</v>
      </c>
      <c r="R43" s="188"/>
      <c r="S43" s="28">
        <v>0.28819444444444448</v>
      </c>
      <c r="T43" s="28">
        <v>0.33263888888888893</v>
      </c>
      <c r="U43" s="4">
        <f t="shared" si="27"/>
        <v>4.9999999999999822</v>
      </c>
      <c r="V43" s="22">
        <f t="shared" si="26"/>
        <v>64.000000000000014</v>
      </c>
      <c r="W43" s="23"/>
      <c r="X43" s="23"/>
      <c r="Y43" s="26"/>
      <c r="Z43" s="26"/>
      <c r="AA43" s="175"/>
      <c r="AB43" s="176"/>
      <c r="AC43" s="25" t="s">
        <v>139</v>
      </c>
      <c r="AD43" s="25"/>
      <c r="AE43" s="19">
        <f t="shared" si="7"/>
        <v>-120.93750000000045</v>
      </c>
      <c r="AF43" s="21">
        <f t="shared" si="8"/>
        <v>0.9596874999999998</v>
      </c>
      <c r="AG43" s="188"/>
    </row>
    <row r="44" spans="1:33" ht="15.75" customHeight="1">
      <c r="A44" s="185" t="s">
        <v>67</v>
      </c>
      <c r="B44" s="37" t="s">
        <v>111</v>
      </c>
      <c r="C44" s="173" t="s">
        <v>117</v>
      </c>
      <c r="D44" s="174"/>
      <c r="E44" s="37">
        <v>44.03</v>
      </c>
      <c r="F44" s="4">
        <v>1595</v>
      </c>
      <c r="G44" s="4">
        <v>70227.850000000006</v>
      </c>
      <c r="H44" s="22" t="s">
        <v>139</v>
      </c>
      <c r="I44" s="16">
        <v>10</v>
      </c>
      <c r="J44" s="18">
        <v>3000</v>
      </c>
      <c r="K44" s="17">
        <f t="shared" si="0"/>
        <v>300</v>
      </c>
      <c r="L44" s="16">
        <v>10</v>
      </c>
      <c r="M44" s="18">
        <f t="shared" si="25"/>
        <v>2899.9999999999964</v>
      </c>
      <c r="N44" s="18">
        <f t="shared" si="2"/>
        <v>289.99999999999966</v>
      </c>
      <c r="O44" s="19">
        <f t="shared" si="3"/>
        <v>0</v>
      </c>
      <c r="P44" s="20">
        <f t="shared" si="4"/>
        <v>-10.000000000000341</v>
      </c>
      <c r="Q44" s="21">
        <f t="shared" si="5"/>
        <v>0.96666666666666556</v>
      </c>
      <c r="R44" s="188"/>
      <c r="S44" s="28">
        <v>0.33819444444444446</v>
      </c>
      <c r="T44" s="28">
        <v>0.36111111111111116</v>
      </c>
      <c r="U44" s="4">
        <f t="shared" si="27"/>
        <v>7.9999999999999716</v>
      </c>
      <c r="V44" s="22">
        <f t="shared" si="26"/>
        <v>33.000000000000043</v>
      </c>
      <c r="W44" s="23"/>
      <c r="X44" s="23"/>
      <c r="Y44" s="26"/>
      <c r="Z44" s="26"/>
      <c r="AA44" s="175"/>
      <c r="AB44" s="176"/>
      <c r="AC44" s="25" t="s">
        <v>139</v>
      </c>
      <c r="AD44" s="25"/>
      <c r="AE44" s="19">
        <f t="shared" si="7"/>
        <v>-100.00000000000364</v>
      </c>
      <c r="AF44" s="21">
        <f t="shared" si="8"/>
        <v>0.96666666666666545</v>
      </c>
      <c r="AG44" s="188"/>
    </row>
    <row r="45" spans="1:33" ht="15.75" customHeight="1">
      <c r="A45" s="185" t="s">
        <v>67</v>
      </c>
      <c r="B45" s="37" t="s">
        <v>111</v>
      </c>
      <c r="C45" s="173" t="s">
        <v>112</v>
      </c>
      <c r="D45" s="174"/>
      <c r="E45" s="37">
        <v>21.13</v>
      </c>
      <c r="F45" s="4">
        <v>4425</v>
      </c>
      <c r="G45" s="4">
        <v>93500.25</v>
      </c>
      <c r="H45" s="22" t="s">
        <v>139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2854.8387096774195</v>
      </c>
      <c r="N45" s="18">
        <f t="shared" si="2"/>
        <v>285.48387096774195</v>
      </c>
      <c r="O45" s="19">
        <f t="shared" si="3"/>
        <v>0</v>
      </c>
      <c r="P45" s="20">
        <f t="shared" si="4"/>
        <v>-14.51612903225805</v>
      </c>
      <c r="Q45" s="21">
        <f t="shared" si="5"/>
        <v>0.95161290322580649</v>
      </c>
      <c r="R45" s="188"/>
      <c r="S45" s="28">
        <v>0.36527777777777781</v>
      </c>
      <c r="T45" s="28">
        <v>0.42986111111111114</v>
      </c>
      <c r="U45" s="4">
        <f t="shared" si="27"/>
        <v>5.9999999999999787</v>
      </c>
      <c r="V45" s="22">
        <f t="shared" si="26"/>
        <v>92.999999999999986</v>
      </c>
      <c r="W45" s="23"/>
      <c r="X45" s="23"/>
      <c r="Y45" s="26"/>
      <c r="Z45" s="26"/>
      <c r="AA45" s="175"/>
      <c r="AB45" s="176"/>
      <c r="AC45" s="25" t="s">
        <v>139</v>
      </c>
      <c r="AD45" s="25"/>
      <c r="AE45" s="19">
        <f t="shared" si="7"/>
        <v>-145.1612903225805</v>
      </c>
      <c r="AF45" s="21">
        <f t="shared" si="8"/>
        <v>0.95161290322580649</v>
      </c>
      <c r="AG45" s="188"/>
    </row>
    <row r="46" spans="1:33" ht="15.75" customHeight="1">
      <c r="A46" s="185" t="s">
        <v>67</v>
      </c>
      <c r="B46" s="37" t="s">
        <v>111</v>
      </c>
      <c r="C46" s="173" t="s">
        <v>113</v>
      </c>
      <c r="D46" s="174"/>
      <c r="E46" s="37">
        <v>27.17</v>
      </c>
      <c r="F46" s="4">
        <v>5872</v>
      </c>
      <c r="G46" s="4">
        <v>159542.24000000002</v>
      </c>
      <c r="H46" s="22" t="s">
        <v>139</v>
      </c>
      <c r="I46" s="16">
        <v>10</v>
      </c>
      <c r="J46" s="18">
        <v>3000</v>
      </c>
      <c r="K46" s="17">
        <f t="shared" si="0"/>
        <v>300</v>
      </c>
      <c r="L46" s="16">
        <v>10</v>
      </c>
      <c r="M46" s="18">
        <f t="shared" si="25"/>
        <v>2864.3902439024378</v>
      </c>
      <c r="N46" s="18">
        <f t="shared" si="2"/>
        <v>286.43902439024379</v>
      </c>
      <c r="O46" s="19">
        <f t="shared" si="3"/>
        <v>0</v>
      </c>
      <c r="P46" s="20">
        <f t="shared" si="4"/>
        <v>-13.560975609756213</v>
      </c>
      <c r="Q46" s="21">
        <f t="shared" si="5"/>
        <v>0.95479674796747926</v>
      </c>
      <c r="R46" s="188"/>
      <c r="S46" s="28">
        <v>0.43541666666666667</v>
      </c>
      <c r="T46" s="28">
        <v>0.52083333333333337</v>
      </c>
      <c r="U46" s="4">
        <f t="shared" si="27"/>
        <v>7.9999999999999716</v>
      </c>
      <c r="V46" s="22">
        <f t="shared" si="26"/>
        <v>123.00000000000004</v>
      </c>
      <c r="W46" s="23"/>
      <c r="X46" s="23"/>
      <c r="Y46" s="26"/>
      <c r="Z46" s="26"/>
      <c r="AA46" s="175"/>
      <c r="AB46" s="176"/>
      <c r="AC46" s="25"/>
      <c r="AD46" s="25"/>
      <c r="AE46" s="19">
        <f t="shared" si="7"/>
        <v>-135.60975609756224</v>
      </c>
      <c r="AF46" s="21">
        <f t="shared" si="8"/>
        <v>0.95479674796747926</v>
      </c>
      <c r="AG46" s="188"/>
    </row>
    <row r="47" spans="1:33" ht="15.75" customHeight="1">
      <c r="A47" s="186" t="s">
        <v>67</v>
      </c>
      <c r="B47" s="37" t="s">
        <v>51</v>
      </c>
      <c r="C47" s="166"/>
      <c r="D47" s="167"/>
      <c r="E47" s="41"/>
      <c r="F47" s="4"/>
      <c r="G47" s="4"/>
      <c r="H47" s="4"/>
      <c r="I47" s="30">
        <v>9.8571428571428577</v>
      </c>
      <c r="J47" s="18">
        <v>3000</v>
      </c>
      <c r="K47" s="17">
        <f t="shared" si="0"/>
        <v>304.3478260869565</v>
      </c>
      <c r="L47" s="30">
        <v>9.8571428571428577</v>
      </c>
      <c r="M47" s="18">
        <f>AVERAGE(M40:M46)</f>
        <v>2870.0694370693504</v>
      </c>
      <c r="N47" s="17">
        <f t="shared" si="2"/>
        <v>291.16646463022397</v>
      </c>
      <c r="O47" s="19">
        <f t="shared" si="3"/>
        <v>0</v>
      </c>
      <c r="P47" s="20">
        <f t="shared" si="4"/>
        <v>-13.181361456732532</v>
      </c>
      <c r="Q47" s="21">
        <f t="shared" si="5"/>
        <v>0.95668981235645023</v>
      </c>
      <c r="R47" s="189"/>
      <c r="S47" s="28"/>
      <c r="T47" s="28"/>
      <c r="U47" s="4"/>
      <c r="V47" s="22"/>
      <c r="W47" s="23"/>
      <c r="X47" s="23"/>
      <c r="Y47" s="31">
        <f>SUM(Y40:Y46)</f>
        <v>0</v>
      </c>
      <c r="Z47" s="31">
        <f>SUM(Z40:Z46)</f>
        <v>0</v>
      </c>
      <c r="AA47" s="180"/>
      <c r="AB47" s="181"/>
      <c r="AC47" s="31">
        <v>7</v>
      </c>
      <c r="AD47" s="31">
        <f>SUM(AD40:AD46)</f>
        <v>0</v>
      </c>
      <c r="AE47" s="19">
        <f t="shared" si="7"/>
        <v>-129.93056293064956</v>
      </c>
      <c r="AF47" s="21">
        <f t="shared" si="8"/>
        <v>0.95668981235645012</v>
      </c>
      <c r="AG47" s="189"/>
    </row>
    <row r="48" spans="1:33" ht="15.75" customHeight="1">
      <c r="A48" s="182" t="s">
        <v>70</v>
      </c>
      <c r="B48" s="37" t="s">
        <v>84</v>
      </c>
      <c r="C48" s="165" t="s">
        <v>118</v>
      </c>
      <c r="D48" s="165"/>
      <c r="E48" s="37">
        <v>46</v>
      </c>
      <c r="F48" s="42">
        <v>1511</v>
      </c>
      <c r="G48" s="4">
        <v>69506</v>
      </c>
      <c r="H48" s="22" t="s">
        <v>139</v>
      </c>
      <c r="I48" s="16">
        <v>17</v>
      </c>
      <c r="J48" s="18">
        <v>2000</v>
      </c>
      <c r="K48" s="17">
        <f t="shared" si="0"/>
        <v>117.64705882352941</v>
      </c>
      <c r="L48" s="16">
        <v>17</v>
      </c>
      <c r="M48" s="18">
        <f t="shared" ref="M48:M56" si="28">F48/V48*60</f>
        <v>1928.9361702127662</v>
      </c>
      <c r="N48" s="18">
        <f t="shared" si="2"/>
        <v>113.46683354192743</v>
      </c>
      <c r="O48" s="19">
        <f t="shared" si="3"/>
        <v>0</v>
      </c>
      <c r="P48" s="20">
        <f t="shared" si="4"/>
        <v>-4.1802252816019774</v>
      </c>
      <c r="Q48" s="21">
        <f t="shared" si="5"/>
        <v>0.96446808510638316</v>
      </c>
      <c r="R48" s="172">
        <f>Q57</f>
        <v>0.9354057536453606</v>
      </c>
      <c r="S48" s="28">
        <v>0.20833333333333334</v>
      </c>
      <c r="T48" s="28">
        <v>0.24097222222222223</v>
      </c>
      <c r="U48" s="28"/>
      <c r="V48" s="22">
        <f t="shared" ref="V48:V56" si="29">(T48-S48)*24*60</f>
        <v>46.999999999999993</v>
      </c>
      <c r="W48" s="28"/>
      <c r="X48" s="28"/>
      <c r="Y48" s="28"/>
      <c r="Z48" s="28"/>
      <c r="AA48" s="164"/>
      <c r="AB48" s="164"/>
      <c r="AC48" s="25">
        <v>9</v>
      </c>
      <c r="AD48" s="25"/>
      <c r="AE48" s="19">
        <f t="shared" si="7"/>
        <v>-71.063829787233772</v>
      </c>
      <c r="AF48" s="21">
        <f t="shared" si="8"/>
        <v>0.96446808510638316</v>
      </c>
      <c r="AG48" s="172">
        <f>AF57</f>
        <v>0.9354057536453606</v>
      </c>
    </row>
    <row r="49" spans="1:33" ht="15.75" customHeight="1">
      <c r="A49" s="182" t="s">
        <v>70</v>
      </c>
      <c r="B49" s="37" t="s">
        <v>84</v>
      </c>
      <c r="C49" s="165" t="s">
        <v>119</v>
      </c>
      <c r="D49" s="165"/>
      <c r="E49" s="37">
        <v>46</v>
      </c>
      <c r="F49" s="42">
        <v>1585</v>
      </c>
      <c r="G49" s="4">
        <v>72910</v>
      </c>
      <c r="H49" s="22" t="s">
        <v>139</v>
      </c>
      <c r="I49" s="16">
        <v>17</v>
      </c>
      <c r="J49" s="18">
        <v>2000</v>
      </c>
      <c r="K49" s="17">
        <f t="shared" si="0"/>
        <v>117.64705882352941</v>
      </c>
      <c r="L49" s="16">
        <v>17</v>
      </c>
      <c r="M49" s="18">
        <f t="shared" si="28"/>
        <v>1902.0000000000007</v>
      </c>
      <c r="N49" s="18">
        <f t="shared" si="2"/>
        <v>111.88235294117651</v>
      </c>
      <c r="O49" s="19">
        <f t="shared" si="3"/>
        <v>0</v>
      </c>
      <c r="P49" s="20">
        <f t="shared" si="4"/>
        <v>-5.7647058823528994</v>
      </c>
      <c r="Q49" s="21">
        <f t="shared" si="5"/>
        <v>0.9510000000000004</v>
      </c>
      <c r="R49" s="172"/>
      <c r="S49" s="28">
        <v>0.24652777777777779</v>
      </c>
      <c r="T49" s="28">
        <v>0.28125</v>
      </c>
      <c r="U49" s="4">
        <f t="shared" ref="U49:U56" si="30">IF(S49=TIME(17,0,0),"",(S49-T48)*24*60)</f>
        <v>8.0000000000000107</v>
      </c>
      <c r="V49" s="22">
        <f t="shared" si="29"/>
        <v>49.999999999999986</v>
      </c>
      <c r="W49" s="23"/>
      <c r="X49" s="23"/>
      <c r="Y49" s="23"/>
      <c r="Z49" s="23"/>
      <c r="AA49" s="164"/>
      <c r="AB49" s="164"/>
      <c r="AC49" s="25"/>
      <c r="AD49" s="25"/>
      <c r="AE49" s="19">
        <f t="shared" si="7"/>
        <v>-97.999999999999318</v>
      </c>
      <c r="AF49" s="21">
        <f t="shared" si="8"/>
        <v>0.95100000000000029</v>
      </c>
      <c r="AG49" s="172"/>
    </row>
    <row r="50" spans="1:33" ht="15.75" customHeight="1">
      <c r="A50" s="182" t="s">
        <v>70</v>
      </c>
      <c r="B50" s="37" t="s">
        <v>78</v>
      </c>
      <c r="C50" s="173" t="s">
        <v>120</v>
      </c>
      <c r="D50" s="174"/>
      <c r="E50" s="37">
        <v>56.43</v>
      </c>
      <c r="F50" s="42">
        <v>1710</v>
      </c>
      <c r="G50" s="4">
        <v>96495.3</v>
      </c>
      <c r="H50" s="22" t="s">
        <v>139</v>
      </c>
      <c r="I50" s="16">
        <v>22</v>
      </c>
      <c r="J50" s="18">
        <v>2000</v>
      </c>
      <c r="K50" s="17">
        <f t="shared" si="0"/>
        <v>90.909090909090907</v>
      </c>
      <c r="L50" s="16">
        <v>22</v>
      </c>
      <c r="M50" s="18">
        <f t="shared" si="28"/>
        <v>1768.9655172413782</v>
      </c>
      <c r="N50" s="18">
        <f t="shared" si="2"/>
        <v>80.407523510971728</v>
      </c>
      <c r="O50" s="19">
        <f t="shared" si="3"/>
        <v>0</v>
      </c>
      <c r="P50" s="20">
        <f t="shared" si="4"/>
        <v>-10.501567398119178</v>
      </c>
      <c r="Q50" s="21">
        <f t="shared" si="5"/>
        <v>0.88448275862068904</v>
      </c>
      <c r="R50" s="172"/>
      <c r="S50" s="28">
        <v>0.28611111111111109</v>
      </c>
      <c r="T50" s="28">
        <v>0.3263888888888889</v>
      </c>
      <c r="U50" s="4">
        <f t="shared" si="30"/>
        <v>6.9999999999999751</v>
      </c>
      <c r="V50" s="22">
        <f t="shared" si="29"/>
        <v>58.000000000000036</v>
      </c>
      <c r="W50" s="23"/>
      <c r="X50" s="23"/>
      <c r="Y50" s="26"/>
      <c r="Z50" s="26"/>
      <c r="AA50" s="164"/>
      <c r="AB50" s="164"/>
      <c r="AC50" s="25"/>
      <c r="AD50" s="25"/>
      <c r="AE50" s="19">
        <f t="shared" si="7"/>
        <v>-231.03448275862183</v>
      </c>
      <c r="AF50" s="21">
        <f t="shared" si="8"/>
        <v>0.88448275862068904</v>
      </c>
      <c r="AG50" s="172"/>
    </row>
    <row r="51" spans="1:33" ht="15.75" customHeight="1">
      <c r="A51" s="182" t="s">
        <v>70</v>
      </c>
      <c r="B51" s="37" t="s">
        <v>78</v>
      </c>
      <c r="C51" s="43" t="s">
        <v>121</v>
      </c>
      <c r="D51" s="44"/>
      <c r="E51" s="37">
        <v>51.75</v>
      </c>
      <c r="F51" s="42">
        <v>1601</v>
      </c>
      <c r="G51" s="4">
        <v>82851.75</v>
      </c>
      <c r="H51" s="22" t="s">
        <v>139</v>
      </c>
      <c r="I51" s="16">
        <v>25</v>
      </c>
      <c r="J51" s="18">
        <v>2000</v>
      </c>
      <c r="K51" s="17">
        <f t="shared" si="0"/>
        <v>80</v>
      </c>
      <c r="L51" s="16">
        <v>25</v>
      </c>
      <c r="M51" s="18">
        <f t="shared" si="28"/>
        <v>1715.3571428571418</v>
      </c>
      <c r="N51" s="18">
        <f t="shared" si="2"/>
        <v>68.614285714285671</v>
      </c>
      <c r="O51" s="19">
        <f t="shared" si="3"/>
        <v>0</v>
      </c>
      <c r="P51" s="20">
        <f t="shared" si="4"/>
        <v>-11.385714285714329</v>
      </c>
      <c r="Q51" s="21">
        <f t="shared" si="5"/>
        <v>0.85767857142857085</v>
      </c>
      <c r="R51" s="172"/>
      <c r="S51" s="28">
        <v>0.3298611111111111</v>
      </c>
      <c r="T51" s="28">
        <v>0.36875000000000002</v>
      </c>
      <c r="U51" s="4">
        <f t="shared" si="30"/>
        <v>4.9999999999999822</v>
      </c>
      <c r="V51" s="22">
        <f t="shared" si="29"/>
        <v>56.000000000000043</v>
      </c>
      <c r="W51" s="23"/>
      <c r="X51" s="23"/>
      <c r="Y51" s="26"/>
      <c r="Z51" s="26"/>
      <c r="AA51" s="164"/>
      <c r="AB51" s="164"/>
      <c r="AC51" s="25"/>
      <c r="AD51" s="25"/>
      <c r="AE51" s="19">
        <f t="shared" si="7"/>
        <v>-284.64285714285825</v>
      </c>
      <c r="AF51" s="21">
        <f t="shared" si="8"/>
        <v>0.85767857142857085</v>
      </c>
      <c r="AG51" s="172"/>
    </row>
    <row r="52" spans="1:33" ht="15.75" customHeight="1">
      <c r="A52" s="182" t="s">
        <v>70</v>
      </c>
      <c r="B52" s="37" t="s">
        <v>78</v>
      </c>
      <c r="C52" s="43" t="s">
        <v>122</v>
      </c>
      <c r="D52" s="44"/>
      <c r="E52" s="37">
        <v>54.09</v>
      </c>
      <c r="F52" s="42">
        <v>1680</v>
      </c>
      <c r="G52" s="4">
        <v>90871.200000000012</v>
      </c>
      <c r="H52" s="22" t="s">
        <v>139</v>
      </c>
      <c r="I52" s="16">
        <v>19</v>
      </c>
      <c r="J52" s="18">
        <v>2000</v>
      </c>
      <c r="K52" s="17">
        <f t="shared" si="0"/>
        <v>105.26315789473684</v>
      </c>
      <c r="L52" s="16">
        <v>19</v>
      </c>
      <c r="M52" s="18">
        <f t="shared" si="28"/>
        <v>1866.6666666666677</v>
      </c>
      <c r="N52" s="18">
        <f t="shared" si="2"/>
        <v>98.245614035087769</v>
      </c>
      <c r="O52" s="19">
        <f t="shared" si="3"/>
        <v>0</v>
      </c>
      <c r="P52" s="20">
        <f t="shared" si="4"/>
        <v>-7.0175438596490665</v>
      </c>
      <c r="Q52" s="21">
        <f t="shared" si="5"/>
        <v>0.9333333333333339</v>
      </c>
      <c r="R52" s="172"/>
      <c r="S52" s="28">
        <v>0.37361111111111112</v>
      </c>
      <c r="T52" s="28">
        <v>0.41111111111111109</v>
      </c>
      <c r="U52" s="4">
        <f t="shared" si="30"/>
        <v>6.9999999999999751</v>
      </c>
      <c r="V52" s="22">
        <f t="shared" si="29"/>
        <v>53.999999999999972</v>
      </c>
      <c r="W52" s="23"/>
      <c r="X52" s="23"/>
      <c r="Y52" s="26"/>
      <c r="Z52" s="26"/>
      <c r="AA52" s="164"/>
      <c r="AB52" s="164"/>
      <c r="AC52" s="25"/>
      <c r="AD52" s="25"/>
      <c r="AE52" s="19">
        <f t="shared" si="7"/>
        <v>-133.33333333333235</v>
      </c>
      <c r="AF52" s="21">
        <f t="shared" si="8"/>
        <v>0.93333333333333379</v>
      </c>
      <c r="AG52" s="172"/>
    </row>
    <row r="53" spans="1:33" ht="15.75" customHeight="1">
      <c r="A53" s="182" t="s">
        <v>70</v>
      </c>
      <c r="B53" s="37" t="s">
        <v>78</v>
      </c>
      <c r="C53" s="173" t="s">
        <v>123</v>
      </c>
      <c r="D53" s="174"/>
      <c r="E53" s="37">
        <v>55.56</v>
      </c>
      <c r="F53" s="42">
        <v>1634</v>
      </c>
      <c r="G53" s="4">
        <v>90785.040000000008</v>
      </c>
      <c r="H53" s="22" t="s">
        <v>139</v>
      </c>
      <c r="I53" s="16">
        <v>17</v>
      </c>
      <c r="J53" s="18">
        <v>2000</v>
      </c>
      <c r="K53" s="17">
        <f t="shared" si="0"/>
        <v>117.64705882352941</v>
      </c>
      <c r="L53" s="16">
        <v>17</v>
      </c>
      <c r="M53" s="18">
        <f t="shared" si="28"/>
        <v>1922.3529411764714</v>
      </c>
      <c r="N53" s="18">
        <f t="shared" si="2"/>
        <v>113.07958477508656</v>
      </c>
      <c r="O53" s="19">
        <f t="shared" si="3"/>
        <v>0</v>
      </c>
      <c r="P53" s="20">
        <f t="shared" si="4"/>
        <v>-4.5674740484428469</v>
      </c>
      <c r="Q53" s="21">
        <f t="shared" si="5"/>
        <v>0.96117647058823585</v>
      </c>
      <c r="R53" s="172"/>
      <c r="S53" s="28">
        <v>0.70833333333333337</v>
      </c>
      <c r="T53" s="28">
        <v>0.74375000000000002</v>
      </c>
      <c r="U53" s="4" t="str">
        <f t="shared" si="30"/>
        <v/>
      </c>
      <c r="V53" s="22">
        <f t="shared" si="29"/>
        <v>50.999999999999979</v>
      </c>
      <c r="W53" s="23"/>
      <c r="X53" s="23"/>
      <c r="Y53" s="26"/>
      <c r="Z53" s="26"/>
      <c r="AA53" s="175"/>
      <c r="AB53" s="176"/>
      <c r="AC53" s="25"/>
      <c r="AD53" s="25"/>
      <c r="AE53" s="19">
        <f t="shared" si="7"/>
        <v>-77.647058823528596</v>
      </c>
      <c r="AF53" s="21">
        <f t="shared" si="8"/>
        <v>0.96117647058823574</v>
      </c>
      <c r="AG53" s="172"/>
    </row>
    <row r="54" spans="1:33" ht="15.75" customHeight="1">
      <c r="A54" s="182" t="s">
        <v>70</v>
      </c>
      <c r="B54" s="37" t="s">
        <v>78</v>
      </c>
      <c r="C54" s="173" t="s">
        <v>124</v>
      </c>
      <c r="D54" s="174"/>
      <c r="E54" s="37">
        <v>55.32</v>
      </c>
      <c r="F54" s="42">
        <v>1087</v>
      </c>
      <c r="G54" s="4">
        <v>60132.840000000004</v>
      </c>
      <c r="H54" s="22" t="s">
        <v>139</v>
      </c>
      <c r="I54" s="16">
        <v>15</v>
      </c>
      <c r="J54" s="18">
        <v>2000</v>
      </c>
      <c r="K54" s="17">
        <f t="shared" si="0"/>
        <v>133.33333333333334</v>
      </c>
      <c r="L54" s="16">
        <v>15</v>
      </c>
      <c r="M54" s="18">
        <f t="shared" si="28"/>
        <v>1918.2352941176446</v>
      </c>
      <c r="N54" s="18">
        <f t="shared" si="2"/>
        <v>127.88235294117631</v>
      </c>
      <c r="O54" s="19">
        <f t="shared" si="3"/>
        <v>0</v>
      </c>
      <c r="P54" s="20">
        <f t="shared" si="4"/>
        <v>-5.4509803921570352</v>
      </c>
      <c r="Q54" s="21">
        <f t="shared" si="5"/>
        <v>0.95911764705882219</v>
      </c>
      <c r="R54" s="172"/>
      <c r="S54" s="28">
        <v>0.74930555555555556</v>
      </c>
      <c r="T54" s="28">
        <v>0.7729166666666667</v>
      </c>
      <c r="U54" s="4">
        <f t="shared" si="30"/>
        <v>7.9999999999999716</v>
      </c>
      <c r="V54" s="22">
        <f t="shared" si="29"/>
        <v>34.000000000000043</v>
      </c>
      <c r="W54" s="23"/>
      <c r="X54" s="23"/>
      <c r="Y54" s="26"/>
      <c r="Z54" s="26"/>
      <c r="AA54" s="175"/>
      <c r="AB54" s="176"/>
      <c r="AC54" s="25"/>
      <c r="AD54" s="25"/>
      <c r="AE54" s="19">
        <f t="shared" si="7"/>
        <v>-81.764705882355429</v>
      </c>
      <c r="AF54" s="21">
        <f t="shared" si="8"/>
        <v>0.9591176470588223</v>
      </c>
      <c r="AG54" s="172"/>
    </row>
    <row r="55" spans="1:33" ht="15.75" customHeight="1">
      <c r="A55" s="182" t="s">
        <v>70</v>
      </c>
      <c r="B55" s="37" t="s">
        <v>78</v>
      </c>
      <c r="C55" s="173" t="s">
        <v>125</v>
      </c>
      <c r="D55" s="174"/>
      <c r="E55" s="37">
        <v>54.29</v>
      </c>
      <c r="F55" s="42">
        <v>1469</v>
      </c>
      <c r="G55" s="4">
        <v>79752.009999999995</v>
      </c>
      <c r="H55" s="22" t="s">
        <v>139</v>
      </c>
      <c r="I55" s="16">
        <v>20</v>
      </c>
      <c r="J55" s="18">
        <v>2000</v>
      </c>
      <c r="K55" s="17">
        <f t="shared" si="0"/>
        <v>100</v>
      </c>
      <c r="L55" s="16">
        <v>20</v>
      </c>
      <c r="M55" s="18">
        <f t="shared" si="28"/>
        <v>1916.0869565217392</v>
      </c>
      <c r="N55" s="18">
        <f t="shared" si="2"/>
        <v>95.804347826086968</v>
      </c>
      <c r="O55" s="19">
        <f t="shared" si="3"/>
        <v>0</v>
      </c>
      <c r="P55" s="20">
        <f t="shared" si="4"/>
        <v>-4.1956521739130324</v>
      </c>
      <c r="Q55" s="21">
        <f t="shared" si="5"/>
        <v>0.95804347826086966</v>
      </c>
      <c r="R55" s="172"/>
      <c r="S55" s="28">
        <v>0.77638888888888891</v>
      </c>
      <c r="T55" s="28">
        <v>0.80833333333333335</v>
      </c>
      <c r="U55" s="4">
        <f t="shared" si="30"/>
        <v>4.9999999999999822</v>
      </c>
      <c r="V55" s="22">
        <f t="shared" si="29"/>
        <v>46</v>
      </c>
      <c r="W55" s="23"/>
      <c r="X55" s="23"/>
      <c r="Y55" s="26"/>
      <c r="Z55" s="26"/>
      <c r="AA55" s="175"/>
      <c r="AB55" s="176"/>
      <c r="AC55" s="25"/>
      <c r="AD55" s="25"/>
      <c r="AE55" s="19">
        <f t="shared" si="7"/>
        <v>-83.913043478260761</v>
      </c>
      <c r="AF55" s="21">
        <f t="shared" si="8"/>
        <v>0.95804347826086966</v>
      </c>
      <c r="AG55" s="172"/>
    </row>
    <row r="56" spans="1:33">
      <c r="A56" s="182" t="s">
        <v>70</v>
      </c>
      <c r="B56" s="37" t="s">
        <v>78</v>
      </c>
      <c r="C56" s="173" t="s">
        <v>126</v>
      </c>
      <c r="D56" s="174"/>
      <c r="E56" s="37">
        <v>57.73</v>
      </c>
      <c r="F56" s="42">
        <v>954</v>
      </c>
      <c r="G56" s="4">
        <v>55074.42</v>
      </c>
      <c r="H56" s="22" t="s">
        <v>139</v>
      </c>
      <c r="I56" s="16">
        <v>16</v>
      </c>
      <c r="J56" s="18">
        <v>1500</v>
      </c>
      <c r="K56" s="17">
        <f t="shared" si="0"/>
        <v>93.75</v>
      </c>
      <c r="L56" s="16">
        <v>16</v>
      </c>
      <c r="M56" s="18">
        <f t="shared" si="28"/>
        <v>1430.9999999999995</v>
      </c>
      <c r="N56" s="18">
        <f t="shared" si="2"/>
        <v>89.437499999999972</v>
      </c>
      <c r="O56" s="19">
        <f t="shared" si="3"/>
        <v>0</v>
      </c>
      <c r="P56" s="20">
        <f t="shared" si="4"/>
        <v>-4.3125000000000284</v>
      </c>
      <c r="Q56" s="21">
        <f t="shared" si="5"/>
        <v>0.95399999999999974</v>
      </c>
      <c r="R56" s="172"/>
      <c r="S56" s="28">
        <v>0.8125</v>
      </c>
      <c r="T56" s="28">
        <v>0.84027777777777779</v>
      </c>
      <c r="U56" s="4">
        <f t="shared" si="30"/>
        <v>5.9999999999999787</v>
      </c>
      <c r="V56" s="22">
        <f t="shared" si="29"/>
        <v>40.000000000000014</v>
      </c>
      <c r="W56" s="23"/>
      <c r="X56" s="23"/>
      <c r="Y56" s="26"/>
      <c r="Z56" s="26"/>
      <c r="AA56" s="175"/>
      <c r="AB56" s="176"/>
      <c r="AC56" s="25"/>
      <c r="AD56" s="25"/>
      <c r="AE56" s="19">
        <f t="shared" si="7"/>
        <v>-69.000000000000455</v>
      </c>
      <c r="AF56" s="21">
        <f t="shared" si="8"/>
        <v>0.95399999999999974</v>
      </c>
      <c r="AG56" s="172"/>
    </row>
    <row r="57" spans="1:33">
      <c r="A57" s="183" t="s">
        <v>70</v>
      </c>
      <c r="B57" s="37" t="s">
        <v>566</v>
      </c>
      <c r="C57" s="177"/>
      <c r="D57" s="177"/>
      <c r="E57" s="38"/>
      <c r="F57" s="17"/>
      <c r="G57" s="17"/>
      <c r="H57" s="4"/>
      <c r="I57" s="30">
        <v>18.666666666666668</v>
      </c>
      <c r="J57" s="18">
        <v>1944.4444444444443</v>
      </c>
      <c r="K57" s="17">
        <f t="shared" si="0"/>
        <v>104.16666666666666</v>
      </c>
      <c r="L57" s="30">
        <v>18.666666666666668</v>
      </c>
      <c r="M57" s="18">
        <f>AVERAGE(M48:M56)</f>
        <v>1818.84452097709</v>
      </c>
      <c r="N57" s="17">
        <f t="shared" si="2"/>
        <v>97.438099338058393</v>
      </c>
      <c r="O57" s="19">
        <f t="shared" si="3"/>
        <v>0</v>
      </c>
      <c r="P57" s="20">
        <f t="shared" si="4"/>
        <v>-6.7285673286082641</v>
      </c>
      <c r="Q57" s="21">
        <f t="shared" si="5"/>
        <v>0.9354057536453606</v>
      </c>
      <c r="R57" s="172"/>
      <c r="S57" s="28"/>
      <c r="T57" s="28"/>
      <c r="U57" s="4"/>
      <c r="V57" s="22"/>
      <c r="W57" s="17"/>
      <c r="X57" s="17"/>
      <c r="Y57" s="31">
        <f>SUM(Y48:Y56)</f>
        <v>0</v>
      </c>
      <c r="Z57" s="31">
        <f>SUM(Z48:Z56)</f>
        <v>0</v>
      </c>
      <c r="AA57" s="168"/>
      <c r="AB57" s="168"/>
      <c r="AC57" s="31">
        <v>9</v>
      </c>
      <c r="AD57" s="31">
        <f>SUM(AD48:AD56)</f>
        <v>0</v>
      </c>
      <c r="AE57" s="19">
        <f>M57-J57</f>
        <v>-125.5999234673543</v>
      </c>
      <c r="AF57" s="21">
        <f t="shared" si="8"/>
        <v>0.9354057536453606</v>
      </c>
      <c r="AG57" s="172"/>
    </row>
    <row r="58" spans="1:33" ht="15.75" customHeight="1">
      <c r="A58" s="178" t="s">
        <v>73</v>
      </c>
      <c r="B58" s="4" t="s">
        <v>84</v>
      </c>
      <c r="C58" s="165" t="s">
        <v>127</v>
      </c>
      <c r="D58" s="165"/>
      <c r="E58" s="37">
        <v>26.97</v>
      </c>
      <c r="F58" s="42">
        <v>2190</v>
      </c>
      <c r="G58" s="4">
        <v>59064.299999999996</v>
      </c>
      <c r="H58" s="22" t="s">
        <v>139</v>
      </c>
      <c r="I58" s="16">
        <v>8</v>
      </c>
      <c r="J58" s="18">
        <v>1500</v>
      </c>
      <c r="K58" s="17">
        <f t="shared" si="0"/>
        <v>187.5</v>
      </c>
      <c r="L58" s="16">
        <v>8</v>
      </c>
      <c r="M58" s="18">
        <f t="shared" ref="M58:M63" si="31">F58/V58*60</f>
        <v>1428.260869565217</v>
      </c>
      <c r="N58" s="17">
        <f t="shared" si="2"/>
        <v>178.53260869565213</v>
      </c>
      <c r="O58" s="19">
        <f t="shared" si="3"/>
        <v>0</v>
      </c>
      <c r="P58" s="20">
        <f t="shared" si="4"/>
        <v>-8.9673913043478706</v>
      </c>
      <c r="Q58" s="21">
        <f t="shared" si="5"/>
        <v>0.95217391304347798</v>
      </c>
      <c r="R58" s="172">
        <f>Q64</f>
        <v>0.96128889950629115</v>
      </c>
      <c r="S58" s="28">
        <v>0.20833333333333334</v>
      </c>
      <c r="T58" s="28">
        <v>0.27222222222222225</v>
      </c>
      <c r="U58" s="4"/>
      <c r="V58" s="22">
        <f t="shared" ref="V58:V63" si="32">(T58-S58)*24*60</f>
        <v>92.000000000000028</v>
      </c>
      <c r="W58" s="28"/>
      <c r="X58" s="28"/>
      <c r="Y58" s="28"/>
      <c r="Z58" s="28"/>
      <c r="AA58" s="164"/>
      <c r="AB58" s="164"/>
      <c r="AC58" s="25">
        <v>6</v>
      </c>
      <c r="AD58" s="25"/>
      <c r="AE58" s="19">
        <f t="shared" ref="AE58:AE71" si="33">M58-J58</f>
        <v>-71.739130434782965</v>
      </c>
      <c r="AF58" s="21">
        <f t="shared" si="8"/>
        <v>0.95217391304347798</v>
      </c>
      <c r="AG58" s="172">
        <f>AF64</f>
        <v>0.96128889950629115</v>
      </c>
    </row>
    <row r="59" spans="1:33" ht="15.75" customHeight="1">
      <c r="A59" s="178" t="s">
        <v>73</v>
      </c>
      <c r="B59" s="4" t="s">
        <v>84</v>
      </c>
      <c r="C59" s="165" t="s">
        <v>128</v>
      </c>
      <c r="D59" s="165"/>
      <c r="E59" s="37">
        <v>27.4</v>
      </c>
      <c r="F59" s="42">
        <v>1646</v>
      </c>
      <c r="G59" s="4">
        <v>45100.399999999994</v>
      </c>
      <c r="H59" s="22" t="s">
        <v>139</v>
      </c>
      <c r="I59" s="16">
        <v>10</v>
      </c>
      <c r="J59" s="18">
        <v>1500</v>
      </c>
      <c r="K59" s="17">
        <f t="shared" si="0"/>
        <v>150</v>
      </c>
      <c r="L59" s="16">
        <v>10</v>
      </c>
      <c r="M59" s="18">
        <f t="shared" si="31"/>
        <v>1431.304347826087</v>
      </c>
      <c r="N59" s="17">
        <f t="shared" si="2"/>
        <v>143.13043478260869</v>
      </c>
      <c r="O59" s="19">
        <f t="shared" si="3"/>
        <v>0</v>
      </c>
      <c r="P59" s="20">
        <f t="shared" si="4"/>
        <v>-6.8695652173913118</v>
      </c>
      <c r="Q59" s="21">
        <f t="shared" si="5"/>
        <v>0.9542028985507246</v>
      </c>
      <c r="R59" s="172"/>
      <c r="S59" s="28">
        <v>0.27708333333333335</v>
      </c>
      <c r="T59" s="28">
        <v>0.32500000000000001</v>
      </c>
      <c r="U59" s="4">
        <f t="shared" ref="U59:U63" si="34">(S59-T58)*24*60</f>
        <v>6.9999999999999751</v>
      </c>
      <c r="V59" s="22">
        <f t="shared" si="32"/>
        <v>69</v>
      </c>
      <c r="W59" s="4"/>
      <c r="X59" s="4"/>
      <c r="Y59" s="4"/>
      <c r="Z59" s="4"/>
      <c r="AA59" s="164"/>
      <c r="AB59" s="164"/>
      <c r="AC59" s="25"/>
      <c r="AD59" s="25"/>
      <c r="AE59" s="19">
        <f t="shared" si="33"/>
        <v>-68.695652173913004</v>
      </c>
      <c r="AF59" s="21">
        <f t="shared" si="8"/>
        <v>0.95420289855072471</v>
      </c>
      <c r="AG59" s="172"/>
    </row>
    <row r="60" spans="1:33" ht="15.75" customHeight="1">
      <c r="A60" s="178" t="s">
        <v>73</v>
      </c>
      <c r="B60" s="4" t="s">
        <v>111</v>
      </c>
      <c r="C60" s="165" t="s">
        <v>129</v>
      </c>
      <c r="D60" s="165"/>
      <c r="E60" s="37">
        <v>31</v>
      </c>
      <c r="F60" s="42">
        <v>778</v>
      </c>
      <c r="G60" s="4">
        <v>24118</v>
      </c>
      <c r="H60" s="22" t="s">
        <v>139</v>
      </c>
      <c r="I60" s="16">
        <v>13</v>
      </c>
      <c r="J60" s="18">
        <v>2000</v>
      </c>
      <c r="K60" s="17">
        <f t="shared" si="0"/>
        <v>153.84615384615384</v>
      </c>
      <c r="L60" s="16">
        <v>13</v>
      </c>
      <c r="M60" s="18">
        <f t="shared" si="31"/>
        <v>1945.0000000000007</v>
      </c>
      <c r="N60" s="17">
        <f t="shared" si="2"/>
        <v>149.61538461538467</v>
      </c>
      <c r="O60" s="19">
        <f t="shared" si="3"/>
        <v>0</v>
      </c>
      <c r="P60" s="20">
        <f t="shared" si="4"/>
        <v>-4.2307692307691696</v>
      </c>
      <c r="Q60" s="21">
        <f t="shared" si="5"/>
        <v>0.97250000000000036</v>
      </c>
      <c r="R60" s="172"/>
      <c r="S60" s="28">
        <v>0.32916666666666666</v>
      </c>
      <c r="T60" s="28">
        <v>0.34583333333333333</v>
      </c>
      <c r="U60" s="4">
        <f t="shared" si="34"/>
        <v>5.9999999999999787</v>
      </c>
      <c r="V60" s="22">
        <f t="shared" si="32"/>
        <v>23.999999999999993</v>
      </c>
      <c r="W60" s="4"/>
      <c r="X60" s="4"/>
      <c r="Y60" s="4"/>
      <c r="Z60" s="4"/>
      <c r="AA60" s="164"/>
      <c r="AB60" s="164"/>
      <c r="AC60" s="25" t="s">
        <v>139</v>
      </c>
      <c r="AD60" s="25"/>
      <c r="AE60" s="19">
        <f t="shared" si="33"/>
        <v>-54.999999999999318</v>
      </c>
      <c r="AF60" s="21">
        <f t="shared" si="8"/>
        <v>0.97250000000000036</v>
      </c>
      <c r="AG60" s="172"/>
    </row>
    <row r="61" spans="1:33" ht="15.75" customHeight="1">
      <c r="A61" s="178" t="s">
        <v>73</v>
      </c>
      <c r="B61" s="4" t="s">
        <v>111</v>
      </c>
      <c r="C61" s="165" t="s">
        <v>130</v>
      </c>
      <c r="D61" s="165"/>
      <c r="E61" s="37">
        <v>37.85</v>
      </c>
      <c r="F61" s="42">
        <v>2296</v>
      </c>
      <c r="G61" s="4">
        <v>86903.6</v>
      </c>
      <c r="H61" s="22" t="s">
        <v>139</v>
      </c>
      <c r="I61" s="16">
        <v>12</v>
      </c>
      <c r="J61" s="18">
        <v>2000</v>
      </c>
      <c r="K61" s="17">
        <f t="shared" si="0"/>
        <v>166.66666666666666</v>
      </c>
      <c r="L61" s="16">
        <v>12</v>
      </c>
      <c r="M61" s="18">
        <f t="shared" si="31"/>
        <v>1913.3333333333337</v>
      </c>
      <c r="N61" s="17">
        <f t="shared" si="2"/>
        <v>159.44444444444449</v>
      </c>
      <c r="O61" s="19">
        <f t="shared" si="3"/>
        <v>0</v>
      </c>
      <c r="P61" s="20">
        <f t="shared" si="4"/>
        <v>-7.2222222222221717</v>
      </c>
      <c r="Q61" s="21">
        <f t="shared" si="5"/>
        <v>0.956666666666667</v>
      </c>
      <c r="R61" s="172"/>
      <c r="S61" s="28">
        <v>0.34930555555555554</v>
      </c>
      <c r="T61" s="28">
        <v>0.39930555555555552</v>
      </c>
      <c r="U61" s="4">
        <f t="shared" si="34"/>
        <v>4.9999999999999822</v>
      </c>
      <c r="V61" s="22">
        <f t="shared" si="32"/>
        <v>71.999999999999986</v>
      </c>
      <c r="W61" s="4"/>
      <c r="X61" s="4"/>
      <c r="Y61" s="4"/>
      <c r="Z61" s="4"/>
      <c r="AA61" s="164"/>
      <c r="AB61" s="164"/>
      <c r="AC61" s="25" t="s">
        <v>139</v>
      </c>
      <c r="AD61" s="25"/>
      <c r="AE61" s="19">
        <f t="shared" si="33"/>
        <v>-86.666666666666288</v>
      </c>
      <c r="AF61" s="21">
        <f t="shared" si="8"/>
        <v>0.95666666666666689</v>
      </c>
      <c r="AG61" s="172"/>
    </row>
    <row r="62" spans="1:33">
      <c r="A62" s="179" t="s">
        <v>73</v>
      </c>
      <c r="B62" s="4" t="s">
        <v>111</v>
      </c>
      <c r="C62" s="165" t="s">
        <v>131</v>
      </c>
      <c r="D62" s="165"/>
      <c r="E62" s="37">
        <v>34.36</v>
      </c>
      <c r="F62" s="42">
        <v>1632</v>
      </c>
      <c r="G62" s="4">
        <v>56075.519999999997</v>
      </c>
      <c r="H62" s="22" t="s">
        <v>139</v>
      </c>
      <c r="I62" s="16">
        <v>10</v>
      </c>
      <c r="J62" s="18">
        <v>3000</v>
      </c>
      <c r="K62" s="17">
        <f t="shared" si="0"/>
        <v>300</v>
      </c>
      <c r="L62" s="16">
        <v>10</v>
      </c>
      <c r="M62" s="18">
        <f t="shared" si="31"/>
        <v>2880.0000000000036</v>
      </c>
      <c r="N62" s="17">
        <f t="shared" si="2"/>
        <v>288.00000000000034</v>
      </c>
      <c r="O62" s="19">
        <f t="shared" si="3"/>
        <v>0</v>
      </c>
      <c r="P62" s="20">
        <f t="shared" si="4"/>
        <v>-11.999999999999659</v>
      </c>
      <c r="Q62" s="21">
        <f t="shared" si="5"/>
        <v>0.96000000000000119</v>
      </c>
      <c r="R62" s="172"/>
      <c r="S62" s="28">
        <v>0.40486111111111106</v>
      </c>
      <c r="T62" s="28">
        <v>0.42847222222222214</v>
      </c>
      <c r="U62" s="4">
        <f t="shared" si="34"/>
        <v>7.9999999999999716</v>
      </c>
      <c r="V62" s="22">
        <f t="shared" si="32"/>
        <v>33.999999999999957</v>
      </c>
      <c r="W62" s="23"/>
      <c r="X62" s="23"/>
      <c r="Y62" s="23"/>
      <c r="Z62" s="23"/>
      <c r="AA62" s="164"/>
      <c r="AB62" s="164"/>
      <c r="AC62" s="25" t="s">
        <v>139</v>
      </c>
      <c r="AD62" s="25"/>
      <c r="AE62" s="19">
        <f t="shared" si="33"/>
        <v>-119.99999999999636</v>
      </c>
      <c r="AF62" s="21">
        <f t="shared" si="8"/>
        <v>0.96000000000000119</v>
      </c>
      <c r="AG62" s="172"/>
    </row>
    <row r="63" spans="1:33" ht="15" customHeight="1">
      <c r="A63" s="179" t="s">
        <v>73</v>
      </c>
      <c r="B63" s="4" t="s">
        <v>111</v>
      </c>
      <c r="C63" s="173" t="s">
        <v>132</v>
      </c>
      <c r="D63" s="174"/>
      <c r="E63" s="37">
        <v>32.020000000000003</v>
      </c>
      <c r="F63" s="42">
        <v>1691</v>
      </c>
      <c r="G63" s="4">
        <v>54145.820000000007</v>
      </c>
      <c r="H63" s="22" t="s">
        <v>139</v>
      </c>
      <c r="I63" s="16">
        <v>11</v>
      </c>
      <c r="J63" s="18">
        <v>3000</v>
      </c>
      <c r="K63" s="17">
        <f t="shared" si="0"/>
        <v>272.72727272727275</v>
      </c>
      <c r="L63" s="16">
        <v>11</v>
      </c>
      <c r="M63" s="18">
        <f t="shared" si="31"/>
        <v>2898.8571428571399</v>
      </c>
      <c r="N63" s="17">
        <f t="shared" si="2"/>
        <v>263.53246753246725</v>
      </c>
      <c r="O63" s="19">
        <f t="shared" si="3"/>
        <v>0</v>
      </c>
      <c r="P63" s="20">
        <f t="shared" si="4"/>
        <v>-9.1948051948054967</v>
      </c>
      <c r="Q63" s="21">
        <f t="shared" si="5"/>
        <v>0.96628571428571319</v>
      </c>
      <c r="R63" s="172"/>
      <c r="S63" s="28">
        <v>0.43194444444444435</v>
      </c>
      <c r="T63" s="28">
        <v>0.45624999999999993</v>
      </c>
      <c r="U63" s="4">
        <f t="shared" si="34"/>
        <v>4.9999999999999822</v>
      </c>
      <c r="V63" s="22">
        <f t="shared" si="32"/>
        <v>35.000000000000036</v>
      </c>
      <c r="W63" s="4"/>
      <c r="X63" s="4"/>
      <c r="Y63" s="32"/>
      <c r="Z63" s="32"/>
      <c r="AA63" s="175"/>
      <c r="AB63" s="176"/>
      <c r="AC63" s="25" t="s">
        <v>139</v>
      </c>
      <c r="AD63" s="25"/>
      <c r="AE63" s="19">
        <f t="shared" si="33"/>
        <v>-101.14285714286007</v>
      </c>
      <c r="AF63" s="21">
        <f t="shared" si="8"/>
        <v>0.9662857142857133</v>
      </c>
      <c r="AG63" s="172"/>
    </row>
    <row r="64" spans="1:33">
      <c r="A64" s="179" t="s">
        <v>73</v>
      </c>
      <c r="B64" s="37" t="s">
        <v>51</v>
      </c>
      <c r="C64" s="177"/>
      <c r="D64" s="177"/>
      <c r="E64" s="38"/>
      <c r="F64" s="17"/>
      <c r="G64" s="17"/>
      <c r="H64" s="4"/>
      <c r="I64" s="30">
        <v>10.666666666666666</v>
      </c>
      <c r="J64" s="18">
        <v>2166.6666666666665</v>
      </c>
      <c r="K64" s="17">
        <f t="shared" si="0"/>
        <v>203.125</v>
      </c>
      <c r="L64" s="30">
        <v>10.666666666666666</v>
      </c>
      <c r="M64" s="18">
        <f>AVERAGE(M58:M63)</f>
        <v>2082.792615596964</v>
      </c>
      <c r="N64" s="17">
        <f t="shared" si="2"/>
        <v>195.26180771221539</v>
      </c>
      <c r="O64" s="19">
        <f t="shared" si="3"/>
        <v>0</v>
      </c>
      <c r="P64" s="20">
        <f t="shared" si="4"/>
        <v>-7.8631922877846137</v>
      </c>
      <c r="Q64" s="21">
        <f t="shared" si="5"/>
        <v>0.96128889950629115</v>
      </c>
      <c r="R64" s="172"/>
      <c r="S64" s="28"/>
      <c r="T64" s="28"/>
      <c r="U64" s="17"/>
      <c r="V64" s="22"/>
      <c r="W64" s="17"/>
      <c r="X64" s="17"/>
      <c r="Y64" s="31">
        <f>SUM(Y58:Y63)</f>
        <v>0</v>
      </c>
      <c r="Z64" s="31">
        <f>SUM(Z58:Z63)</f>
        <v>0</v>
      </c>
      <c r="AA64" s="168"/>
      <c r="AB64" s="168"/>
      <c r="AC64" s="31">
        <v>6</v>
      </c>
      <c r="AD64" s="31">
        <f>SUM(AD58:AD63)</f>
        <v>0</v>
      </c>
      <c r="AE64" s="19">
        <f t="shared" si="33"/>
        <v>-83.874051069702546</v>
      </c>
      <c r="AF64" s="21">
        <f t="shared" si="8"/>
        <v>0.96128889950629115</v>
      </c>
      <c r="AG64" s="172"/>
    </row>
    <row r="65" spans="1:33" ht="15.75" customHeight="1">
      <c r="A65" s="169" t="s">
        <v>75</v>
      </c>
      <c r="B65" s="4" t="s">
        <v>100</v>
      </c>
      <c r="C65" s="165" t="s">
        <v>133</v>
      </c>
      <c r="D65" s="165"/>
      <c r="E65" s="37">
        <v>20.2</v>
      </c>
      <c r="F65" s="4">
        <v>1957</v>
      </c>
      <c r="G65" s="4">
        <v>39531.4</v>
      </c>
      <c r="H65" s="22" t="s">
        <v>139</v>
      </c>
      <c r="I65" s="16">
        <v>19</v>
      </c>
      <c r="J65" s="18">
        <v>2400</v>
      </c>
      <c r="K65" s="17">
        <f t="shared" si="0"/>
        <v>126.31578947368421</v>
      </c>
      <c r="L65" s="16">
        <v>19</v>
      </c>
      <c r="M65" s="18">
        <f t="shared" ref="M65:M70" si="35">F65/V65*60</f>
        <v>2302.3529411764707</v>
      </c>
      <c r="N65" s="17">
        <f t="shared" si="2"/>
        <v>121.1764705882353</v>
      </c>
      <c r="O65" s="19">
        <f t="shared" si="3"/>
        <v>0</v>
      </c>
      <c r="P65" s="20">
        <f t="shared" si="4"/>
        <v>-5.1393188854489011</v>
      </c>
      <c r="Q65" s="21">
        <f t="shared" si="5"/>
        <v>0.95931372549019622</v>
      </c>
      <c r="R65" s="172">
        <f>Q71</f>
        <v>0.95986759581863845</v>
      </c>
      <c r="S65" s="28">
        <v>8.3333333333333329E-2</v>
      </c>
      <c r="T65" s="28">
        <v>0.11874999999999999</v>
      </c>
      <c r="U65" s="28"/>
      <c r="V65" s="22">
        <f t="shared" ref="V65:V70" si="36">(T65-S65)*24*60</f>
        <v>51</v>
      </c>
      <c r="W65" s="23">
        <f>T65</f>
        <v>0.11874999999999999</v>
      </c>
      <c r="X65" s="23">
        <f>S66</f>
        <v>0.13819444444444445</v>
      </c>
      <c r="Y65" s="23"/>
      <c r="Z65" s="23"/>
      <c r="AA65" s="164"/>
      <c r="AB65" s="164"/>
      <c r="AC65" s="25">
        <v>6</v>
      </c>
      <c r="AD65" s="25"/>
      <c r="AE65" s="19">
        <f t="shared" si="33"/>
        <v>-97.647058823529278</v>
      </c>
      <c r="AF65" s="21">
        <f t="shared" si="8"/>
        <v>0.95931372549019611</v>
      </c>
      <c r="AG65" s="172">
        <f>AF71</f>
        <v>0.95986759581863845</v>
      </c>
    </row>
    <row r="66" spans="1:33" ht="15.75" customHeight="1">
      <c r="A66" s="170" t="s">
        <v>570</v>
      </c>
      <c r="B66" s="4" t="s">
        <v>100</v>
      </c>
      <c r="C66" s="165" t="s">
        <v>134</v>
      </c>
      <c r="D66" s="165"/>
      <c r="E66" s="37">
        <v>20.52</v>
      </c>
      <c r="F66" s="4">
        <v>2798</v>
      </c>
      <c r="G66" s="4">
        <v>57414.96</v>
      </c>
      <c r="H66" s="22" t="s">
        <v>139</v>
      </c>
      <c r="I66" s="16">
        <v>18</v>
      </c>
      <c r="J66" s="18">
        <v>2400</v>
      </c>
      <c r="K66" s="17">
        <f t="shared" si="0"/>
        <v>133.33333333333334</v>
      </c>
      <c r="L66" s="16">
        <v>18</v>
      </c>
      <c r="M66" s="18">
        <f t="shared" si="35"/>
        <v>2299.7260273972606</v>
      </c>
      <c r="N66" s="17">
        <f t="shared" si="2"/>
        <v>127.76255707762559</v>
      </c>
      <c r="O66" s="19">
        <f t="shared" si="3"/>
        <v>0</v>
      </c>
      <c r="P66" s="20">
        <f t="shared" si="4"/>
        <v>-5.5707762557077558</v>
      </c>
      <c r="Q66" s="21">
        <f t="shared" si="5"/>
        <v>0.95821917808219181</v>
      </c>
      <c r="R66" s="172"/>
      <c r="S66" s="28">
        <v>0.13819444444444445</v>
      </c>
      <c r="T66" s="28">
        <v>0.18888888888888888</v>
      </c>
      <c r="U66" s="4">
        <f t="shared" ref="U66:U70" si="37">(S66-T65)*24*60</f>
        <v>28.000000000000021</v>
      </c>
      <c r="V66" s="22">
        <f t="shared" si="36"/>
        <v>72.999999999999986</v>
      </c>
      <c r="W66" s="23"/>
      <c r="X66" s="23"/>
      <c r="Y66" s="23"/>
      <c r="Z66" s="23"/>
      <c r="AA66" s="164"/>
      <c r="AB66" s="164"/>
      <c r="AC66" s="25"/>
      <c r="AD66" s="25"/>
      <c r="AE66" s="19">
        <f t="shared" si="33"/>
        <v>-100.27397260273938</v>
      </c>
      <c r="AF66" s="21">
        <f t="shared" si="8"/>
        <v>0.95821917808219192</v>
      </c>
      <c r="AG66" s="172"/>
    </row>
    <row r="67" spans="1:33" ht="15.75" customHeight="1">
      <c r="A67" s="170" t="s">
        <v>75</v>
      </c>
      <c r="B67" s="4" t="s">
        <v>100</v>
      </c>
      <c r="C67" s="165" t="s">
        <v>136</v>
      </c>
      <c r="D67" s="165"/>
      <c r="E67" s="37">
        <v>24.43</v>
      </c>
      <c r="F67" s="4">
        <v>5208</v>
      </c>
      <c r="G67" s="4">
        <v>127231.44</v>
      </c>
      <c r="H67" s="22" t="s">
        <v>139</v>
      </c>
      <c r="I67" s="16">
        <v>14</v>
      </c>
      <c r="J67" s="18">
        <v>2400</v>
      </c>
      <c r="K67" s="17">
        <f t="shared" si="0"/>
        <v>171.42857142857142</v>
      </c>
      <c r="L67" s="16">
        <v>14</v>
      </c>
      <c r="M67" s="18">
        <f t="shared" si="35"/>
        <v>2297.6470588235306</v>
      </c>
      <c r="N67" s="17">
        <f t="shared" si="2"/>
        <v>164.11764705882362</v>
      </c>
      <c r="O67" s="19">
        <f t="shared" si="3"/>
        <v>0</v>
      </c>
      <c r="P67" s="20">
        <f t="shared" si="4"/>
        <v>-7.310924369747795</v>
      </c>
      <c r="Q67" s="21">
        <f t="shared" si="5"/>
        <v>0.95735294117647118</v>
      </c>
      <c r="R67" s="172"/>
      <c r="S67" s="28">
        <v>0.19305555555555556</v>
      </c>
      <c r="T67" s="28">
        <v>0.28749999999999998</v>
      </c>
      <c r="U67" s="4">
        <f t="shared" si="37"/>
        <v>6.0000000000000187</v>
      </c>
      <c r="V67" s="22">
        <f t="shared" si="36"/>
        <v>135.99999999999994</v>
      </c>
      <c r="W67" s="23"/>
      <c r="X67" s="23"/>
      <c r="Y67" s="23"/>
      <c r="Z67" s="23"/>
      <c r="AA67" s="164"/>
      <c r="AB67" s="164"/>
      <c r="AC67" s="25"/>
      <c r="AD67" s="25"/>
      <c r="AE67" s="19">
        <f t="shared" si="33"/>
        <v>-102.35294117646936</v>
      </c>
      <c r="AF67" s="21">
        <f t="shared" si="8"/>
        <v>0.95735294117647107</v>
      </c>
      <c r="AG67" s="172"/>
    </row>
    <row r="68" spans="1:33" ht="15.75" customHeight="1">
      <c r="A68" s="170" t="s">
        <v>75</v>
      </c>
      <c r="B68" s="4" t="s">
        <v>100</v>
      </c>
      <c r="C68" s="165" t="s">
        <v>137</v>
      </c>
      <c r="D68" s="165"/>
      <c r="E68" s="37">
        <v>20.21</v>
      </c>
      <c r="F68" s="4">
        <v>2921</v>
      </c>
      <c r="G68" s="4">
        <v>59033.41</v>
      </c>
      <c r="H68" s="22" t="s">
        <v>139</v>
      </c>
      <c r="I68" s="16">
        <v>16</v>
      </c>
      <c r="J68" s="18">
        <v>2400</v>
      </c>
      <c r="K68" s="17">
        <f t="shared" si="0"/>
        <v>150</v>
      </c>
      <c r="L68" s="16">
        <v>16</v>
      </c>
      <c r="M68" s="18">
        <f t="shared" si="35"/>
        <v>2306.052631578948</v>
      </c>
      <c r="N68" s="17">
        <f t="shared" si="2"/>
        <v>144.12828947368425</v>
      </c>
      <c r="O68" s="19">
        <f t="shared" si="3"/>
        <v>0</v>
      </c>
      <c r="P68" s="20">
        <f t="shared" si="4"/>
        <v>-5.8717105263157521</v>
      </c>
      <c r="Q68" s="21">
        <f t="shared" si="5"/>
        <v>0.96085526315789493</v>
      </c>
      <c r="R68" s="172"/>
      <c r="S68" s="28">
        <v>0.29305555555555551</v>
      </c>
      <c r="T68" s="28">
        <v>0.34583333333333327</v>
      </c>
      <c r="U68" s="4">
        <f t="shared" si="37"/>
        <v>7.9999999999999716</v>
      </c>
      <c r="V68" s="22">
        <f t="shared" si="36"/>
        <v>75.999999999999972</v>
      </c>
      <c r="W68" s="23"/>
      <c r="X68" s="23"/>
      <c r="Y68" s="23"/>
      <c r="Z68" s="23"/>
      <c r="AA68" s="164"/>
      <c r="AB68" s="164"/>
      <c r="AC68" s="25"/>
      <c r="AD68" s="25"/>
      <c r="AE68" s="19">
        <f t="shared" si="33"/>
        <v>-93.947368421052033</v>
      </c>
      <c r="AF68" s="21">
        <f t="shared" si="8"/>
        <v>0.96085526315789493</v>
      </c>
      <c r="AG68" s="172"/>
    </row>
    <row r="69" spans="1:33" ht="15.75" customHeight="1">
      <c r="A69" s="170" t="s">
        <v>75</v>
      </c>
      <c r="B69" s="4" t="s">
        <v>100</v>
      </c>
      <c r="C69" s="165" t="s">
        <v>138</v>
      </c>
      <c r="D69" s="165"/>
      <c r="E69" s="37">
        <v>22.69</v>
      </c>
      <c r="F69" s="4">
        <v>1161</v>
      </c>
      <c r="G69" s="4">
        <v>26343.09</v>
      </c>
      <c r="H69" s="22" t="s">
        <v>139</v>
      </c>
      <c r="I69" s="16">
        <v>15</v>
      </c>
      <c r="J69" s="18">
        <v>2400</v>
      </c>
      <c r="K69" s="17">
        <f t="shared" ref="K69:K71" si="38">J69/I69</f>
        <v>160</v>
      </c>
      <c r="L69" s="16">
        <v>15</v>
      </c>
      <c r="M69" s="18">
        <f t="shared" si="35"/>
        <v>2322.0000000000023</v>
      </c>
      <c r="N69" s="17">
        <f t="shared" ref="N69:N71" si="39">M69/L69</f>
        <v>154.80000000000015</v>
      </c>
      <c r="O69" s="19">
        <f t="shared" ref="O69:O71" si="40">L69-I69</f>
        <v>0</v>
      </c>
      <c r="P69" s="20">
        <f t="shared" ref="P69:P71" si="41">N69-K69</f>
        <v>-5.1999999999998465</v>
      </c>
      <c r="Q69" s="21">
        <f t="shared" ref="Q69:Q71" si="42">N69/K69</f>
        <v>0.96750000000000091</v>
      </c>
      <c r="R69" s="172"/>
      <c r="S69" s="28">
        <v>0.34999999999999992</v>
      </c>
      <c r="T69" s="28">
        <v>0.37083333333333324</v>
      </c>
      <c r="U69" s="4">
        <f t="shared" si="37"/>
        <v>5.9999999999999787</v>
      </c>
      <c r="V69" s="22">
        <f t="shared" si="36"/>
        <v>29.999999999999972</v>
      </c>
      <c r="W69" s="23"/>
      <c r="X69" s="23"/>
      <c r="Y69" s="23"/>
      <c r="Z69" s="23"/>
      <c r="AA69" s="164"/>
      <c r="AB69" s="164"/>
      <c r="AC69" s="25"/>
      <c r="AD69" s="25"/>
      <c r="AE69" s="19">
        <f t="shared" si="33"/>
        <v>-77.999999999997726</v>
      </c>
      <c r="AF69" s="21">
        <f t="shared" ref="AF69:AF71" si="43">M69/J69</f>
        <v>0.96750000000000091</v>
      </c>
      <c r="AG69" s="172"/>
    </row>
    <row r="70" spans="1:33" ht="15.75" customHeight="1">
      <c r="A70" s="170" t="s">
        <v>75</v>
      </c>
      <c r="B70" s="4" t="s">
        <v>100</v>
      </c>
      <c r="C70" s="165" t="s">
        <v>135</v>
      </c>
      <c r="D70" s="165"/>
      <c r="E70" s="37">
        <v>19.02</v>
      </c>
      <c r="F70" s="4">
        <v>7533</v>
      </c>
      <c r="G70" s="4">
        <v>143277.66</v>
      </c>
      <c r="H70" s="22" t="s">
        <v>139</v>
      </c>
      <c r="I70" s="16">
        <v>15</v>
      </c>
      <c r="J70" s="18">
        <v>2400</v>
      </c>
      <c r="K70" s="17">
        <f t="shared" si="38"/>
        <v>160</v>
      </c>
      <c r="L70" s="16">
        <v>15</v>
      </c>
      <c r="M70" s="18">
        <f t="shared" si="35"/>
        <v>2294.3147208121832</v>
      </c>
      <c r="N70" s="17">
        <f t="shared" si="39"/>
        <v>152.95431472081222</v>
      </c>
      <c r="O70" s="19">
        <f t="shared" si="40"/>
        <v>0</v>
      </c>
      <c r="P70" s="20">
        <f t="shared" si="41"/>
        <v>-7.0456852791877793</v>
      </c>
      <c r="Q70" s="21">
        <f t="shared" si="42"/>
        <v>0.95596446700507642</v>
      </c>
      <c r="R70" s="172"/>
      <c r="S70" s="28">
        <v>0.37569444444444433</v>
      </c>
      <c r="T70" s="28">
        <v>0.51249999999999984</v>
      </c>
      <c r="U70" s="4">
        <f t="shared" si="37"/>
        <v>6.9999999999999751</v>
      </c>
      <c r="V70" s="22">
        <f t="shared" si="36"/>
        <v>196.99999999999994</v>
      </c>
      <c r="W70" s="23"/>
      <c r="X70" s="23"/>
      <c r="Y70" s="23"/>
      <c r="Z70" s="23"/>
      <c r="AA70" s="164"/>
      <c r="AB70" s="164"/>
      <c r="AC70" s="25"/>
      <c r="AD70" s="25"/>
      <c r="AE70" s="19">
        <f t="shared" si="33"/>
        <v>-105.68527918781683</v>
      </c>
      <c r="AF70" s="21">
        <f t="shared" si="43"/>
        <v>0.95596446700507631</v>
      </c>
      <c r="AG70" s="172"/>
    </row>
    <row r="71" spans="1:33" ht="16.5" customHeight="1">
      <c r="A71" s="171" t="s">
        <v>75</v>
      </c>
      <c r="B71" s="37" t="s">
        <v>51</v>
      </c>
      <c r="C71" s="166"/>
      <c r="D71" s="167"/>
      <c r="E71" s="38"/>
      <c r="F71" s="17"/>
      <c r="G71" s="17"/>
      <c r="H71" s="4"/>
      <c r="I71" s="30">
        <v>16.166666666666668</v>
      </c>
      <c r="J71" s="18">
        <v>2400</v>
      </c>
      <c r="K71" s="17">
        <f t="shared" si="38"/>
        <v>148.45360824742266</v>
      </c>
      <c r="L71" s="30">
        <v>16.166666666666668</v>
      </c>
      <c r="M71" s="18">
        <f>AVERAGE(M65:M70)</f>
        <v>2303.6822299647324</v>
      </c>
      <c r="N71" s="17">
        <f t="shared" si="39"/>
        <v>142.49580803905559</v>
      </c>
      <c r="O71" s="19">
        <f t="shared" si="40"/>
        <v>0</v>
      </c>
      <c r="P71" s="20">
        <f t="shared" si="41"/>
        <v>-5.9578002083670754</v>
      </c>
      <c r="Q71" s="21">
        <f t="shared" si="42"/>
        <v>0.95986759581863845</v>
      </c>
      <c r="R71" s="172"/>
      <c r="S71" s="28"/>
      <c r="T71" s="28"/>
      <c r="U71" s="17"/>
      <c r="V71" s="22"/>
      <c r="W71" s="17"/>
      <c r="X71" s="17"/>
      <c r="Y71" s="31">
        <f>SUM(Y65:Y70)</f>
        <v>0</v>
      </c>
      <c r="Z71" s="31">
        <f>SUM(Z65:Z70)</f>
        <v>0</v>
      </c>
      <c r="AA71" s="168"/>
      <c r="AB71" s="168"/>
      <c r="AC71" s="31">
        <v>6</v>
      </c>
      <c r="AD71" s="31">
        <f>SUM(AD65:AD70)</f>
        <v>0</v>
      </c>
      <c r="AE71" s="19">
        <f t="shared" si="33"/>
        <v>-96.317770035267586</v>
      </c>
      <c r="AF71" s="21">
        <f t="shared" si="43"/>
        <v>0.95986759581863845</v>
      </c>
      <c r="AG71" s="172"/>
    </row>
    <row r="72" spans="1:33">
      <c r="D72" s="33"/>
      <c r="E72" s="33"/>
    </row>
  </sheetData>
  <mergeCells count="195">
    <mergeCell ref="C69:D69"/>
    <mergeCell ref="AA69:AB69"/>
    <mergeCell ref="C70:D70"/>
    <mergeCell ref="AA70:AB70"/>
    <mergeCell ref="C71:D71"/>
    <mergeCell ref="AA71:AB71"/>
    <mergeCell ref="A65:A71"/>
    <mergeCell ref="C65:D65"/>
    <mergeCell ref="R65:R71"/>
    <mergeCell ref="AA65:AB65"/>
    <mergeCell ref="A58:A64"/>
    <mergeCell ref="C58:D58"/>
    <mergeCell ref="R58:R64"/>
    <mergeCell ref="AA58:AB58"/>
    <mergeCell ref="AA63:AB63"/>
    <mergeCell ref="C64:D64"/>
    <mergeCell ref="AA64:AB64"/>
    <mergeCell ref="AG65:AG71"/>
    <mergeCell ref="C66:D66"/>
    <mergeCell ref="AA66:AB66"/>
    <mergeCell ref="C67:D67"/>
    <mergeCell ref="AA67:AB67"/>
    <mergeCell ref="C68:D68"/>
    <mergeCell ref="AG58:AG64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  <mergeCell ref="AA68:AB68"/>
    <mergeCell ref="AG48:AG57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AA56:AB56"/>
    <mergeCell ref="C57:D57"/>
    <mergeCell ref="AA57:AB57"/>
    <mergeCell ref="A40:A47"/>
    <mergeCell ref="C40:D40"/>
    <mergeCell ref="R40:R47"/>
    <mergeCell ref="AA40:AB40"/>
    <mergeCell ref="C47:D47"/>
    <mergeCell ref="AA47:AB47"/>
    <mergeCell ref="A48:A57"/>
    <mergeCell ref="C48:D48"/>
    <mergeCell ref="R48:R57"/>
    <mergeCell ref="AA48:AB48"/>
    <mergeCell ref="AA54:AB54"/>
    <mergeCell ref="C55:D55"/>
    <mergeCell ref="AA55:AB55"/>
    <mergeCell ref="C56:D56"/>
    <mergeCell ref="AG40:AG47"/>
    <mergeCell ref="C41:D41"/>
    <mergeCell ref="AA41:AB41"/>
    <mergeCell ref="C42:D42"/>
    <mergeCell ref="AA42:AB42"/>
    <mergeCell ref="C43:D43"/>
    <mergeCell ref="AG34:AG39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3:AB43"/>
    <mergeCell ref="C44:D44"/>
    <mergeCell ref="AA44:AB44"/>
    <mergeCell ref="C45:D45"/>
    <mergeCell ref="AA45:AB45"/>
    <mergeCell ref="C46:D46"/>
    <mergeCell ref="AA46:AB46"/>
    <mergeCell ref="A34:A39"/>
    <mergeCell ref="C34:D34"/>
    <mergeCell ref="R34:R39"/>
    <mergeCell ref="AA34:AB34"/>
    <mergeCell ref="AA39:AB39"/>
    <mergeCell ref="A28:A33"/>
    <mergeCell ref="C28:D28"/>
    <mergeCell ref="R28:R33"/>
    <mergeCell ref="AA28:AB28"/>
    <mergeCell ref="AG28:AG33"/>
    <mergeCell ref="C29:D29"/>
    <mergeCell ref="AA29:AB29"/>
    <mergeCell ref="C30:D30"/>
    <mergeCell ref="AA30:AB30"/>
    <mergeCell ref="C31:D31"/>
    <mergeCell ref="AA24:AB24"/>
    <mergeCell ref="C25:D25"/>
    <mergeCell ref="AA25:AB25"/>
    <mergeCell ref="C26:D26"/>
    <mergeCell ref="AA26:AB26"/>
    <mergeCell ref="C27:D27"/>
    <mergeCell ref="AA27:AB27"/>
    <mergeCell ref="AA31:AB31"/>
    <mergeCell ref="C32:D32"/>
    <mergeCell ref="AA32:AB32"/>
    <mergeCell ref="C33:D33"/>
    <mergeCell ref="AA33:AB33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G11:AG13"/>
    <mergeCell ref="C12:D12"/>
    <mergeCell ref="AA12:AB12"/>
    <mergeCell ref="C13:D13"/>
    <mergeCell ref="AA13:AB13"/>
    <mergeCell ref="A14:A20"/>
    <mergeCell ref="C14:D14"/>
    <mergeCell ref="R14:R20"/>
    <mergeCell ref="AA14:AB14"/>
    <mergeCell ref="AG14:AG20"/>
    <mergeCell ref="C18:D18"/>
    <mergeCell ref="AA18:AB18"/>
    <mergeCell ref="C19:D19"/>
    <mergeCell ref="AA19:AB19"/>
    <mergeCell ref="C20:D20"/>
    <mergeCell ref="AA20:AB20"/>
    <mergeCell ref="C15:D15"/>
    <mergeCell ref="AA15:AB15"/>
    <mergeCell ref="C16:D16"/>
    <mergeCell ref="AA16:AB16"/>
    <mergeCell ref="C17:D17"/>
    <mergeCell ref="AA17:AB17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1">
    <cfRule type="cellIs" dxfId="48" priority="1" operator="greaterThan">
      <formula>0</formula>
    </cfRule>
  </conditionalFormatting>
  <conditionalFormatting sqref="P5:P71">
    <cfRule type="cellIs" dxfId="47" priority="4" operator="lessThan">
      <formula>0</formula>
    </cfRule>
  </conditionalFormatting>
  <conditionalFormatting sqref="Q5:Q71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R5:R11 AG5:AG11">
    <cfRule type="cellIs" dxfId="44" priority="63" operator="lessThan">
      <formula>0.8</formula>
    </cfRule>
  </conditionalFormatting>
  <conditionalFormatting sqref="AE5:AE71">
    <cfRule type="cellIs" dxfId="43" priority="17" operator="lessThan">
      <formula>0</formula>
    </cfRule>
  </conditionalFormatting>
  <conditionalFormatting sqref="AF5:AF71">
    <cfRule type="cellIs" dxfId="42" priority="16" operator="lessThan">
      <formula>0.8</formula>
    </cfRule>
    <cfRule type="cellIs" dxfId="41" priority="15" operator="greaterThan">
      <formula>1</formula>
    </cfRule>
  </conditionalFormatting>
  <conditionalFormatting sqref="AG14:AG61 R14:R71">
    <cfRule type="cellIs" dxfId="40" priority="5" operator="lessThan">
      <formula>0.8</formula>
    </cfRule>
  </conditionalFormatting>
  <dataValidations count="1">
    <dataValidation type="list" allowBlank="1" showInputMessage="1" showErrorMessage="1" sqref="AB10 AA5:AB9 AB62:AB63 AB12:AB58 AA10:AA63 AA64:AB71" xr:uid="{00000000-0002-0000-2F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Q32"/>
  <sheetViews>
    <sheetView zoomScale="85" zoomScaleNormal="85" workbookViewId="0">
      <selection activeCell="K6" sqref="K6:K8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408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409</v>
      </c>
      <c r="C3" s="153" t="str">
        <f>TEXT('0204 4度C'!A2,"yyyy.mm.ddaaaa")</f>
        <v>2026.02.04星期三</v>
      </c>
      <c r="D3" s="154"/>
      <c r="E3" s="47" t="s">
        <v>410</v>
      </c>
      <c r="F3" s="155">
        <f>'0204 4度C'!D1</f>
        <v>158258</v>
      </c>
      <c r="G3" s="156"/>
      <c r="H3" s="47" t="s">
        <v>411</v>
      </c>
      <c r="I3" s="157">
        <f>'0204 4度C'!F1</f>
        <v>5445700.4099999992</v>
      </c>
      <c r="J3" s="158"/>
      <c r="K3" s="48"/>
      <c r="L3" s="49"/>
      <c r="M3" s="49"/>
      <c r="N3" s="49"/>
    </row>
    <row r="4" spans="2:17" ht="28.5" customHeight="1">
      <c r="B4" s="159" t="s">
        <v>412</v>
      </c>
      <c r="C4" s="145" t="s">
        <v>413</v>
      </c>
      <c r="D4" s="146"/>
      <c r="E4" s="162" t="s">
        <v>414</v>
      </c>
      <c r="F4" s="163"/>
      <c r="G4" s="162" t="s">
        <v>415</v>
      </c>
      <c r="H4" s="163"/>
      <c r="I4" s="162" t="s">
        <v>416</v>
      </c>
      <c r="J4" s="163"/>
      <c r="K4" s="143" t="s">
        <v>149</v>
      </c>
      <c r="L4" s="144"/>
      <c r="M4" s="144" t="s">
        <v>417</v>
      </c>
      <c r="N4" s="144"/>
    </row>
    <row r="5" spans="2:17" ht="28.5" customHeight="1">
      <c r="B5" s="160"/>
      <c r="C5" s="145" t="s">
        <v>418</v>
      </c>
      <c r="D5" s="146"/>
      <c r="E5" s="145" t="s">
        <v>419</v>
      </c>
      <c r="F5" s="146"/>
      <c r="G5" s="147" t="s">
        <v>420</v>
      </c>
      <c r="H5" s="148"/>
      <c r="I5" s="149" t="s">
        <v>421</v>
      </c>
      <c r="J5" s="150"/>
      <c r="K5" s="50" t="s">
        <v>422</v>
      </c>
      <c r="L5" s="51" t="s">
        <v>423</v>
      </c>
      <c r="M5" s="50" t="s">
        <v>422</v>
      </c>
      <c r="N5" s="51" t="s">
        <v>424</v>
      </c>
    </row>
    <row r="6" spans="2:17" ht="28.5" customHeight="1">
      <c r="B6" s="160"/>
      <c r="C6" s="145" t="s">
        <v>158</v>
      </c>
      <c r="D6" s="146"/>
      <c r="E6" s="137">
        <f>AVERAGE(D13:M13)</f>
        <v>145.44739781543586</v>
      </c>
      <c r="F6" s="138">
        <f>AVERAGE(D31:O31,D13:J13)</f>
        <v>149.18706654513332</v>
      </c>
      <c r="G6" s="139">
        <f>AVERAGE(D13:J13)</f>
        <v>149.18706654513332</v>
      </c>
      <c r="H6" s="140"/>
      <c r="I6" s="139">
        <f>AVERAGE(K13:M13)</f>
        <v>136.72150411280847</v>
      </c>
      <c r="J6" s="140"/>
      <c r="K6" s="141">
        <f>'0204 4度C'!Y2</f>
        <v>0</v>
      </c>
      <c r="L6" s="126">
        <f>'0204 4度C'!Z2</f>
        <v>0</v>
      </c>
      <c r="M6" s="142">
        <f>'0204 4度C'!AC2</f>
        <v>63</v>
      </c>
      <c r="N6" s="126">
        <f>'0204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139.20462640070673</v>
      </c>
      <c r="F7" s="130">
        <f>AVERAGE(D32:O32,D14:J14)</f>
        <v>142.72173233763991</v>
      </c>
      <c r="G7" s="131">
        <f>AVERAGE(D14:J14)</f>
        <v>142.72173233763991</v>
      </c>
      <c r="H7" s="132"/>
      <c r="I7" s="131">
        <f>AVERAGE(K14:M14)</f>
        <v>130.99804588119599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0.95622806761734469</v>
      </c>
      <c r="F8" s="134">
        <f>AVERAGE(D15:J15,D33:O33)</f>
        <v>0.95544618949748639</v>
      </c>
      <c r="G8" s="135">
        <f>AVERAGE(D15:J15)</f>
        <v>0.95544618949748639</v>
      </c>
      <c r="H8" s="136"/>
      <c r="I8" s="135">
        <f>AVERAGE(K15:M15)</f>
        <v>0.95805244989701388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161</v>
      </c>
      <c r="N9" s="49"/>
      <c r="O9" s="49"/>
      <c r="P9" s="49"/>
      <c r="Q9" s="49"/>
    </row>
    <row r="10" spans="2:17" ht="30" customHeight="1">
      <c r="B10" s="109" t="s">
        <v>425</v>
      </c>
      <c r="C10" s="110"/>
      <c r="D10" s="111" t="s">
        <v>163</v>
      </c>
      <c r="E10" s="112"/>
      <c r="F10" s="112"/>
      <c r="G10" s="112"/>
      <c r="H10" s="112"/>
      <c r="I10" s="112"/>
      <c r="J10" s="113"/>
      <c r="K10" s="114" t="s">
        <v>426</v>
      </c>
      <c r="L10" s="115"/>
      <c r="M10" s="116"/>
      <c r="P10" s="55"/>
      <c r="Q10" s="55"/>
    </row>
    <row r="11" spans="2:17" ht="17.25" customHeight="1">
      <c r="B11" s="117" t="s">
        <v>427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428</v>
      </c>
      <c r="C13" s="62" t="s">
        <v>429</v>
      </c>
      <c r="D13" s="63">
        <f>SUMIFS('0204 4度C'!$K:$K,'0204 4度C'!$A:$A,"新豐6線",'0204 4度C'!$B:$B,"平均")</f>
        <v>116.50485436893203</v>
      </c>
      <c r="E13" s="64">
        <f>SUMIFS('0204 4度C'!$K:$K,'0204 4度C'!$A:$A,"新豐2線",'0204 4度C'!$B:$B,"平均")</f>
        <v>83.333333333333329</v>
      </c>
      <c r="F13" s="65">
        <f>SUMIFS('0204 4度C'!$K:$K,'0204 4度C'!$A:$A,"新豐5線",'0204 4度C'!$B:$B,"平均")</f>
        <v>110.16949152542372</v>
      </c>
      <c r="G13" s="65">
        <f>SUMIFS('0204 4度C'!$K:$K,'0204 4度C'!$A:$A,"新豐7線",'0204 4度C'!$B:$B,"平均")</f>
        <v>123.65591397849462</v>
      </c>
      <c r="H13" s="65">
        <f>SUMIFS('0204 4度C'!$K:$K,'0204 4度C'!$A:$A,"新豐3線",'0204 4度C'!$B:$B,"平均")</f>
        <v>303.79746835443041</v>
      </c>
      <c r="I13" s="65">
        <f>SUMIFS('0204 4度C'!$K:$K,'0204 4度C'!$A:$A,"新豐1線",'0204 4度C'!$B:$B,"平均")</f>
        <v>103.72340425531914</v>
      </c>
      <c r="J13" s="66">
        <f>SUMIFS('0204 4度C'!$K:$K,'0204 4度C'!$A:$A,"新豐10線",'0204 4度C'!$B:$B,"平均")</f>
        <v>203.125</v>
      </c>
      <c r="K13" s="67">
        <f>SUMIFS('0204 4度C'!$K:$K,'0204 4度C'!$A:$A,"新豐8線",'0204 4度C'!$B:$B,"平均")</f>
        <v>129.72972972972974</v>
      </c>
      <c r="L13" s="68">
        <f>SUMIFS('0204 4度C'!$K:$K,'0204 4度C'!$A:$A,"新豐9線",'0204 4度C'!$B:$B,"平均")</f>
        <v>130.43478260869566</v>
      </c>
      <c r="M13" s="66">
        <f>SUMIFS('0204 4度C'!$K:$K,'0204 4度C'!$A:$A,"新豐4線",'0204 4度C'!$B:$B,"平均")</f>
        <v>150</v>
      </c>
    </row>
    <row r="14" spans="2:17" ht="39.6" customHeight="1">
      <c r="B14" s="122"/>
      <c r="C14" s="69" t="s">
        <v>178</v>
      </c>
      <c r="D14" s="70">
        <f>SUMIFS('0204 4度C'!$N:$N,'0204 4度C'!$A:$A,"新豐6線",'0204 4度C'!$B:$B,"平均")</f>
        <v>112.18693519051207</v>
      </c>
      <c r="E14" s="71">
        <f>SUMIFS('0204 4度C'!$N:$N,'0204 4度C'!$A:$A,"新豐2線",'0204 4度C'!$B:$B,"平均")</f>
        <v>79.430738405182481</v>
      </c>
      <c r="F14" s="71">
        <f>SUMIFS('0204 4度C'!$N:$N,'0204 4度C'!$A:$A,"新豐5線",'0204 4度C'!$B:$B,"平均")</f>
        <v>105.7249915808421</v>
      </c>
      <c r="G14" s="71">
        <f>SUMIFS('0204 4度C'!$N:$N,'0204 4度C'!$A:$A,"新豐7線",'0204 4度C'!$B:$B,"平均")</f>
        <v>118.65278592375364</v>
      </c>
      <c r="H14" s="71">
        <f>SUMIFS('0204 4度C'!$N:$N,'0204 4度C'!$A:$A,"新豐3線",'0204 4度C'!$B:$B,"平均")</f>
        <v>290.58806214744385</v>
      </c>
      <c r="I14" s="71">
        <f>SUMIFS('0204 4度C'!$N:$N,'0204 4度C'!$A:$A,"新豐1線",'0204 4度C'!$B:$B,"平均")</f>
        <v>96.748518864940976</v>
      </c>
      <c r="J14" s="72">
        <f>SUMIFS('0204 4度C'!$N:$N,'0204 4度C'!$A:$A,"新豐10線",'0204 4度C'!$B:$B,"平均")</f>
        <v>195.72009425080432</v>
      </c>
      <c r="K14" s="73">
        <f>SUMIFS('0204 4度C'!$N:$N,'0204 4度C'!$A:$A,"新豐8線",'0204 4度C'!$B:$B,"平均")</f>
        <v>124.22105406517174</v>
      </c>
      <c r="L14" s="74">
        <f>SUMIFS('0204 4度C'!$N:$N,'0204 4度C'!$A:$A,"新豐9線",'0204 4度C'!$B:$B,"平均")</f>
        <v>124.79950074923507</v>
      </c>
      <c r="M14" s="72">
        <f>SUMIFS('0204 4度C'!$N:$N,'0204 4度C'!$A:$A,"新豐4線",'0204 4度C'!$B:$B,"平均")</f>
        <v>143.97358282918117</v>
      </c>
    </row>
    <row r="15" spans="2:17" ht="40.15" customHeight="1">
      <c r="B15" s="123"/>
      <c r="C15" s="75" t="s">
        <v>430</v>
      </c>
      <c r="D15" s="76">
        <f t="shared" ref="D15:M15" si="0">D14/D13</f>
        <v>0.96293786038522866</v>
      </c>
      <c r="E15" s="77">
        <f t="shared" si="0"/>
        <v>0.95316886086218988</v>
      </c>
      <c r="F15" s="77">
        <f t="shared" si="0"/>
        <v>0.95965761588764376</v>
      </c>
      <c r="G15" s="77">
        <f t="shared" si="0"/>
        <v>0.9595399209486164</v>
      </c>
      <c r="H15" s="77">
        <f t="shared" si="0"/>
        <v>0.95651903790200254</v>
      </c>
      <c r="I15" s="77">
        <f t="shared" si="0"/>
        <v>0.93275495110814899</v>
      </c>
      <c r="J15" s="78">
        <f t="shared" si="0"/>
        <v>0.96354507938857514</v>
      </c>
      <c r="K15" s="76">
        <f t="shared" si="0"/>
        <v>0.95753729175236546</v>
      </c>
      <c r="L15" s="77">
        <f t="shared" si="0"/>
        <v>0.95679617241080217</v>
      </c>
      <c r="M15" s="78">
        <f t="shared" si="0"/>
        <v>0.95982388552787445</v>
      </c>
    </row>
    <row r="16" spans="2:17" ht="17.25" customHeight="1">
      <c r="B16" s="124" t="s">
        <v>431</v>
      </c>
      <c r="C16" s="79" t="s">
        <v>432</v>
      </c>
      <c r="D16" s="80">
        <f>VLOOKUP("新豐6線",'0204 4度C'!$A:$T,19,0)</f>
        <v>0.70833333333333337</v>
      </c>
      <c r="E16" s="81">
        <f>VLOOKUP("新豐2線",'0204 4度C'!$A:$T,19,0)</f>
        <v>0.20833333333333334</v>
      </c>
      <c r="F16" s="81">
        <f>VLOOKUP("新豐5線",'0204 4度C'!$A:$T,19,0)</f>
        <v>0.20833333333333334</v>
      </c>
      <c r="G16" s="81">
        <f>VLOOKUP("新豐7線",'0204 4度C'!$A:$T,19,0)</f>
        <v>0.20833333333333334</v>
      </c>
      <c r="H16" s="81">
        <f>VLOOKUP("新豐3線",'0204 4度C'!$A:$T,19,0)</f>
        <v>8.3333333333333329E-2</v>
      </c>
      <c r="I16" s="81">
        <f>VLOOKUP("新豐1線",'0204 4度C'!$A:$T,19,0)</f>
        <v>0.20833333333333334</v>
      </c>
      <c r="J16" s="82">
        <f>VLOOKUP("新豐10線",'0204 4度C'!$A:$T,19,0)</f>
        <v>0.20833333333333334</v>
      </c>
      <c r="K16" s="83">
        <f>VLOOKUP("新豐8線",'0204 4度C'!$A:$T,19,0)</f>
        <v>8.3333333333333329E-2</v>
      </c>
      <c r="L16" s="84">
        <f>VLOOKUP("新豐9線",'0204 4度C'!$A:$T,19,0)</f>
        <v>8.3333333333333329E-2</v>
      </c>
      <c r="M16" s="85">
        <f>VLOOKUP("新豐4線",'0204 4度C'!$A:$T,19,0)</f>
        <v>8.3333333333333329E-2</v>
      </c>
    </row>
    <row r="17" spans="2:13" ht="17.25" customHeight="1">
      <c r="B17" s="125"/>
      <c r="C17" s="79" t="s">
        <v>433</v>
      </c>
      <c r="D17" s="83">
        <f>LOOKUP(2,1/(('0204 4度C'!$A:$A="新豐6線")*('0204 4度C'!$T:$T&lt;&gt;"")),'0204 4度C'!$T:$T)</f>
        <v>0.91111111111111109</v>
      </c>
      <c r="E17" s="81">
        <f>LOOKUP(2,1/(('0204 4度C'!$A:$A="新豐2線")*('0204 4度C'!$T:$T&lt;&gt;"")),'0204 4度C'!$T:$T)</f>
        <v>0.44791666666666663</v>
      </c>
      <c r="F17" s="81">
        <f>LOOKUP(2,1/(('0204 4度C'!$A:$A="新豐5線")*('0204 4度C'!$T:$T&lt;&gt;"")),'0204 4度C'!$T:$T)</f>
        <v>0.91597222222222219</v>
      </c>
      <c r="G17" s="81">
        <f>LOOKUP(2,1/(('0204 4度C'!$A:$A="新豐7線")*('0204 4度C'!$T:$T&lt;&gt;"")),'0204 4度C'!$T:$T)</f>
        <v>0.91527777777777775</v>
      </c>
      <c r="H17" s="81">
        <f>LOOKUP(2,1/(('0204 4度C'!$A:$A="新豐3線")*('0204 4度C'!$T:$T&lt;&gt;"")),'0204 4度C'!$T:$T)</f>
        <v>0.5874999999999998</v>
      </c>
      <c r="I17" s="81">
        <f>LOOKUP(2,1/(('0204 4度C'!$A:$A="新豐1線")*('0204 4度C'!$T:$T&lt;&gt;"")),'0204 4度C'!$T:$T)</f>
        <v>0.90555555555555545</v>
      </c>
      <c r="J17" s="82">
        <f>LOOKUP(2,1/(('0204 4度C'!$A:$A="新豐10線")*('0204 4度C'!$T:$T&lt;&gt;"")),'0204 4度C'!$T:$T)</f>
        <v>0.47847222222222219</v>
      </c>
      <c r="K17" s="80">
        <f>LOOKUP(2,1/(('0204 4度C'!$A:$A="新豐8線")*('0204 4度C'!$T:$T&lt;&gt;"")),'0204 4度C'!$T:$T)</f>
        <v>0.57430555555555551</v>
      </c>
      <c r="L17" s="81">
        <f>LOOKUP(2,1/(('0204 4度C'!$A:$A="新豐9線")*('0204 4度C'!$T:$T&lt;&gt;"")),'0204 4度C'!$T:$T)</f>
        <v>0.51597222222222217</v>
      </c>
      <c r="M17" s="82">
        <f>LOOKUP(2,1/(('0204 4度C'!$A:$A="新豐4線")*('0204 4度C'!$T:$T&lt;&gt;"")),'0204 4度C'!$T:$T)</f>
        <v>0.57291666666666652</v>
      </c>
    </row>
    <row r="18" spans="2:13" ht="17.25" customHeight="1">
      <c r="B18" s="103" t="s">
        <v>434</v>
      </c>
      <c r="C18" s="86" t="s">
        <v>435</v>
      </c>
      <c r="D18" s="87">
        <f>SUMIFS('0204 4度C'!$Y:$Y,'0204 4度C'!$A:$A,"新豐6線",'0204 4度C'!$B:$B,"平均")</f>
        <v>0</v>
      </c>
      <c r="E18" s="88">
        <f>SUMIFS('0204 4度C'!$Y:$Y,'0204 4度C'!$A:$A,"新豐2線",'0204 4度C'!$B:$B,"平均")</f>
        <v>0</v>
      </c>
      <c r="F18" s="88">
        <f>SUMIFS('0204 4度C'!$Y:$Y,'0204 4度C'!$A:$A,"新豐5線",'0204 4度C'!$B:$B,"平均")</f>
        <v>0</v>
      </c>
      <c r="G18" s="88">
        <f>SUMIFS('0204 4度C'!$Y:$Y,'0204 4度C'!$A:$A,"新豐7線",'0204 4度C'!$B:$B,"平均")</f>
        <v>0</v>
      </c>
      <c r="H18" s="88">
        <f>SUMIFS('0204 4度C'!$Y:$Y,'0204 4度C'!$A:$A,"新豐3線",'0204 4度C'!$B:$B,"平均")</f>
        <v>0</v>
      </c>
      <c r="I18" s="88">
        <f>SUMIFS('0204 4度C'!$Y:$Y,'0204 4度C'!$A:$A,"新豐1線",'0204 4度C'!$B:$B,"平均")</f>
        <v>0</v>
      </c>
      <c r="J18" s="89">
        <f>SUMIFS('0204 4度C'!$Y:$Y,'0204 4度C'!$A:$A,"新豐10線",'0204 4度C'!$B:$B,"平均")</f>
        <v>0</v>
      </c>
      <c r="K18" s="90">
        <f>SUMIFS('0204 4度C'!$Y:$Y,'0204 4度C'!$A:$A,"新豐8線",'0204 4度C'!$B:$B,"平均")</f>
        <v>0</v>
      </c>
      <c r="L18" s="88">
        <f>SUMIFS('0204 4度C'!$Y:$Y,'0204 4度C'!$A:$A,"新豐9線",'0204 4度C'!$B:$B,"平均")</f>
        <v>0</v>
      </c>
      <c r="M18" s="89">
        <f>SUMIFS('0204 4度C'!$Y:$Y,'0204 4度C'!$A:$A,"新豐4線",'0204 4度C'!$B:$B,"平均")</f>
        <v>0</v>
      </c>
    </row>
    <row r="19" spans="2:13" ht="17.25" customHeight="1">
      <c r="B19" s="104"/>
      <c r="C19" s="86" t="s">
        <v>185</v>
      </c>
      <c r="D19" s="87">
        <f>SUMIFS('0204 4度C'!$Z:$Z,'0204 4度C'!$A:$A,"新豐6線",'0204 4度C'!$B:$B,"平均")</f>
        <v>0</v>
      </c>
      <c r="E19" s="88">
        <f>SUMIFS('0204 4度C'!$Z:$Z,'0204 4度C'!$A:$A,"新豐2線",'0204 4度C'!$B:$B,"平均")</f>
        <v>0</v>
      </c>
      <c r="F19" s="88">
        <f>SUMIFS('0204 4度C'!$Z:$Z,'0204 4度C'!$A:$A,"新豐5線",'0204 4度C'!$B:$B,"平均")</f>
        <v>0</v>
      </c>
      <c r="G19" s="88">
        <f>SUMIFS('0204 4度C'!$Z:$Z,'0204 4度C'!$A:$A,"新豐7線",'0204 4度C'!$B:$B,"平均")</f>
        <v>0</v>
      </c>
      <c r="H19" s="88">
        <f>SUMIFS('0204 4度C'!$Z:$Z,'0204 4度C'!$A:$A,"新豐3線",'0204 4度C'!$B:$B,"平均")</f>
        <v>0</v>
      </c>
      <c r="I19" s="88">
        <f>SUMIFS('0204 4度C'!$Z:$Z,'0204 4度C'!$A:$A,"新豐1線",'0204 4度C'!$B:$B,"平均")</f>
        <v>0</v>
      </c>
      <c r="J19" s="89">
        <f>SUMIFS('0204 4度C'!$Z:$Z,'0204 4度C'!$A:$A,"新豐10線",'0204 4度C'!$B:$B,"平均")</f>
        <v>0</v>
      </c>
      <c r="K19" s="90">
        <f>SUMIFS('0204 4度C'!$Z:$Z,'0204 4度C'!$A:$A,"新豐8線",'0204 4度C'!$B:$B,"平均")</f>
        <v>0</v>
      </c>
      <c r="L19" s="88">
        <f>SUMIFS('0204 4度C'!$Z:$Z,'0204 4度C'!$A:$A,"新豐9線",'0204 4度C'!$B:$B,"平均")</f>
        <v>0</v>
      </c>
      <c r="M19" s="89">
        <f>SUMIFS('0204 4度C'!$Z:$Z,'0204 4度C'!$A:$A,"新豐4線",'0204 4度C'!$B:$B,"平均")</f>
        <v>0</v>
      </c>
    </row>
    <row r="20" spans="2:13" ht="17.25" customHeight="1">
      <c r="B20" s="103" t="s">
        <v>436</v>
      </c>
      <c r="C20" s="86" t="s">
        <v>435</v>
      </c>
      <c r="D20" s="87">
        <f>SUMIFS('0204 4度C'!$AC:$AC,'0204 4度C'!$A:$A,"新豐6線",'0204 4度C'!$B:$B,"平均")</f>
        <v>6</v>
      </c>
      <c r="E20" s="88">
        <f>SUMIFS('0204 4度C'!$AC:$AC,'0204 4度C'!$A:$A,"新豐2線",'0204 4度C'!$B:$B,"平均")</f>
        <v>2</v>
      </c>
      <c r="F20" s="88">
        <f>SUMIFS('0204 4度C'!$AC:$AC,'0204 4度C'!$A:$A,"新豐5線",'0204 4度C'!$B:$B,"平均")</f>
        <v>7</v>
      </c>
      <c r="G20" s="88">
        <f>SUMIFS('0204 4度C'!$AC:$AC,'0204 4度C'!$A:$A,"新豐7線",'0204 4度C'!$B:$B,"平均")</f>
        <v>6</v>
      </c>
      <c r="H20" s="88">
        <f>SUMIFS('0204 4度C'!$AC:$AC,'0204 4度C'!$A:$A,"新豐3線",'0204 4度C'!$B:$B,"平均")</f>
        <v>8</v>
      </c>
      <c r="I20" s="88">
        <f>SUMIFS('0204 4度C'!$AC:$AC,'0204 4度C'!$A:$A,"新豐1線",'0204 4度C'!$B:$B,"平均")</f>
        <v>10</v>
      </c>
      <c r="J20" s="89">
        <f>SUMIFS('0204 4度C'!$AC:$AC,'0204 4度C'!$A:$A,"新豐10線",'0204 4度C'!$B:$B,"平均")</f>
        <v>6</v>
      </c>
      <c r="K20" s="90">
        <f>SUMIFS('0204 4度C'!$AC:$AC,'0204 4度C'!$A:$A,"新豐8線",'0204 4度C'!$B:$B,"平均")</f>
        <v>6</v>
      </c>
      <c r="L20" s="88">
        <f>SUMIFS('0204 4度C'!$AC:$AC,'0204 4度C'!$A:$A,"新豐9線",'0204 4度C'!$B:$B,"平均")</f>
        <v>5</v>
      </c>
      <c r="M20" s="89">
        <f>SUMIFS('0204 4度C'!$AC:$AC,'0204 4度C'!$A:$A,"新豐4線",'0204 4度C'!$B:$B,"平均")</f>
        <v>7</v>
      </c>
    </row>
    <row r="21" spans="2:13" ht="17.25" customHeight="1">
      <c r="B21" s="104"/>
      <c r="C21" s="86" t="s">
        <v>437</v>
      </c>
      <c r="D21" s="87">
        <f>SUMIFS('0204 4度C'!$AD:$AD,'0204 4度C'!$A:$A,"新豐6線",'0204 4度C'!$B:$B,"平均")</f>
        <v>0</v>
      </c>
      <c r="E21" s="88">
        <f>SUMIFS('0204 4度C'!$AD:$AD,'0204 4度C'!$A:$A,"新豐2線",'0204 4度C'!$B:$B,"平均")</f>
        <v>0</v>
      </c>
      <c r="F21" s="88">
        <f>SUMIFS('0204 4度C'!$AD:$AD,'0204 4度C'!$A:$A,"新豐5線",'0204 4度C'!$B:$B,"平均")</f>
        <v>0</v>
      </c>
      <c r="G21" s="88">
        <f>SUMIFS('0204 4度C'!$AD:$AD,'0204 4度C'!$A:$A,"新豐7線",'0204 4度C'!$B:$B,"平均")</f>
        <v>0</v>
      </c>
      <c r="H21" s="88">
        <f>SUMIFS('0204 4度C'!$AD:$AD,'0204 4度C'!$A:$A,"新豐3線",'0204 4度C'!$B:$B,"平均")</f>
        <v>0</v>
      </c>
      <c r="I21" s="88">
        <f>SUMIFS('0204 4度C'!$AD:$AD,'0204 4度C'!$A:$A,"新豐1線",'0204 4度C'!$B:$B,"平均")</f>
        <v>0</v>
      </c>
      <c r="J21" s="89">
        <f>SUMIFS('0204 4度C'!$AD:$AD,'0204 4度C'!$A:$A,"新豐10線",'0204 4度C'!$B:$B,"平均")</f>
        <v>0</v>
      </c>
      <c r="K21" s="90">
        <f>SUMIFS('0204 4度C'!$AD:$AD,'0204 4度C'!$A:$A,"新豐8線",'0204 4度C'!$B:$B,"平均")</f>
        <v>0</v>
      </c>
      <c r="L21" s="88">
        <f>SUMIFS('0204 4度C'!$AD:$AD,'0204 4度C'!$A:$A,"新豐9線",'0204 4度C'!$B:$B,"平均")</f>
        <v>0</v>
      </c>
      <c r="M21" s="89">
        <f>SUMIFS('0204 4度C'!$AD:$AD,'0204 4度C'!$A:$A,"新豐4線",'0204 4度C'!$B:$B,"平均")</f>
        <v>0</v>
      </c>
    </row>
    <row r="22" spans="2:13" ht="17.25" customHeight="1">
      <c r="B22" s="105" t="s">
        <v>438</v>
      </c>
      <c r="C22" s="106"/>
      <c r="D22" s="91">
        <f>SUMIFS('0204 4度C'!$I:$I,'0204 4度C'!$A:$A,"新豐6線",'0204 4度C'!$B:$B,"平均")</f>
        <v>17.166666666666668</v>
      </c>
      <c r="E22" s="92">
        <f>SUMIFS('0204 4度C'!$I:$I,'0204 4度C'!$A:$A,"新豐2線",'0204 4度C'!$B:$B,"平均")</f>
        <v>18</v>
      </c>
      <c r="F22" s="92">
        <f>SUMIFS('0204 4度C'!$I:$I,'0204 4度C'!$A:$A,"新豐5線",'0204 4度C'!$B:$B,"平均")</f>
        <v>16.857142857142858</v>
      </c>
      <c r="G22" s="92">
        <f>SUMIFS('0204 4度C'!$I:$I,'0204 4度C'!$A:$A,"新豐7線",'0204 4度C'!$B:$B,"平均")</f>
        <v>15.5</v>
      </c>
      <c r="H22" s="92">
        <f>SUMIFS('0204 4度C'!$I:$I,'0204 4度C'!$A:$A,"新豐3線",'0204 4度C'!$B:$B,"平均")</f>
        <v>9.875</v>
      </c>
      <c r="I22" s="92">
        <f>SUMIFS('0204 4度C'!$I:$I,'0204 4度C'!$A:$A,"新豐1線",'0204 4度C'!$B:$B,"平均")</f>
        <v>18.8</v>
      </c>
      <c r="J22" s="93">
        <f>SUMIFS('0204 4度C'!$I:$I,'0204 4度C'!$A:$A,"新豐10線",'0204 4度C'!$B:$B,"平均")</f>
        <v>10.666666666666666</v>
      </c>
      <c r="K22" s="91">
        <f>SUMIFS('0204 4度C'!$I:$I,'0204 4度C'!$A:$A,"新豐8線",'0204 4度C'!$B:$B,"平均")</f>
        <v>18.5</v>
      </c>
      <c r="L22" s="92">
        <f>SUMIFS('0204 4度C'!$I:$I,'0204 4度C'!$A:$A,"新豐9線",'0204 4度C'!$B:$B,"平均")</f>
        <v>18.399999999999999</v>
      </c>
      <c r="M22" s="93">
        <f>SUMIFS('0204 4度C'!$I:$I,'0204 4度C'!$A:$A,"新豐4線",'0204 4度C'!$B:$B,"平均")</f>
        <v>16</v>
      </c>
    </row>
    <row r="23" spans="2:13" ht="17.25" customHeight="1">
      <c r="B23" s="105" t="s">
        <v>439</v>
      </c>
      <c r="C23" s="106"/>
      <c r="D23" s="94" t="s">
        <v>191</v>
      </c>
      <c r="E23" s="95" t="s">
        <v>192</v>
      </c>
      <c r="F23" s="95" t="s">
        <v>440</v>
      </c>
      <c r="G23" s="95" t="s">
        <v>441</v>
      </c>
      <c r="H23" s="95" t="s">
        <v>194</v>
      </c>
      <c r="I23" s="95" t="s">
        <v>191</v>
      </c>
      <c r="J23" s="96" t="s">
        <v>194</v>
      </c>
      <c r="K23" s="94" t="s">
        <v>442</v>
      </c>
      <c r="L23" s="95" t="s">
        <v>195</v>
      </c>
      <c r="M23" s="96" t="s">
        <v>195</v>
      </c>
    </row>
    <row r="24" spans="2:13" ht="17.25" customHeight="1">
      <c r="B24" s="105" t="s">
        <v>443</v>
      </c>
      <c r="C24" s="106"/>
      <c r="D24" s="94"/>
      <c r="E24" s="95"/>
      <c r="F24" s="95" t="s">
        <v>444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445</v>
      </c>
      <c r="C25" s="108"/>
      <c r="D25" s="97"/>
      <c r="E25" s="98" t="s">
        <v>446</v>
      </c>
      <c r="F25" s="101" t="s">
        <v>447</v>
      </c>
      <c r="G25" s="102"/>
      <c r="H25" s="98" t="s">
        <v>448</v>
      </c>
      <c r="I25" s="98" t="s">
        <v>449</v>
      </c>
      <c r="J25" s="99" t="s">
        <v>450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工作表13">
    <pageSetUpPr fitToPage="1"/>
  </sheetPr>
  <dimension ref="A1:AG78"/>
  <sheetViews>
    <sheetView topLeftCell="P1" zoomScale="80" zoomScaleNormal="80" workbookViewId="0">
      <pane ySplit="4" topLeftCell="A5" activePane="bottomLeft" state="frozen"/>
      <selection activeCell="K6" sqref="K6:K8"/>
      <selection pane="bottomLeft" activeCell="AC2" sqref="AC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SUM(F5:F77)</f>
        <v>158258</v>
      </c>
      <c r="E1" s="4" t="s">
        <v>451</v>
      </c>
      <c r="F1" s="1">
        <f>SUM(G5:G77)</f>
        <v>5445700.4099999992</v>
      </c>
      <c r="G1" s="1" t="s">
        <v>3</v>
      </c>
      <c r="H1" s="5">
        <f>L11+L14+L51+L62+L22+L69+L36+L42+L29+L77</f>
        <v>159.76547619047619</v>
      </c>
      <c r="I1" s="214" t="s">
        <v>452</v>
      </c>
      <c r="J1" s="214"/>
      <c r="K1" s="214"/>
      <c r="L1" s="214" t="s">
        <v>453</v>
      </c>
      <c r="M1" s="214"/>
      <c r="N1" s="214"/>
      <c r="O1" s="214" t="s">
        <v>352</v>
      </c>
      <c r="P1" s="214"/>
      <c r="Q1" s="214"/>
      <c r="R1" s="214"/>
      <c r="S1" s="214" t="s">
        <v>353</v>
      </c>
      <c r="T1" s="214"/>
      <c r="U1" s="214"/>
      <c r="V1" s="214"/>
      <c r="W1" s="214"/>
      <c r="X1" s="214"/>
      <c r="Y1" s="6" t="s">
        <v>454</v>
      </c>
      <c r="Z1" s="7" t="s">
        <v>455</v>
      </c>
      <c r="AA1" s="215" t="s">
        <v>456</v>
      </c>
      <c r="AB1" s="215"/>
      <c r="AC1" s="8" t="s">
        <v>454</v>
      </c>
      <c r="AD1" s="7" t="s">
        <v>357</v>
      </c>
      <c r="AE1" s="214" t="s">
        <v>12</v>
      </c>
      <c r="AF1" s="216"/>
      <c r="AG1" s="216"/>
    </row>
    <row r="2" spans="1:33" ht="26.25" customHeight="1">
      <c r="A2" s="35">
        <v>46057</v>
      </c>
      <c r="B2" s="36" t="s">
        <v>457</v>
      </c>
      <c r="C2" s="2" t="s">
        <v>458</v>
      </c>
      <c r="D2" s="10">
        <f>AVERAGE(N11,N14,N51,N62,N22,N69,N29,N36,N42,N77)</f>
        <v>139.20462640070673</v>
      </c>
      <c r="E2" s="11" t="s">
        <v>14</v>
      </c>
      <c r="F2" s="12">
        <f>F1/D1</f>
        <v>34.4102693702688</v>
      </c>
      <c r="G2" s="1" t="s">
        <v>361</v>
      </c>
      <c r="H2" s="13">
        <f>COUNT(H5:H77)</f>
        <v>7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SUM(Y11+Y14+Y22+Y29+Y36+Y42+Y51+Y62+Y69+Y77)</f>
        <v>0</v>
      </c>
      <c r="Z2" s="14">
        <f>SUM(Z11+Z14+Z22+Z29+Z36+Z42+Z51+Z62+Z69+Z77)</f>
        <v>0</v>
      </c>
      <c r="AA2" s="215"/>
      <c r="AB2" s="215"/>
      <c r="AC2" s="14">
        <f>SUM(AC11+AC14+AC22+AC29+AC36+AC42+AC51+AC62+AC69+AC77)</f>
        <v>63</v>
      </c>
      <c r="AD2" s="14">
        <f>SUM(AD11+AD14+AD22+AD29+AD36+AD42+AD51+AD62+AD69+AD77)</f>
        <v>0</v>
      </c>
      <c r="AE2" s="216"/>
      <c r="AF2" s="216"/>
      <c r="AG2" s="216"/>
    </row>
    <row r="3" spans="1:33" ht="40.5" customHeight="1">
      <c r="A3" s="164" t="s">
        <v>16</v>
      </c>
      <c r="B3" s="164" t="s">
        <v>459</v>
      </c>
      <c r="C3" s="164" t="s">
        <v>364</v>
      </c>
      <c r="D3" s="164"/>
      <c r="E3" s="212" t="s">
        <v>460</v>
      </c>
      <c r="F3" s="164" t="s">
        <v>461</v>
      </c>
      <c r="G3" s="212" t="s">
        <v>367</v>
      </c>
      <c r="H3" s="206" t="s">
        <v>368</v>
      </c>
      <c r="I3" s="204" t="s">
        <v>369</v>
      </c>
      <c r="J3" s="201" t="s">
        <v>370</v>
      </c>
      <c r="K3" s="211" t="s">
        <v>27</v>
      </c>
      <c r="L3" s="204" t="s">
        <v>369</v>
      </c>
      <c r="M3" s="201" t="s">
        <v>370</v>
      </c>
      <c r="N3" s="211" t="s">
        <v>27</v>
      </c>
      <c r="O3" s="204" t="s">
        <v>462</v>
      </c>
      <c r="P3" s="211" t="s">
        <v>27</v>
      </c>
      <c r="Q3" s="202" t="s">
        <v>463</v>
      </c>
      <c r="R3" s="182" t="s">
        <v>464</v>
      </c>
      <c r="S3" s="164" t="s">
        <v>30</v>
      </c>
      <c r="T3" s="164"/>
      <c r="U3" s="206" t="s">
        <v>31</v>
      </c>
      <c r="V3" s="206" t="s">
        <v>465</v>
      </c>
      <c r="W3" s="164" t="s">
        <v>466</v>
      </c>
      <c r="X3" s="164"/>
      <c r="Y3" s="207" t="s">
        <v>467</v>
      </c>
      <c r="Z3" s="168"/>
      <c r="AA3" s="208" t="s">
        <v>468</v>
      </c>
      <c r="AB3" s="209"/>
      <c r="AC3" s="207" t="s">
        <v>469</v>
      </c>
      <c r="AD3" s="168"/>
      <c r="AE3" s="201" t="s">
        <v>470</v>
      </c>
      <c r="AF3" s="202" t="s">
        <v>471</v>
      </c>
      <c r="AG3" s="182" t="s">
        <v>472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473</v>
      </c>
      <c r="X4" s="4" t="s">
        <v>474</v>
      </c>
      <c r="Y4" s="15" t="s">
        <v>435</v>
      </c>
      <c r="Z4" s="15" t="s">
        <v>475</v>
      </c>
      <c r="AA4" s="210"/>
      <c r="AB4" s="209"/>
      <c r="AC4" s="15" t="s">
        <v>476</v>
      </c>
      <c r="AD4" s="15" t="s">
        <v>477</v>
      </c>
      <c r="AE4" s="201"/>
      <c r="AF4" s="202"/>
      <c r="AG4" s="182"/>
    </row>
    <row r="5" spans="1:33">
      <c r="A5" s="203" t="s">
        <v>385</v>
      </c>
      <c r="B5" s="37" t="s">
        <v>78</v>
      </c>
      <c r="C5" s="205" t="s">
        <v>79</v>
      </c>
      <c r="D5" s="205"/>
      <c r="E5" s="37">
        <v>50.67</v>
      </c>
      <c r="F5" s="4">
        <v>1403</v>
      </c>
      <c r="G5" s="4">
        <v>71090.010000000009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10" si="1">F5/V5*60</f>
        <v>1913.1818181818182</v>
      </c>
      <c r="N5" s="17">
        <f t="shared" ref="N5:N68" si="2">M5/L5</f>
        <v>112.54010695187166</v>
      </c>
      <c r="O5" s="19">
        <f t="shared" ref="O5:O68" si="3">L5-I5</f>
        <v>0</v>
      </c>
      <c r="P5" s="20">
        <f t="shared" ref="P5:P68" si="4">N5-K5</f>
        <v>-5.106951871657742</v>
      </c>
      <c r="Q5" s="21">
        <f t="shared" ref="Q5:Q68" si="5">N5/K5</f>
        <v>0.95659090909090916</v>
      </c>
      <c r="R5" s="172">
        <f>Q11</f>
        <v>0.96293786038522866</v>
      </c>
      <c r="S5" s="28">
        <v>0.70833333333333337</v>
      </c>
      <c r="T5" s="28">
        <v>0.73888888888888893</v>
      </c>
      <c r="U5" s="4"/>
      <c r="V5" s="22">
        <f t="shared" ref="V5:V10" si="6">(T5-S5)*24*60</f>
        <v>44</v>
      </c>
      <c r="W5" s="23"/>
      <c r="X5" s="24"/>
      <c r="Y5" s="24"/>
      <c r="Z5" s="24"/>
      <c r="AA5" s="164"/>
      <c r="AB5" s="164"/>
      <c r="AC5" s="25">
        <v>6</v>
      </c>
      <c r="AD5" s="25"/>
      <c r="AE5" s="19">
        <f t="shared" ref="AE5:AE61" si="7">M5-J5</f>
        <v>-86.818181818181756</v>
      </c>
      <c r="AF5" s="21">
        <f t="shared" ref="AF5:AF68" si="8">M5/J5</f>
        <v>0.95659090909090916</v>
      </c>
      <c r="AG5" s="172">
        <f>AF11</f>
        <v>0.96293786038522866</v>
      </c>
    </row>
    <row r="6" spans="1:33">
      <c r="A6" s="204" t="s">
        <v>478</v>
      </c>
      <c r="B6" s="37" t="s">
        <v>78</v>
      </c>
      <c r="C6" s="205" t="s">
        <v>80</v>
      </c>
      <c r="D6" s="205"/>
      <c r="E6" s="37">
        <v>54.09</v>
      </c>
      <c r="F6" s="4">
        <v>1295</v>
      </c>
      <c r="G6" s="4">
        <v>70046.55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1942.4999999999991</v>
      </c>
      <c r="N6" s="17">
        <f t="shared" si="2"/>
        <v>102.23684210526311</v>
      </c>
      <c r="O6" s="19">
        <f t="shared" si="3"/>
        <v>0</v>
      </c>
      <c r="P6" s="20">
        <f t="shared" si="4"/>
        <v>-3.0263157894737276</v>
      </c>
      <c r="Q6" s="21">
        <f t="shared" si="5"/>
        <v>0.97124999999999961</v>
      </c>
      <c r="R6" s="172"/>
      <c r="S6" s="28">
        <v>0.74444444444444446</v>
      </c>
      <c r="T6" s="28">
        <v>0.77222222222222225</v>
      </c>
      <c r="U6" s="4">
        <f t="shared" ref="U6:U10" si="9">IF(S6=TIME(17,0,0),"",(S6-T5)*24*60)</f>
        <v>7.9999999999999716</v>
      </c>
      <c r="V6" s="22">
        <f t="shared" si="6"/>
        <v>40.000000000000014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-57.500000000000909</v>
      </c>
      <c r="AF6" s="21">
        <f t="shared" si="8"/>
        <v>0.9712499999999995</v>
      </c>
      <c r="AG6" s="172"/>
    </row>
    <row r="7" spans="1:33">
      <c r="A7" s="204" t="s">
        <v>478</v>
      </c>
      <c r="B7" s="37" t="s">
        <v>78</v>
      </c>
      <c r="C7" s="196" t="s">
        <v>81</v>
      </c>
      <c r="D7" s="197"/>
      <c r="E7" s="37">
        <v>50.29</v>
      </c>
      <c r="F7" s="4">
        <v>839</v>
      </c>
      <c r="G7" s="4">
        <v>42193.31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1936.1538461538412</v>
      </c>
      <c r="N7" s="17">
        <f t="shared" si="2"/>
        <v>121.00961538461507</v>
      </c>
      <c r="O7" s="19">
        <f t="shared" si="3"/>
        <v>0</v>
      </c>
      <c r="P7" s="20">
        <f t="shared" si="4"/>
        <v>-3.9903846153849258</v>
      </c>
      <c r="Q7" s="21">
        <f t="shared" si="5"/>
        <v>0.96807692307692061</v>
      </c>
      <c r="R7" s="172"/>
      <c r="S7" s="28">
        <v>0.77777777777777779</v>
      </c>
      <c r="T7" s="28">
        <v>0.79583333333333339</v>
      </c>
      <c r="U7" s="4">
        <f t="shared" si="9"/>
        <v>7.9999999999999716</v>
      </c>
      <c r="V7" s="22">
        <f t="shared" si="6"/>
        <v>26.000000000000068</v>
      </c>
      <c r="W7" s="23"/>
      <c r="X7" s="23"/>
      <c r="Y7" s="26"/>
      <c r="Z7" s="26"/>
      <c r="AA7" s="175"/>
      <c r="AB7" s="176"/>
      <c r="AC7" s="27"/>
      <c r="AD7" s="27"/>
      <c r="AE7" s="19">
        <f t="shared" si="7"/>
        <v>-63.846153846158813</v>
      </c>
      <c r="AF7" s="21">
        <f t="shared" si="8"/>
        <v>0.96807692307692061</v>
      </c>
      <c r="AG7" s="172"/>
    </row>
    <row r="8" spans="1:33">
      <c r="A8" s="204" t="s">
        <v>478</v>
      </c>
      <c r="B8" s="37" t="s">
        <v>78</v>
      </c>
      <c r="C8" s="196" t="s">
        <v>82</v>
      </c>
      <c r="D8" s="197"/>
      <c r="E8" s="37">
        <v>57.3</v>
      </c>
      <c r="F8" s="4">
        <v>600</v>
      </c>
      <c r="G8" s="4">
        <v>34380</v>
      </c>
      <c r="H8" s="22">
        <v>2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1894.7368421052699</v>
      </c>
      <c r="N8" s="17">
        <f t="shared" si="2"/>
        <v>126.31578947368466</v>
      </c>
      <c r="O8" s="19">
        <f t="shared" si="3"/>
        <v>0</v>
      </c>
      <c r="P8" s="20">
        <f t="shared" si="4"/>
        <v>-7.0175438596486828</v>
      </c>
      <c r="Q8" s="21">
        <f t="shared" si="5"/>
        <v>0.94736842105263486</v>
      </c>
      <c r="R8" s="172"/>
      <c r="S8" s="28">
        <v>0.80138888888888893</v>
      </c>
      <c r="T8" s="28">
        <v>0.81458333333333333</v>
      </c>
      <c r="U8" s="4">
        <f t="shared" si="9"/>
        <v>7.9999999999999716</v>
      </c>
      <c r="V8" s="22">
        <f t="shared" si="6"/>
        <v>18.999999999999932</v>
      </c>
      <c r="W8" s="28"/>
      <c r="X8" s="28"/>
      <c r="Y8" s="29"/>
      <c r="Z8" s="29"/>
      <c r="AA8" s="175"/>
      <c r="AB8" s="176"/>
      <c r="AC8" s="27"/>
      <c r="AD8" s="27"/>
      <c r="AE8" s="19">
        <f t="shared" si="7"/>
        <v>-105.26315789473006</v>
      </c>
      <c r="AF8" s="21">
        <f t="shared" si="8"/>
        <v>0.94736842105263497</v>
      </c>
      <c r="AG8" s="172"/>
    </row>
    <row r="9" spans="1:33">
      <c r="A9" s="204" t="s">
        <v>478</v>
      </c>
      <c r="B9" s="37" t="s">
        <v>78</v>
      </c>
      <c r="C9" s="196" t="s">
        <v>83</v>
      </c>
      <c r="D9" s="197"/>
      <c r="E9" s="37">
        <v>50.67</v>
      </c>
      <c r="F9" s="4">
        <v>1066</v>
      </c>
      <c r="G9" s="4">
        <v>54014.22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1938.1818181818157</v>
      </c>
      <c r="N9" s="17">
        <f t="shared" si="2"/>
        <v>92.294372294372181</v>
      </c>
      <c r="O9" s="19">
        <f t="shared" si="3"/>
        <v>0</v>
      </c>
      <c r="P9" s="20">
        <f t="shared" si="4"/>
        <v>-2.9437229437230599</v>
      </c>
      <c r="Q9" s="21">
        <f t="shared" si="5"/>
        <v>0.96909090909090789</v>
      </c>
      <c r="R9" s="172"/>
      <c r="S9" s="28">
        <v>0.81805555555555554</v>
      </c>
      <c r="T9" s="28">
        <v>0.84097222222222223</v>
      </c>
      <c r="U9" s="4">
        <f t="shared" si="9"/>
        <v>4.9999999999999822</v>
      </c>
      <c r="V9" s="22">
        <f t="shared" si="6"/>
        <v>33.000000000000043</v>
      </c>
      <c r="W9" s="23">
        <f>T9</f>
        <v>0.84097222222222223</v>
      </c>
      <c r="X9" s="23">
        <f>S10</f>
        <v>0.8833333333333333</v>
      </c>
      <c r="Y9" s="26"/>
      <c r="Z9" s="26"/>
      <c r="AA9" s="175"/>
      <c r="AB9" s="176"/>
      <c r="AC9" s="27"/>
      <c r="AD9" s="27"/>
      <c r="AE9" s="19">
        <f t="shared" si="7"/>
        <v>-61.818181818184257</v>
      </c>
      <c r="AF9" s="21">
        <f t="shared" si="8"/>
        <v>0.96909090909090789</v>
      </c>
      <c r="AG9" s="172"/>
    </row>
    <row r="10" spans="1:33">
      <c r="A10" s="204" t="s">
        <v>478</v>
      </c>
      <c r="B10" s="37" t="s">
        <v>78</v>
      </c>
      <c r="C10" s="196" t="s">
        <v>82</v>
      </c>
      <c r="D10" s="197"/>
      <c r="E10" s="37">
        <v>57.3</v>
      </c>
      <c r="F10" s="4">
        <v>1287</v>
      </c>
      <c r="G10" s="4">
        <v>73745.099999999991</v>
      </c>
      <c r="H10" s="22" t="s">
        <v>139</v>
      </c>
      <c r="I10" s="16">
        <v>15</v>
      </c>
      <c r="J10" s="18">
        <v>2000</v>
      </c>
      <c r="K10" s="17">
        <f t="shared" si="0"/>
        <v>133.33333333333334</v>
      </c>
      <c r="L10" s="16">
        <v>15</v>
      </c>
      <c r="M10" s="18">
        <f t="shared" si="1"/>
        <v>1930.4999999999993</v>
      </c>
      <c r="N10" s="17">
        <f t="shared" si="2"/>
        <v>128.69999999999996</v>
      </c>
      <c r="O10" s="19">
        <f t="shared" si="3"/>
        <v>0</v>
      </c>
      <c r="P10" s="20">
        <f t="shared" si="4"/>
        <v>-4.6333333333333826</v>
      </c>
      <c r="Q10" s="21">
        <f t="shared" si="5"/>
        <v>0.96524999999999961</v>
      </c>
      <c r="R10" s="172"/>
      <c r="S10" s="28">
        <v>0.8833333333333333</v>
      </c>
      <c r="T10" s="28">
        <v>0.91111111111111109</v>
      </c>
      <c r="U10" s="4">
        <f t="shared" si="9"/>
        <v>60.999999999999943</v>
      </c>
      <c r="V10" s="22">
        <f t="shared" si="6"/>
        <v>40.000000000000014</v>
      </c>
      <c r="W10" s="23"/>
      <c r="X10" s="23"/>
      <c r="Y10" s="26"/>
      <c r="Z10" s="26"/>
      <c r="AA10" s="175"/>
      <c r="AB10" s="176"/>
      <c r="AC10" s="27"/>
      <c r="AD10" s="27"/>
      <c r="AE10" s="19">
        <f t="shared" si="7"/>
        <v>-69.500000000000682</v>
      </c>
      <c r="AF10" s="21">
        <f t="shared" si="8"/>
        <v>0.96524999999999961</v>
      </c>
      <c r="AG10" s="172"/>
    </row>
    <row r="11" spans="1:33">
      <c r="A11" s="204" t="s">
        <v>385</v>
      </c>
      <c r="B11" s="37" t="s">
        <v>479</v>
      </c>
      <c r="C11" s="177"/>
      <c r="D11" s="177"/>
      <c r="E11" s="38"/>
      <c r="F11" s="17"/>
      <c r="G11" s="17"/>
      <c r="H11" s="4"/>
      <c r="I11" s="30">
        <v>17.166666666666668</v>
      </c>
      <c r="J11" s="18">
        <v>2000</v>
      </c>
      <c r="K11" s="17">
        <f t="shared" si="0"/>
        <v>116.50485436893203</v>
      </c>
      <c r="L11" s="30">
        <v>17.166666666666668</v>
      </c>
      <c r="M11" s="18">
        <f>AVERAGE(M5:M10)</f>
        <v>1925.8757207704573</v>
      </c>
      <c r="N11" s="17">
        <f t="shared" si="2"/>
        <v>112.18693519051207</v>
      </c>
      <c r="O11" s="19">
        <f t="shared" si="3"/>
        <v>0</v>
      </c>
      <c r="P11" s="20">
        <f t="shared" si="4"/>
        <v>-4.317919178419956</v>
      </c>
      <c r="Q11" s="21">
        <f t="shared" si="5"/>
        <v>0.96293786038522866</v>
      </c>
      <c r="R11" s="172"/>
      <c r="S11" s="28"/>
      <c r="T11" s="28"/>
      <c r="U11" s="4"/>
      <c r="V11" s="22"/>
      <c r="W11" s="17"/>
      <c r="X11" s="17"/>
      <c r="Y11" s="31">
        <f>SUM(Y5:Y10)</f>
        <v>0</v>
      </c>
      <c r="Z11" s="31">
        <f>SUM(Z5:Z10)</f>
        <v>0</v>
      </c>
      <c r="AA11" s="168"/>
      <c r="AB11" s="168"/>
      <c r="AC11" s="31">
        <v>6</v>
      </c>
      <c r="AD11" s="31">
        <f>SUM(AD5:AD10)</f>
        <v>0</v>
      </c>
      <c r="AE11" s="19">
        <f t="shared" si="7"/>
        <v>-74.124279229542708</v>
      </c>
      <c r="AF11" s="21">
        <f t="shared" si="8"/>
        <v>0.96293786038522866</v>
      </c>
      <c r="AG11" s="172"/>
    </row>
    <row r="12" spans="1:33" ht="15.75" customHeight="1">
      <c r="A12" s="200" t="s">
        <v>388</v>
      </c>
      <c r="B12" s="37" t="s">
        <v>84</v>
      </c>
      <c r="C12" s="196" t="s">
        <v>85</v>
      </c>
      <c r="D12" s="197"/>
      <c r="E12" s="37">
        <v>39.619999999999997</v>
      </c>
      <c r="F12" s="4">
        <v>3129</v>
      </c>
      <c r="G12" s="4">
        <v>123970.98</v>
      </c>
      <c r="H12" s="22" t="s">
        <v>139</v>
      </c>
      <c r="I12" s="16">
        <v>19</v>
      </c>
      <c r="J12" s="18">
        <v>1500</v>
      </c>
      <c r="K12" s="17">
        <f t="shared" si="0"/>
        <v>78.94736842105263</v>
      </c>
      <c r="L12" s="16">
        <v>19</v>
      </c>
      <c r="M12" s="18">
        <f t="shared" ref="M12:M13" si="10">F12/V12*60</f>
        <v>1433.1297709923667</v>
      </c>
      <c r="N12" s="17">
        <f t="shared" si="2"/>
        <v>75.427882683808775</v>
      </c>
      <c r="O12" s="19">
        <f t="shared" si="3"/>
        <v>0</v>
      </c>
      <c r="P12" s="20">
        <f t="shared" si="4"/>
        <v>-3.5194857372438548</v>
      </c>
      <c r="Q12" s="21">
        <f t="shared" si="5"/>
        <v>0.95541984732824448</v>
      </c>
      <c r="R12" s="172">
        <f>Q14</f>
        <v>0.95316886086218988</v>
      </c>
      <c r="S12" s="28">
        <v>0.20833333333333334</v>
      </c>
      <c r="T12" s="28">
        <v>0.29930555555555555</v>
      </c>
      <c r="U12" s="4"/>
      <c r="V12" s="22">
        <f t="shared" ref="V12:V13" si="11">(T12-S12)*24*60</f>
        <v>130.99999999999997</v>
      </c>
      <c r="W12" s="23"/>
      <c r="X12" s="23"/>
      <c r="Y12" s="23"/>
      <c r="Z12" s="23"/>
      <c r="AA12" s="164"/>
      <c r="AB12" s="164"/>
      <c r="AC12" s="25">
        <v>2</v>
      </c>
      <c r="AD12" s="25"/>
      <c r="AE12" s="19">
        <f t="shared" si="7"/>
        <v>-66.87022900763327</v>
      </c>
      <c r="AF12" s="21">
        <f t="shared" si="8"/>
        <v>0.95541984732824448</v>
      </c>
      <c r="AG12" s="172">
        <f>AF14</f>
        <v>0.95316886086218988</v>
      </c>
    </row>
    <row r="13" spans="1:33" ht="15.75" customHeight="1">
      <c r="A13" s="200" t="s">
        <v>388</v>
      </c>
      <c r="B13" s="37" t="s">
        <v>84</v>
      </c>
      <c r="C13" s="196" t="s">
        <v>86</v>
      </c>
      <c r="D13" s="197"/>
      <c r="E13" s="37">
        <v>39.799999999999997</v>
      </c>
      <c r="F13" s="4">
        <v>4921</v>
      </c>
      <c r="G13" s="4">
        <v>195855.8</v>
      </c>
      <c r="H13" s="22" t="s">
        <v>139</v>
      </c>
      <c r="I13" s="16">
        <v>17</v>
      </c>
      <c r="J13" s="18">
        <v>1500</v>
      </c>
      <c r="K13" s="17">
        <f t="shared" si="0"/>
        <v>88.235294117647058</v>
      </c>
      <c r="L13" s="16">
        <v>17</v>
      </c>
      <c r="M13" s="18">
        <f t="shared" si="10"/>
        <v>1426.376811594203</v>
      </c>
      <c r="N13" s="17">
        <f t="shared" si="2"/>
        <v>83.904518329070768</v>
      </c>
      <c r="O13" s="19">
        <f t="shared" si="3"/>
        <v>0</v>
      </c>
      <c r="P13" s="20">
        <f t="shared" si="4"/>
        <v>-4.3307757885762896</v>
      </c>
      <c r="Q13" s="21">
        <f t="shared" si="5"/>
        <v>0.9509178743961354</v>
      </c>
      <c r="R13" s="172"/>
      <c r="S13" s="28">
        <v>0.30416666666666664</v>
      </c>
      <c r="T13" s="28">
        <v>0.44791666666666663</v>
      </c>
      <c r="U13" s="4">
        <f t="shared" ref="U13" si="12">IF(S13=TIME(17,0,0),"",(S13-T12)*24*60)</f>
        <v>6.9999999999999751</v>
      </c>
      <c r="V13" s="22">
        <f t="shared" si="11"/>
        <v>206.99999999999997</v>
      </c>
      <c r="W13" s="23"/>
      <c r="X13" s="23"/>
      <c r="Y13" s="23"/>
      <c r="Z13" s="23"/>
      <c r="AA13" s="164"/>
      <c r="AB13" s="164"/>
      <c r="AC13" s="25"/>
      <c r="AD13" s="25"/>
      <c r="AE13" s="19">
        <f t="shared" si="7"/>
        <v>-73.623188405797009</v>
      </c>
      <c r="AF13" s="21">
        <f t="shared" si="8"/>
        <v>0.95091787439613529</v>
      </c>
      <c r="AG13" s="172"/>
    </row>
    <row r="14" spans="1:33" ht="16.5" customHeight="1">
      <c r="A14" s="200" t="s">
        <v>480</v>
      </c>
      <c r="B14" s="37" t="s">
        <v>479</v>
      </c>
      <c r="C14" s="177"/>
      <c r="D14" s="177"/>
      <c r="E14" s="38"/>
      <c r="F14" s="18"/>
      <c r="G14" s="18"/>
      <c r="H14" s="4"/>
      <c r="I14" s="30">
        <v>18</v>
      </c>
      <c r="J14" s="18">
        <v>1500</v>
      </c>
      <c r="K14" s="17">
        <f t="shared" si="0"/>
        <v>83.333333333333329</v>
      </c>
      <c r="L14" s="30">
        <v>18</v>
      </c>
      <c r="M14" s="18">
        <f>AVERAGE(M12:M13)</f>
        <v>1429.7532912932847</v>
      </c>
      <c r="N14" s="17">
        <f t="shared" si="2"/>
        <v>79.430738405182481</v>
      </c>
      <c r="O14" s="19">
        <f t="shared" si="3"/>
        <v>0</v>
      </c>
      <c r="P14" s="20">
        <f t="shared" si="4"/>
        <v>-3.9025949281508474</v>
      </c>
      <c r="Q14" s="21">
        <f t="shared" si="5"/>
        <v>0.95316886086218988</v>
      </c>
      <c r="R14" s="172"/>
      <c r="S14" s="28"/>
      <c r="T14" s="28"/>
      <c r="U14" s="17"/>
      <c r="V14" s="22"/>
      <c r="W14" s="17"/>
      <c r="X14" s="17"/>
      <c r="Y14" s="31">
        <f>SUM(Y12:Y13)</f>
        <v>0</v>
      </c>
      <c r="Z14" s="31">
        <f>SUM(Z12:Z13)</f>
        <v>0</v>
      </c>
      <c r="AA14" s="168"/>
      <c r="AB14" s="168"/>
      <c r="AC14" s="31">
        <v>2</v>
      </c>
      <c r="AD14" s="31">
        <f>SUM(AD12:AD13)</f>
        <v>0</v>
      </c>
      <c r="AE14" s="19">
        <f t="shared" si="7"/>
        <v>-70.246708706715253</v>
      </c>
      <c r="AF14" s="21">
        <f t="shared" si="8"/>
        <v>0.95316886086218988</v>
      </c>
      <c r="AG14" s="172"/>
    </row>
    <row r="15" spans="1:33" ht="16.5" customHeight="1">
      <c r="A15" s="198" t="s">
        <v>481</v>
      </c>
      <c r="B15" s="4" t="s">
        <v>87</v>
      </c>
      <c r="C15" s="190" t="s">
        <v>88</v>
      </c>
      <c r="D15" s="190"/>
      <c r="E15" s="37">
        <v>41</v>
      </c>
      <c r="F15" s="4">
        <v>2312</v>
      </c>
      <c r="G15" s="4">
        <v>94792</v>
      </c>
      <c r="H15" s="22" t="s">
        <v>139</v>
      </c>
      <c r="I15" s="16">
        <v>26</v>
      </c>
      <c r="J15" s="18">
        <v>1500</v>
      </c>
      <c r="K15" s="17">
        <f t="shared" si="0"/>
        <v>57.692307692307693</v>
      </c>
      <c r="L15" s="16">
        <v>26</v>
      </c>
      <c r="M15" s="18">
        <f t="shared" ref="M15:M21" si="13">F15/V15*60</f>
        <v>1430.103092783505</v>
      </c>
      <c r="N15" s="17">
        <f t="shared" si="2"/>
        <v>55.00396510705788</v>
      </c>
      <c r="O15" s="19">
        <f t="shared" si="3"/>
        <v>0</v>
      </c>
      <c r="P15" s="20">
        <f t="shared" si="4"/>
        <v>-2.6883425852498135</v>
      </c>
      <c r="Q15" s="21">
        <f t="shared" si="5"/>
        <v>0.95340206185566989</v>
      </c>
      <c r="R15" s="172">
        <f>Q22</f>
        <v>0.95965761588764376</v>
      </c>
      <c r="S15" s="28">
        <v>0.20833333333333334</v>
      </c>
      <c r="T15" s="28">
        <v>0.27569444444444446</v>
      </c>
      <c r="U15" s="4"/>
      <c r="V15" s="22">
        <f t="shared" ref="V15:V21" si="14">(T15-S15)*24*60</f>
        <v>97.000000000000014</v>
      </c>
      <c r="W15" s="28"/>
      <c r="X15" s="28"/>
      <c r="Y15" s="28"/>
      <c r="Z15" s="28"/>
      <c r="AA15" s="164"/>
      <c r="AB15" s="164"/>
      <c r="AC15" s="25">
        <v>7</v>
      </c>
      <c r="AD15" s="25"/>
      <c r="AE15" s="19">
        <f t="shared" si="7"/>
        <v>-69.896907216495038</v>
      </c>
      <c r="AF15" s="21">
        <f t="shared" si="8"/>
        <v>0.95340206185567</v>
      </c>
      <c r="AG15" s="172">
        <f>AF22</f>
        <v>0.95965761588764376</v>
      </c>
    </row>
    <row r="16" spans="1:33" ht="16.5" customHeight="1">
      <c r="A16" s="199" t="s">
        <v>52</v>
      </c>
      <c r="B16" s="4" t="s">
        <v>89</v>
      </c>
      <c r="C16" s="190" t="s">
        <v>90</v>
      </c>
      <c r="D16" s="190"/>
      <c r="E16" s="37">
        <v>72.400000000000006</v>
      </c>
      <c r="F16" s="4">
        <v>857</v>
      </c>
      <c r="G16" s="4">
        <v>62046.8</v>
      </c>
      <c r="H16" s="22" t="s">
        <v>139</v>
      </c>
      <c r="I16" s="16">
        <v>18</v>
      </c>
      <c r="J16" s="18">
        <v>1500</v>
      </c>
      <c r="K16" s="17">
        <f t="shared" si="0"/>
        <v>83.333333333333329</v>
      </c>
      <c r="L16" s="16">
        <v>18</v>
      </c>
      <c r="M16" s="18">
        <f t="shared" si="13"/>
        <v>1428.3333333333321</v>
      </c>
      <c r="N16" s="17">
        <f t="shared" si="2"/>
        <v>79.351851851851791</v>
      </c>
      <c r="O16" s="19">
        <f t="shared" si="3"/>
        <v>0</v>
      </c>
      <c r="P16" s="20">
        <f t="shared" si="4"/>
        <v>-3.9814814814815378</v>
      </c>
      <c r="Q16" s="21">
        <f t="shared" si="5"/>
        <v>0.95222222222222153</v>
      </c>
      <c r="R16" s="172"/>
      <c r="S16" s="28">
        <v>0.28055555555555556</v>
      </c>
      <c r="T16" s="28">
        <v>0.30555555555555558</v>
      </c>
      <c r="U16" s="4">
        <f t="shared" ref="U16:U21" si="15">IF(S16=TIME(17,0,0),"",(S16-T15)*24*60)</f>
        <v>6.9999999999999751</v>
      </c>
      <c r="V16" s="22">
        <f t="shared" si="14"/>
        <v>36.000000000000028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-71.666666666667879</v>
      </c>
      <c r="AF16" s="21">
        <f t="shared" si="8"/>
        <v>0.95222222222222141</v>
      </c>
      <c r="AG16" s="172"/>
    </row>
    <row r="17" spans="1:33" ht="16.5" customHeight="1">
      <c r="A17" s="199" t="s">
        <v>52</v>
      </c>
      <c r="B17" s="4" t="s">
        <v>78</v>
      </c>
      <c r="C17" s="190" t="s">
        <v>91</v>
      </c>
      <c r="D17" s="190"/>
      <c r="E17" s="37">
        <v>50.98</v>
      </c>
      <c r="F17" s="4">
        <v>1000</v>
      </c>
      <c r="G17" s="4">
        <v>50980</v>
      </c>
      <c r="H17" s="22">
        <v>2</v>
      </c>
      <c r="I17" s="16">
        <v>16</v>
      </c>
      <c r="J17" s="18">
        <v>2000</v>
      </c>
      <c r="K17" s="17">
        <f t="shared" si="0"/>
        <v>125</v>
      </c>
      <c r="L17" s="16">
        <v>16</v>
      </c>
      <c r="M17" s="18">
        <f t="shared" si="13"/>
        <v>1935.483870967739</v>
      </c>
      <c r="N17" s="17">
        <f t="shared" si="2"/>
        <v>120.96774193548369</v>
      </c>
      <c r="O17" s="19">
        <f t="shared" si="3"/>
        <v>0</v>
      </c>
      <c r="P17" s="20">
        <f t="shared" si="4"/>
        <v>-4.0322580645163129</v>
      </c>
      <c r="Q17" s="21">
        <f t="shared" si="5"/>
        <v>0.96774193548386944</v>
      </c>
      <c r="R17" s="172"/>
      <c r="S17" s="28">
        <v>0.70833333333333337</v>
      </c>
      <c r="T17" s="28">
        <v>0.72986111111111118</v>
      </c>
      <c r="U17" s="4" t="str">
        <f t="shared" si="15"/>
        <v/>
      </c>
      <c r="V17" s="22">
        <f t="shared" si="14"/>
        <v>31.00000000000005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-64.516129032261006</v>
      </c>
      <c r="AF17" s="21">
        <f t="shared" si="8"/>
        <v>0.96774193548386944</v>
      </c>
      <c r="AG17" s="172"/>
    </row>
    <row r="18" spans="1:33" ht="16.5" customHeight="1">
      <c r="A18" s="199" t="s">
        <v>52</v>
      </c>
      <c r="B18" s="4" t="s">
        <v>78</v>
      </c>
      <c r="C18" s="190" t="s">
        <v>92</v>
      </c>
      <c r="D18" s="190"/>
      <c r="E18" s="37">
        <v>50.92</v>
      </c>
      <c r="F18" s="4">
        <v>800</v>
      </c>
      <c r="G18" s="4">
        <v>40736</v>
      </c>
      <c r="H18" s="22">
        <v>2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1919.9999999999945</v>
      </c>
      <c r="N18" s="17">
        <f t="shared" si="2"/>
        <v>127.99999999999963</v>
      </c>
      <c r="O18" s="19">
        <f t="shared" si="3"/>
        <v>0</v>
      </c>
      <c r="P18" s="20">
        <f t="shared" si="4"/>
        <v>-5.3333333333337123</v>
      </c>
      <c r="Q18" s="21">
        <f t="shared" si="5"/>
        <v>0.95999999999999719</v>
      </c>
      <c r="R18" s="172"/>
      <c r="S18" s="28">
        <v>0.73472222222222228</v>
      </c>
      <c r="T18" s="28">
        <v>0.75208333333333344</v>
      </c>
      <c r="U18" s="4">
        <f t="shared" si="15"/>
        <v>6.9999999999999751</v>
      </c>
      <c r="V18" s="22">
        <f t="shared" si="14"/>
        <v>25.000000000000071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-80.000000000005457</v>
      </c>
      <c r="AF18" s="21">
        <f t="shared" si="8"/>
        <v>0.9599999999999973</v>
      </c>
      <c r="AG18" s="172"/>
    </row>
    <row r="19" spans="1:33" ht="16.5" customHeight="1">
      <c r="A19" s="199" t="s">
        <v>481</v>
      </c>
      <c r="B19" s="4" t="s">
        <v>78</v>
      </c>
      <c r="C19" s="190" t="s">
        <v>93</v>
      </c>
      <c r="D19" s="190"/>
      <c r="E19" s="37">
        <v>50.67</v>
      </c>
      <c r="F19" s="4">
        <v>1717</v>
      </c>
      <c r="G19" s="4">
        <v>87000.39</v>
      </c>
      <c r="H19" s="22" t="s">
        <v>139</v>
      </c>
      <c r="I19" s="16">
        <v>15</v>
      </c>
      <c r="J19" s="18">
        <v>2000</v>
      </c>
      <c r="K19" s="17">
        <f t="shared" si="0"/>
        <v>133.33333333333334</v>
      </c>
      <c r="L19" s="16">
        <v>15</v>
      </c>
      <c r="M19" s="18">
        <f t="shared" si="13"/>
        <v>1907.7777777777787</v>
      </c>
      <c r="N19" s="17">
        <f t="shared" si="2"/>
        <v>127.18518518518525</v>
      </c>
      <c r="O19" s="19">
        <f t="shared" si="3"/>
        <v>0</v>
      </c>
      <c r="P19" s="20">
        <f t="shared" si="4"/>
        <v>-6.1481481481480955</v>
      </c>
      <c r="Q19" s="21">
        <f t="shared" si="5"/>
        <v>0.95388888888888934</v>
      </c>
      <c r="R19" s="172"/>
      <c r="S19" s="28">
        <v>0.75763888888888897</v>
      </c>
      <c r="T19" s="28">
        <v>0.79513888888888895</v>
      </c>
      <c r="U19" s="4">
        <f t="shared" si="15"/>
        <v>7.9999999999999716</v>
      </c>
      <c r="V19" s="22">
        <f t="shared" si="14"/>
        <v>53.999999999999972</v>
      </c>
      <c r="W19" s="23"/>
      <c r="X19" s="23"/>
      <c r="Y19" s="23"/>
      <c r="Z19" s="23"/>
      <c r="AA19" s="164"/>
      <c r="AB19" s="164"/>
      <c r="AC19" s="25"/>
      <c r="AD19" s="25"/>
      <c r="AE19" s="19">
        <f t="shared" si="7"/>
        <v>-92.222222222221262</v>
      </c>
      <c r="AF19" s="21">
        <f t="shared" si="8"/>
        <v>0.95388888888888934</v>
      </c>
      <c r="AG19" s="172"/>
    </row>
    <row r="20" spans="1:33" ht="16.5" customHeight="1">
      <c r="A20" s="199" t="s">
        <v>481</v>
      </c>
      <c r="B20" s="4" t="s">
        <v>78</v>
      </c>
      <c r="C20" s="217" t="s">
        <v>94</v>
      </c>
      <c r="D20" s="218"/>
      <c r="E20" s="37">
        <v>57.3</v>
      </c>
      <c r="F20" s="4">
        <v>2010</v>
      </c>
      <c r="G20" s="4">
        <v>115173</v>
      </c>
      <c r="H20" s="22" t="s">
        <v>139</v>
      </c>
      <c r="I20" s="16">
        <v>13</v>
      </c>
      <c r="J20" s="18">
        <v>2000</v>
      </c>
      <c r="K20" s="17">
        <f t="shared" si="0"/>
        <v>153.84615384615384</v>
      </c>
      <c r="L20" s="16">
        <v>13</v>
      </c>
      <c r="M20" s="18">
        <f t="shared" si="13"/>
        <v>1914.2857142857163</v>
      </c>
      <c r="N20" s="17">
        <f t="shared" si="2"/>
        <v>147.25274725274741</v>
      </c>
      <c r="O20" s="19">
        <f t="shared" si="3"/>
        <v>0</v>
      </c>
      <c r="P20" s="20">
        <f t="shared" si="4"/>
        <v>-6.5934065934064279</v>
      </c>
      <c r="Q20" s="21">
        <f t="shared" si="5"/>
        <v>0.95714285714285818</v>
      </c>
      <c r="R20" s="172"/>
      <c r="S20" s="28">
        <v>0.80069444444444449</v>
      </c>
      <c r="T20" s="28">
        <v>0.84444444444444444</v>
      </c>
      <c r="U20" s="4">
        <f t="shared" si="15"/>
        <v>7.9999999999999716</v>
      </c>
      <c r="V20" s="22">
        <f t="shared" si="14"/>
        <v>62.999999999999936</v>
      </c>
      <c r="W20" s="23">
        <f>T20</f>
        <v>0.84444444444444444</v>
      </c>
      <c r="X20" s="23">
        <f>S21</f>
        <v>0.88402777777777775</v>
      </c>
      <c r="Y20" s="26"/>
      <c r="Z20" s="26"/>
      <c r="AA20" s="175"/>
      <c r="AB20" s="176"/>
      <c r="AC20" s="25"/>
      <c r="AD20" s="25"/>
      <c r="AE20" s="19">
        <f t="shared" si="7"/>
        <v>-85.714285714283733</v>
      </c>
      <c r="AF20" s="21">
        <f t="shared" si="8"/>
        <v>0.95714285714285818</v>
      </c>
      <c r="AG20" s="172"/>
    </row>
    <row r="21" spans="1:33" ht="16.5" customHeight="1">
      <c r="A21" s="199" t="s">
        <v>52</v>
      </c>
      <c r="B21" s="4" t="s">
        <v>78</v>
      </c>
      <c r="C21" s="39" t="s">
        <v>92</v>
      </c>
      <c r="D21" s="40"/>
      <c r="E21" s="37">
        <v>50.92</v>
      </c>
      <c r="F21" s="4">
        <v>1487</v>
      </c>
      <c r="G21" s="4">
        <v>75718.040000000008</v>
      </c>
      <c r="H21" s="22" t="s">
        <v>139</v>
      </c>
      <c r="I21" s="16">
        <v>15</v>
      </c>
      <c r="J21" s="18">
        <v>2000</v>
      </c>
      <c r="K21" s="17">
        <f t="shared" si="0"/>
        <v>133.33333333333334</v>
      </c>
      <c r="L21" s="16">
        <v>15</v>
      </c>
      <c r="M21" s="18">
        <f t="shared" si="13"/>
        <v>1939.5652173913045</v>
      </c>
      <c r="N21" s="17">
        <f t="shared" si="2"/>
        <v>129.30434782608697</v>
      </c>
      <c r="O21" s="19">
        <f t="shared" si="3"/>
        <v>0</v>
      </c>
      <c r="P21" s="20">
        <f t="shared" si="4"/>
        <v>-4.0289855072463752</v>
      </c>
      <c r="Q21" s="21">
        <f t="shared" si="5"/>
        <v>0.96978260869565214</v>
      </c>
      <c r="R21" s="172"/>
      <c r="S21" s="28">
        <v>0.88402777777777775</v>
      </c>
      <c r="T21" s="28">
        <v>0.91597222222222219</v>
      </c>
      <c r="U21" s="4">
        <f t="shared" si="15"/>
        <v>56.999999999999957</v>
      </c>
      <c r="V21" s="22">
        <f t="shared" si="14"/>
        <v>46</v>
      </c>
      <c r="W21" s="23"/>
      <c r="X21" s="23"/>
      <c r="Y21" s="26"/>
      <c r="Z21" s="26"/>
      <c r="AA21" s="175"/>
      <c r="AB21" s="176"/>
      <c r="AC21" s="25"/>
      <c r="AD21" s="25"/>
      <c r="AE21" s="19">
        <f t="shared" si="7"/>
        <v>-60.434782608695514</v>
      </c>
      <c r="AF21" s="21">
        <f t="shared" si="8"/>
        <v>0.96978260869565225</v>
      </c>
      <c r="AG21" s="172"/>
    </row>
    <row r="22" spans="1:33" ht="16.5" customHeight="1">
      <c r="A22" s="199" t="s">
        <v>481</v>
      </c>
      <c r="B22" s="37" t="s">
        <v>69</v>
      </c>
      <c r="C22" s="177"/>
      <c r="D22" s="177"/>
      <c r="E22" s="38"/>
      <c r="F22" s="17"/>
      <c r="G22" s="17"/>
      <c r="H22" s="4"/>
      <c r="I22" s="30">
        <v>16.857142857142858</v>
      </c>
      <c r="J22" s="18">
        <v>1857.1428571428571</v>
      </c>
      <c r="K22" s="17">
        <f t="shared" si="0"/>
        <v>110.16949152542372</v>
      </c>
      <c r="L22" s="30">
        <v>16.857142857142858</v>
      </c>
      <c r="M22" s="18">
        <f>AVERAGE(M15:M21)</f>
        <v>1782.2212866484813</v>
      </c>
      <c r="N22" s="17">
        <f t="shared" si="2"/>
        <v>105.7249915808421</v>
      </c>
      <c r="O22" s="19">
        <f t="shared" si="3"/>
        <v>0</v>
      </c>
      <c r="P22" s="20">
        <f t="shared" si="4"/>
        <v>-4.4444999445816222</v>
      </c>
      <c r="Q22" s="21">
        <f t="shared" si="5"/>
        <v>0.95965761588764376</v>
      </c>
      <c r="R22" s="172"/>
      <c r="S22" s="28"/>
      <c r="T22" s="28"/>
      <c r="U22" s="4"/>
      <c r="V22" s="22"/>
      <c r="W22" s="17"/>
      <c r="X22" s="17"/>
      <c r="Y22" s="31">
        <f>SUM(Y15:Y21)</f>
        <v>0</v>
      </c>
      <c r="Z22" s="31">
        <f>SUM(Z15:Z21)</f>
        <v>0</v>
      </c>
      <c r="AA22" s="168"/>
      <c r="AB22" s="168"/>
      <c r="AC22" s="31">
        <v>7</v>
      </c>
      <c r="AD22" s="31">
        <f>SUM(AD15:AD21)</f>
        <v>0</v>
      </c>
      <c r="AE22" s="19">
        <f t="shared" si="7"/>
        <v>-74.921570494375828</v>
      </c>
      <c r="AF22" s="21">
        <f t="shared" si="8"/>
        <v>0.95965761588764376</v>
      </c>
      <c r="AG22" s="172"/>
    </row>
    <row r="23" spans="1:33" ht="15.75" customHeight="1">
      <c r="A23" s="194" t="s">
        <v>395</v>
      </c>
      <c r="B23" s="37" t="s">
        <v>78</v>
      </c>
      <c r="C23" s="190" t="s">
        <v>95</v>
      </c>
      <c r="D23" s="190"/>
      <c r="E23" s="37">
        <v>57.73</v>
      </c>
      <c r="F23" s="4">
        <v>2391</v>
      </c>
      <c r="G23" s="4">
        <v>138032.43</v>
      </c>
      <c r="H23" s="22" t="s">
        <v>139</v>
      </c>
      <c r="I23" s="16">
        <v>14</v>
      </c>
      <c r="J23" s="18">
        <v>2000</v>
      </c>
      <c r="K23" s="17">
        <f t="shared" si="0"/>
        <v>142.85714285714286</v>
      </c>
      <c r="L23" s="16">
        <v>14</v>
      </c>
      <c r="M23" s="18">
        <f t="shared" ref="M23:M28" si="16">F23/V23*60</f>
        <v>1912.7999999999997</v>
      </c>
      <c r="N23" s="17">
        <f t="shared" si="2"/>
        <v>136.62857142857141</v>
      </c>
      <c r="O23" s="19">
        <f t="shared" si="3"/>
        <v>0</v>
      </c>
      <c r="P23" s="20">
        <f t="shared" si="4"/>
        <v>-6.2285714285714562</v>
      </c>
      <c r="Q23" s="21">
        <f t="shared" si="5"/>
        <v>0.95639999999999981</v>
      </c>
      <c r="R23" s="172">
        <f>Q29</f>
        <v>0.9595399209486164</v>
      </c>
      <c r="S23" s="28">
        <v>0.20833333333333334</v>
      </c>
      <c r="T23" s="28">
        <v>0.26041666666666669</v>
      </c>
      <c r="U23" s="4"/>
      <c r="V23" s="22">
        <f t="shared" ref="V23:V28" si="17">(T23-S23)*24*60</f>
        <v>75.000000000000014</v>
      </c>
      <c r="W23" s="28"/>
      <c r="X23" s="28"/>
      <c r="Y23" s="28"/>
      <c r="Z23" s="28"/>
      <c r="AA23" s="164"/>
      <c r="AB23" s="164"/>
      <c r="AC23" s="25">
        <v>6</v>
      </c>
      <c r="AD23" s="25"/>
      <c r="AE23" s="19">
        <f t="shared" si="7"/>
        <v>-87.200000000000273</v>
      </c>
      <c r="AF23" s="21">
        <f t="shared" si="8"/>
        <v>0.95639999999999992</v>
      </c>
      <c r="AG23" s="172">
        <f>AF29</f>
        <v>0.9595399209486164</v>
      </c>
    </row>
    <row r="24" spans="1:33" ht="15.75" customHeight="1">
      <c r="A24" s="195" t="s">
        <v>395</v>
      </c>
      <c r="B24" s="37" t="s">
        <v>78</v>
      </c>
      <c r="C24" s="190" t="s">
        <v>96</v>
      </c>
      <c r="D24" s="190"/>
      <c r="E24" s="37">
        <v>53.68</v>
      </c>
      <c r="F24" s="4">
        <v>1532</v>
      </c>
      <c r="G24" s="4">
        <v>82237.759999999995</v>
      </c>
      <c r="H24" s="22" t="s">
        <v>139</v>
      </c>
      <c r="I24" s="16">
        <v>16</v>
      </c>
      <c r="J24" s="18">
        <v>2000</v>
      </c>
      <c r="K24" s="17">
        <f t="shared" si="0"/>
        <v>125</v>
      </c>
      <c r="L24" s="16">
        <v>16</v>
      </c>
      <c r="M24" s="18">
        <f t="shared" si="16"/>
        <v>1915.0000000000005</v>
      </c>
      <c r="N24" s="17">
        <f t="shared" si="2"/>
        <v>119.68750000000003</v>
      </c>
      <c r="O24" s="19">
        <f t="shared" si="3"/>
        <v>0</v>
      </c>
      <c r="P24" s="20">
        <f t="shared" si="4"/>
        <v>-5.3124999999999716</v>
      </c>
      <c r="Q24" s="21">
        <f t="shared" si="5"/>
        <v>0.95750000000000024</v>
      </c>
      <c r="R24" s="172"/>
      <c r="S24" s="28">
        <v>0.26597222222222222</v>
      </c>
      <c r="T24" s="28">
        <v>0.29930555555555555</v>
      </c>
      <c r="U24" s="4">
        <f t="shared" ref="U24:U28" si="18">IF(S24=TIME(17,0,0),"",(S24-T23)*24*60)</f>
        <v>7.9999999999999716</v>
      </c>
      <c r="V24" s="22">
        <f t="shared" si="17"/>
        <v>47.999999999999986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-84.999999999999545</v>
      </c>
      <c r="AF24" s="21">
        <f t="shared" si="8"/>
        <v>0.95750000000000024</v>
      </c>
      <c r="AG24" s="172"/>
    </row>
    <row r="25" spans="1:33" ht="15.75" customHeight="1">
      <c r="A25" s="195" t="s">
        <v>482</v>
      </c>
      <c r="B25" s="37" t="s">
        <v>78</v>
      </c>
      <c r="C25" s="190" t="s">
        <v>97</v>
      </c>
      <c r="D25" s="190"/>
      <c r="E25" s="37">
        <v>50.49</v>
      </c>
      <c r="F25" s="4">
        <v>2102</v>
      </c>
      <c r="G25" s="4">
        <v>106129.98000000001</v>
      </c>
      <c r="H25" s="22" t="s">
        <v>139</v>
      </c>
      <c r="I25" s="16">
        <v>15</v>
      </c>
      <c r="J25" s="18">
        <v>2000</v>
      </c>
      <c r="K25" s="17">
        <f t="shared" si="0"/>
        <v>133.33333333333334</v>
      </c>
      <c r="L25" s="16">
        <v>15</v>
      </c>
      <c r="M25" s="18">
        <f t="shared" si="16"/>
        <v>1910.909090909093</v>
      </c>
      <c r="N25" s="17">
        <f t="shared" si="2"/>
        <v>127.39393939393953</v>
      </c>
      <c r="O25" s="19">
        <f t="shared" si="3"/>
        <v>0</v>
      </c>
      <c r="P25" s="20">
        <f t="shared" si="4"/>
        <v>-5.9393939393938098</v>
      </c>
      <c r="Q25" s="21">
        <f t="shared" si="5"/>
        <v>0.95545454545454644</v>
      </c>
      <c r="R25" s="172"/>
      <c r="S25" s="28">
        <v>0.70833333333333337</v>
      </c>
      <c r="T25" s="28">
        <v>0.75416666666666665</v>
      </c>
      <c r="U25" s="4" t="str">
        <f t="shared" si="18"/>
        <v/>
      </c>
      <c r="V25" s="22">
        <f t="shared" si="17"/>
        <v>65.999999999999929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-89.090909090906962</v>
      </c>
      <c r="AF25" s="21">
        <f t="shared" si="8"/>
        <v>0.95545454545454656</v>
      </c>
      <c r="AG25" s="172"/>
    </row>
    <row r="26" spans="1:33" ht="15.75" customHeight="1">
      <c r="A26" s="195" t="s">
        <v>482</v>
      </c>
      <c r="B26" s="37" t="s">
        <v>78</v>
      </c>
      <c r="C26" s="190" t="s">
        <v>98</v>
      </c>
      <c r="D26" s="190"/>
      <c r="E26" s="37">
        <v>50.67</v>
      </c>
      <c r="F26" s="4">
        <v>1136</v>
      </c>
      <c r="G26" s="4">
        <v>57561.120000000003</v>
      </c>
      <c r="H26" s="22" t="s">
        <v>139</v>
      </c>
      <c r="I26" s="16">
        <v>16</v>
      </c>
      <c r="J26" s="18">
        <v>2000</v>
      </c>
      <c r="K26" s="17">
        <f t="shared" si="0"/>
        <v>125</v>
      </c>
      <c r="L26" s="16">
        <v>16</v>
      </c>
      <c r="M26" s="18">
        <f t="shared" si="16"/>
        <v>1947.4285714285697</v>
      </c>
      <c r="N26" s="17">
        <f t="shared" si="2"/>
        <v>121.71428571428561</v>
      </c>
      <c r="O26" s="19">
        <f t="shared" si="3"/>
        <v>0</v>
      </c>
      <c r="P26" s="20">
        <f t="shared" si="4"/>
        <v>-3.2857142857143913</v>
      </c>
      <c r="Q26" s="21">
        <f t="shared" si="5"/>
        <v>0.97371428571428487</v>
      </c>
      <c r="R26" s="172"/>
      <c r="S26" s="28">
        <v>0.75972222222222219</v>
      </c>
      <c r="T26" s="28">
        <v>0.78402777777777777</v>
      </c>
      <c r="U26" s="4">
        <f t="shared" si="18"/>
        <v>7.9999999999999716</v>
      </c>
      <c r="V26" s="22">
        <f t="shared" si="17"/>
        <v>35.000000000000036</v>
      </c>
      <c r="W26" s="23"/>
      <c r="X26" s="4"/>
      <c r="Y26" s="4"/>
      <c r="Z26" s="4"/>
      <c r="AA26" s="164"/>
      <c r="AB26" s="164"/>
      <c r="AC26" s="25"/>
      <c r="AD26" s="25"/>
      <c r="AE26" s="19">
        <f t="shared" si="7"/>
        <v>-52.57142857143026</v>
      </c>
      <c r="AF26" s="21">
        <f t="shared" si="8"/>
        <v>0.97371428571428487</v>
      </c>
      <c r="AG26" s="172"/>
    </row>
    <row r="27" spans="1:33" ht="15.75" customHeight="1">
      <c r="A27" s="195" t="s">
        <v>482</v>
      </c>
      <c r="B27" s="37" t="s">
        <v>78</v>
      </c>
      <c r="C27" s="190" t="s">
        <v>99</v>
      </c>
      <c r="D27" s="190"/>
      <c r="E27" s="37">
        <v>53.68</v>
      </c>
      <c r="F27" s="4">
        <v>2002</v>
      </c>
      <c r="G27" s="4">
        <v>107467.36</v>
      </c>
      <c r="H27" s="22" t="s">
        <v>139</v>
      </c>
      <c r="I27" s="16">
        <v>16</v>
      </c>
      <c r="J27" s="18">
        <v>1500</v>
      </c>
      <c r="K27" s="17">
        <f t="shared" si="0"/>
        <v>93.75</v>
      </c>
      <c r="L27" s="16">
        <v>16</v>
      </c>
      <c r="M27" s="18">
        <f t="shared" si="16"/>
        <v>1429.9999999999995</v>
      </c>
      <c r="N27" s="17">
        <f t="shared" si="2"/>
        <v>89.374999999999972</v>
      </c>
      <c r="O27" s="19">
        <f t="shared" si="3"/>
        <v>0</v>
      </c>
      <c r="P27" s="20">
        <f t="shared" si="4"/>
        <v>-4.3750000000000284</v>
      </c>
      <c r="Q27" s="21">
        <f t="shared" si="5"/>
        <v>0.95333333333333303</v>
      </c>
      <c r="R27" s="172"/>
      <c r="S27" s="28">
        <v>0.78749999999999998</v>
      </c>
      <c r="T27" s="28">
        <v>0.84583333333333333</v>
      </c>
      <c r="U27" s="4">
        <f t="shared" si="18"/>
        <v>4.9999999999999822</v>
      </c>
      <c r="V27" s="22">
        <f t="shared" si="17"/>
        <v>84.000000000000028</v>
      </c>
      <c r="W27" s="23">
        <f>T27</f>
        <v>0.84583333333333333</v>
      </c>
      <c r="X27" s="23">
        <f>S28</f>
        <v>0.88611111111111107</v>
      </c>
      <c r="Y27" s="4"/>
      <c r="Z27" s="4"/>
      <c r="AA27" s="164"/>
      <c r="AB27" s="164"/>
      <c r="AC27" s="25"/>
      <c r="AD27" s="25"/>
      <c r="AE27" s="19">
        <f t="shared" si="7"/>
        <v>-70.000000000000455</v>
      </c>
      <c r="AF27" s="21">
        <f t="shared" si="8"/>
        <v>0.95333333333333303</v>
      </c>
      <c r="AG27" s="172"/>
    </row>
    <row r="28" spans="1:33" ht="15.75" customHeight="1">
      <c r="A28" s="195" t="s">
        <v>395</v>
      </c>
      <c r="B28" s="37" t="s">
        <v>78</v>
      </c>
      <c r="C28" s="190" t="s">
        <v>91</v>
      </c>
      <c r="D28" s="190"/>
      <c r="E28" s="37">
        <v>50.98</v>
      </c>
      <c r="F28" s="4">
        <v>1343</v>
      </c>
      <c r="G28" s="4">
        <v>68466.14</v>
      </c>
      <c r="H28" s="22" t="s">
        <v>139</v>
      </c>
      <c r="I28" s="16">
        <v>16</v>
      </c>
      <c r="J28" s="18">
        <v>2000</v>
      </c>
      <c r="K28" s="17">
        <f t="shared" si="0"/>
        <v>125</v>
      </c>
      <c r="L28" s="16">
        <v>16</v>
      </c>
      <c r="M28" s="18">
        <f t="shared" si="16"/>
        <v>1918.5714285714278</v>
      </c>
      <c r="N28" s="17">
        <f t="shared" si="2"/>
        <v>119.91071428571423</v>
      </c>
      <c r="O28" s="19">
        <f t="shared" si="3"/>
        <v>0</v>
      </c>
      <c r="P28" s="20">
        <f t="shared" si="4"/>
        <v>-5.089285714285765</v>
      </c>
      <c r="Q28" s="21">
        <f t="shared" si="5"/>
        <v>0.95928571428571385</v>
      </c>
      <c r="R28" s="172"/>
      <c r="S28" s="28">
        <v>0.88611111111111107</v>
      </c>
      <c r="T28" s="28">
        <v>0.91527777777777775</v>
      </c>
      <c r="U28" s="4">
        <f t="shared" si="18"/>
        <v>57.999999999999957</v>
      </c>
      <c r="V28" s="22">
        <f t="shared" si="17"/>
        <v>42.000000000000014</v>
      </c>
      <c r="W28" s="23"/>
      <c r="X28" s="28"/>
      <c r="Y28" s="28"/>
      <c r="Z28" s="28"/>
      <c r="AA28" s="164"/>
      <c r="AB28" s="164"/>
      <c r="AC28" s="25"/>
      <c r="AD28" s="25"/>
      <c r="AE28" s="19">
        <f t="shared" si="7"/>
        <v>-81.428571428572241</v>
      </c>
      <c r="AF28" s="21">
        <f t="shared" si="8"/>
        <v>0.95928571428571385</v>
      </c>
      <c r="AG28" s="172"/>
    </row>
    <row r="29" spans="1:33" ht="15.75" customHeight="1">
      <c r="A29" s="195" t="s">
        <v>395</v>
      </c>
      <c r="B29" s="37" t="s">
        <v>69</v>
      </c>
      <c r="C29" s="177"/>
      <c r="D29" s="177"/>
      <c r="E29" s="38"/>
      <c r="F29" s="4"/>
      <c r="G29" s="4"/>
      <c r="H29" s="4"/>
      <c r="I29" s="30">
        <v>15.5</v>
      </c>
      <c r="J29" s="18">
        <v>1916.6666666666667</v>
      </c>
      <c r="K29" s="17">
        <f t="shared" si="0"/>
        <v>123.65591397849462</v>
      </c>
      <c r="L29" s="30">
        <v>15.5</v>
      </c>
      <c r="M29" s="18">
        <f>AVERAGE(M23:M28)</f>
        <v>1839.1181818181815</v>
      </c>
      <c r="N29" s="17">
        <f t="shared" si="2"/>
        <v>118.65278592375364</v>
      </c>
      <c r="O29" s="19">
        <f t="shared" si="3"/>
        <v>0</v>
      </c>
      <c r="P29" s="20">
        <f t="shared" si="4"/>
        <v>-5.0031280547409835</v>
      </c>
      <c r="Q29" s="21">
        <f t="shared" si="5"/>
        <v>0.9595399209486164</v>
      </c>
      <c r="R29" s="172"/>
      <c r="S29" s="28"/>
      <c r="T29" s="28"/>
      <c r="U29" s="17"/>
      <c r="V29" s="22"/>
      <c r="W29" s="17"/>
      <c r="X29" s="17"/>
      <c r="Y29" s="31">
        <f>SUM(Y23:Y28)</f>
        <v>0</v>
      </c>
      <c r="Z29" s="31">
        <f>SUM(Z23:Z28)</f>
        <v>0</v>
      </c>
      <c r="AA29" s="168"/>
      <c r="AB29" s="168"/>
      <c r="AC29" s="31">
        <v>6</v>
      </c>
      <c r="AD29" s="31">
        <f>SUM(AD23:AD28)</f>
        <v>0</v>
      </c>
      <c r="AE29" s="19">
        <f t="shared" si="7"/>
        <v>-77.548484848485259</v>
      </c>
      <c r="AF29" s="21">
        <f t="shared" si="8"/>
        <v>0.9595399209486164</v>
      </c>
      <c r="AG29" s="172"/>
    </row>
    <row r="30" spans="1:33" ht="15.75" customHeight="1">
      <c r="A30" s="193" t="s">
        <v>62</v>
      </c>
      <c r="B30" s="37" t="s">
        <v>100</v>
      </c>
      <c r="C30" s="190" t="s">
        <v>101</v>
      </c>
      <c r="D30" s="190"/>
      <c r="E30" s="37">
        <v>31.29</v>
      </c>
      <c r="F30" s="4">
        <v>7929</v>
      </c>
      <c r="G30" s="4">
        <v>248098.41</v>
      </c>
      <c r="H30" s="22" t="s">
        <v>139</v>
      </c>
      <c r="I30" s="16">
        <v>18</v>
      </c>
      <c r="J30" s="18">
        <v>2400</v>
      </c>
      <c r="K30" s="17">
        <f t="shared" si="0"/>
        <v>133.33333333333334</v>
      </c>
      <c r="L30" s="16">
        <v>18</v>
      </c>
      <c r="M30" s="18">
        <f t="shared" ref="M30:M35" si="19">F30/V30*60</f>
        <v>2287.2115384615381</v>
      </c>
      <c r="N30" s="17">
        <f t="shared" si="2"/>
        <v>127.06730769230768</v>
      </c>
      <c r="O30" s="19">
        <f t="shared" si="3"/>
        <v>0</v>
      </c>
      <c r="P30" s="20">
        <f t="shared" si="4"/>
        <v>-6.2660256410256636</v>
      </c>
      <c r="Q30" s="21">
        <f t="shared" si="5"/>
        <v>0.95300480769230755</v>
      </c>
      <c r="R30" s="172">
        <f>Q36</f>
        <v>0.95753729175236546</v>
      </c>
      <c r="S30" s="28">
        <v>8.3333333333333329E-2</v>
      </c>
      <c r="T30" s="28">
        <v>0.2277777777777778</v>
      </c>
      <c r="U30" s="4"/>
      <c r="V30" s="22">
        <f t="shared" ref="V30:V35" si="20">(T30-S30)*24*60</f>
        <v>208.00000000000006</v>
      </c>
      <c r="W30" s="23">
        <f>T30</f>
        <v>0.2277777777777778</v>
      </c>
      <c r="X30" s="23">
        <f>S31</f>
        <v>0.24861111111111114</v>
      </c>
      <c r="Y30" s="23"/>
      <c r="Z30" s="23"/>
      <c r="AA30" s="164"/>
      <c r="AB30" s="164"/>
      <c r="AC30" s="25">
        <v>6</v>
      </c>
      <c r="AD30" s="25"/>
      <c r="AE30" s="19">
        <f t="shared" si="7"/>
        <v>-112.78846153846189</v>
      </c>
      <c r="AF30" s="21">
        <f t="shared" si="8"/>
        <v>0.95300480769230755</v>
      </c>
      <c r="AG30" s="172">
        <f>AF36</f>
        <v>0.95753729175236557</v>
      </c>
    </row>
    <row r="31" spans="1:33" ht="15.75" customHeight="1">
      <c r="A31" s="193" t="s">
        <v>62</v>
      </c>
      <c r="B31" s="37" t="s">
        <v>100</v>
      </c>
      <c r="C31" s="190" t="s">
        <v>102</v>
      </c>
      <c r="D31" s="190"/>
      <c r="E31" s="37">
        <v>26.2</v>
      </c>
      <c r="F31" s="4">
        <v>2500</v>
      </c>
      <c r="G31" s="4">
        <v>65500</v>
      </c>
      <c r="H31" s="22">
        <v>2</v>
      </c>
      <c r="I31" s="16">
        <v>20</v>
      </c>
      <c r="J31" s="18">
        <v>2400</v>
      </c>
      <c r="K31" s="17">
        <f t="shared" si="0"/>
        <v>120</v>
      </c>
      <c r="L31" s="16">
        <v>20</v>
      </c>
      <c r="M31" s="18">
        <f t="shared" si="19"/>
        <v>2307.692307692309</v>
      </c>
      <c r="N31" s="17">
        <f t="shared" si="2"/>
        <v>115.38461538461544</v>
      </c>
      <c r="O31" s="19">
        <f t="shared" si="3"/>
        <v>0</v>
      </c>
      <c r="P31" s="20">
        <f t="shared" si="4"/>
        <v>-4.6153846153845564</v>
      </c>
      <c r="Q31" s="21">
        <f t="shared" si="5"/>
        <v>0.96153846153846201</v>
      </c>
      <c r="R31" s="172"/>
      <c r="S31" s="28">
        <v>0.24861111111111114</v>
      </c>
      <c r="T31" s="28">
        <v>0.29375000000000001</v>
      </c>
      <c r="U31" s="4">
        <f t="shared" ref="U31:U35" si="21">(S31-T30)*24*60</f>
        <v>30.000000000000014</v>
      </c>
      <c r="V31" s="22">
        <f t="shared" si="20"/>
        <v>64.999999999999972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-92.307692307691013</v>
      </c>
      <c r="AF31" s="21">
        <f t="shared" si="8"/>
        <v>0.96153846153846212</v>
      </c>
      <c r="AG31" s="172"/>
    </row>
    <row r="32" spans="1:33" ht="15.75" customHeight="1">
      <c r="A32" s="193" t="s">
        <v>62</v>
      </c>
      <c r="B32" s="37" t="s">
        <v>100</v>
      </c>
      <c r="C32" s="190" t="s">
        <v>103</v>
      </c>
      <c r="D32" s="190"/>
      <c r="E32" s="37">
        <v>25.99</v>
      </c>
      <c r="F32" s="4">
        <v>3783</v>
      </c>
      <c r="G32" s="4">
        <v>98320.17</v>
      </c>
      <c r="H32" s="22" t="s">
        <v>139</v>
      </c>
      <c r="I32" s="16">
        <v>14</v>
      </c>
      <c r="J32" s="18">
        <v>2400</v>
      </c>
      <c r="K32" s="17">
        <f t="shared" si="0"/>
        <v>171.42857142857142</v>
      </c>
      <c r="L32" s="16">
        <v>14</v>
      </c>
      <c r="M32" s="18">
        <f t="shared" si="19"/>
        <v>2292.7272727272734</v>
      </c>
      <c r="N32" s="17">
        <f t="shared" si="2"/>
        <v>163.76623376623382</v>
      </c>
      <c r="O32" s="19">
        <f t="shared" si="3"/>
        <v>0</v>
      </c>
      <c r="P32" s="20">
        <f t="shared" si="4"/>
        <v>-7.6623376623375918</v>
      </c>
      <c r="Q32" s="21">
        <f t="shared" si="5"/>
        <v>0.95530303030303076</v>
      </c>
      <c r="R32" s="172"/>
      <c r="S32" s="28">
        <v>0.2986111111111111</v>
      </c>
      <c r="T32" s="28">
        <v>0.36736111111111108</v>
      </c>
      <c r="U32" s="4">
        <f t="shared" si="21"/>
        <v>6.9999999999999751</v>
      </c>
      <c r="V32" s="22">
        <f t="shared" si="20"/>
        <v>98.999999999999972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-107.27272727272657</v>
      </c>
      <c r="AF32" s="21">
        <f t="shared" si="8"/>
        <v>0.95530303030303054</v>
      </c>
      <c r="AG32" s="172"/>
    </row>
    <row r="33" spans="1:33" ht="15.75" customHeight="1">
      <c r="A33" s="193" t="s">
        <v>62</v>
      </c>
      <c r="B33" s="37" t="s">
        <v>100</v>
      </c>
      <c r="C33" s="190" t="s">
        <v>104</v>
      </c>
      <c r="D33" s="190"/>
      <c r="E33" s="37">
        <v>20.52</v>
      </c>
      <c r="F33" s="4">
        <v>3811</v>
      </c>
      <c r="G33" s="4">
        <v>78201.72</v>
      </c>
      <c r="H33" s="22" t="s">
        <v>139</v>
      </c>
      <c r="I33" s="16">
        <v>18</v>
      </c>
      <c r="J33" s="18">
        <v>2400</v>
      </c>
      <c r="K33" s="17">
        <f t="shared" si="0"/>
        <v>133.33333333333334</v>
      </c>
      <c r="L33" s="16">
        <v>18</v>
      </c>
      <c r="M33" s="18">
        <f t="shared" si="19"/>
        <v>2286.599999999999</v>
      </c>
      <c r="N33" s="17">
        <f t="shared" si="2"/>
        <v>127.03333333333327</v>
      </c>
      <c r="O33" s="19">
        <f t="shared" si="3"/>
        <v>0</v>
      </c>
      <c r="P33" s="20">
        <f t="shared" si="4"/>
        <v>-6.3000000000000682</v>
      </c>
      <c r="Q33" s="21">
        <f t="shared" si="5"/>
        <v>0.95274999999999954</v>
      </c>
      <c r="R33" s="172"/>
      <c r="S33" s="28">
        <v>0.37291666666666662</v>
      </c>
      <c r="T33" s="28">
        <v>0.44236111111111109</v>
      </c>
      <c r="U33" s="4">
        <f t="shared" si="21"/>
        <v>7.9999999999999716</v>
      </c>
      <c r="V33" s="22">
        <f t="shared" si="20"/>
        <v>100.00000000000004</v>
      </c>
      <c r="W33" s="23"/>
      <c r="X33" s="23"/>
      <c r="Y33" s="23"/>
      <c r="Z33" s="23"/>
      <c r="AA33" s="164"/>
      <c r="AB33" s="164"/>
      <c r="AC33" s="25"/>
      <c r="AD33" s="25"/>
      <c r="AE33" s="19">
        <f t="shared" si="7"/>
        <v>-113.400000000001</v>
      </c>
      <c r="AF33" s="21">
        <f t="shared" si="8"/>
        <v>0.95274999999999954</v>
      </c>
      <c r="AG33" s="172"/>
    </row>
    <row r="34" spans="1:33" ht="15.75" customHeight="1">
      <c r="A34" s="193" t="s">
        <v>483</v>
      </c>
      <c r="B34" s="37" t="s">
        <v>100</v>
      </c>
      <c r="C34" s="190" t="s">
        <v>105</v>
      </c>
      <c r="D34" s="190"/>
      <c r="E34" s="37">
        <v>25.98</v>
      </c>
      <c r="F34" s="4">
        <v>2862</v>
      </c>
      <c r="G34" s="4">
        <v>74354.759999999995</v>
      </c>
      <c r="H34" s="22" t="s">
        <v>139</v>
      </c>
      <c r="I34" s="16">
        <v>21</v>
      </c>
      <c r="J34" s="18">
        <v>2400</v>
      </c>
      <c r="K34" s="17">
        <f t="shared" si="0"/>
        <v>114.28571428571429</v>
      </c>
      <c r="L34" s="16">
        <v>21</v>
      </c>
      <c r="M34" s="18">
        <f t="shared" si="19"/>
        <v>2289.6000000000013</v>
      </c>
      <c r="N34" s="17">
        <f t="shared" si="2"/>
        <v>109.0285714285715</v>
      </c>
      <c r="O34" s="19">
        <f t="shared" si="3"/>
        <v>0</v>
      </c>
      <c r="P34" s="20">
        <f t="shared" si="4"/>
        <v>-5.2571428571427958</v>
      </c>
      <c r="Q34" s="21">
        <f t="shared" si="5"/>
        <v>0.95400000000000051</v>
      </c>
      <c r="R34" s="172"/>
      <c r="S34" s="28">
        <v>0.44722222222222219</v>
      </c>
      <c r="T34" s="28">
        <v>0.4993055555555555</v>
      </c>
      <c r="U34" s="4">
        <f t="shared" si="21"/>
        <v>6.9999999999999751</v>
      </c>
      <c r="V34" s="22">
        <f t="shared" si="20"/>
        <v>74.999999999999972</v>
      </c>
      <c r="W34" s="23">
        <f>T34</f>
        <v>0.4993055555555555</v>
      </c>
      <c r="X34" s="23">
        <f>S35</f>
        <v>0.53888888888888886</v>
      </c>
      <c r="Y34" s="23"/>
      <c r="Z34" s="23"/>
      <c r="AA34" s="164"/>
      <c r="AB34" s="164"/>
      <c r="AC34" s="25"/>
      <c r="AD34" s="25"/>
      <c r="AE34" s="19">
        <f t="shared" si="7"/>
        <v>-110.39999999999873</v>
      </c>
      <c r="AF34" s="21">
        <f t="shared" si="8"/>
        <v>0.95400000000000051</v>
      </c>
      <c r="AG34" s="172"/>
    </row>
    <row r="35" spans="1:33" ht="15.75" customHeight="1">
      <c r="A35" s="193" t="s">
        <v>483</v>
      </c>
      <c r="B35" s="37" t="s">
        <v>100</v>
      </c>
      <c r="C35" s="190" t="s">
        <v>102</v>
      </c>
      <c r="D35" s="190"/>
      <c r="E35" s="37">
        <v>26.2</v>
      </c>
      <c r="F35" s="4">
        <v>1976</v>
      </c>
      <c r="G35" s="4">
        <v>51771.199999999997</v>
      </c>
      <c r="H35" s="22" t="s">
        <v>139</v>
      </c>
      <c r="I35" s="16">
        <v>20</v>
      </c>
      <c r="J35" s="18">
        <v>2400</v>
      </c>
      <c r="K35" s="17">
        <f t="shared" si="0"/>
        <v>120</v>
      </c>
      <c r="L35" s="16">
        <v>20</v>
      </c>
      <c r="M35" s="18">
        <f t="shared" si="19"/>
        <v>2324.7058823529424</v>
      </c>
      <c r="N35" s="17">
        <f t="shared" si="2"/>
        <v>116.23529411764711</v>
      </c>
      <c r="O35" s="19">
        <f t="shared" si="3"/>
        <v>0</v>
      </c>
      <c r="P35" s="20">
        <f t="shared" si="4"/>
        <v>-3.7647058823528852</v>
      </c>
      <c r="Q35" s="21">
        <f t="shared" si="5"/>
        <v>0.9686274509803926</v>
      </c>
      <c r="R35" s="172"/>
      <c r="S35" s="28">
        <v>0.53888888888888886</v>
      </c>
      <c r="T35" s="28">
        <v>0.57430555555555551</v>
      </c>
      <c r="U35" s="4">
        <f t="shared" si="21"/>
        <v>57.000000000000036</v>
      </c>
      <c r="V35" s="22">
        <f t="shared" si="20"/>
        <v>50.999999999999979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7"/>
        <v>-75.294117647057647</v>
      </c>
      <c r="AF35" s="21">
        <f t="shared" si="8"/>
        <v>0.9686274509803926</v>
      </c>
      <c r="AG35" s="172"/>
    </row>
    <row r="36" spans="1:33" ht="15.75" customHeight="1">
      <c r="A36" s="193" t="s">
        <v>483</v>
      </c>
      <c r="B36" s="37" t="s">
        <v>69</v>
      </c>
      <c r="C36" s="177"/>
      <c r="D36" s="177"/>
      <c r="E36" s="38"/>
      <c r="F36" s="4"/>
      <c r="G36" s="4"/>
      <c r="H36" s="4"/>
      <c r="I36" s="30">
        <v>18.5</v>
      </c>
      <c r="J36" s="18">
        <v>2400</v>
      </c>
      <c r="K36" s="17">
        <f t="shared" si="0"/>
        <v>129.72972972972974</v>
      </c>
      <c r="L36" s="30">
        <v>18.5</v>
      </c>
      <c r="M36" s="18">
        <f>AVERAGE(M30:M35)</f>
        <v>2298.0895002056773</v>
      </c>
      <c r="N36" s="17">
        <f t="shared" si="2"/>
        <v>124.22105406517174</v>
      </c>
      <c r="O36" s="19">
        <f t="shared" si="3"/>
        <v>0</v>
      </c>
      <c r="P36" s="20">
        <f t="shared" si="4"/>
        <v>-5.5086756645579982</v>
      </c>
      <c r="Q36" s="21">
        <f t="shared" si="5"/>
        <v>0.95753729175236546</v>
      </c>
      <c r="R36" s="172"/>
      <c r="S36" s="28"/>
      <c r="T36" s="28"/>
      <c r="U36" s="4"/>
      <c r="V36" s="22"/>
      <c r="W36" s="4"/>
      <c r="X36" s="4"/>
      <c r="Y36" s="31">
        <f>SUM(Y30:Y35)</f>
        <v>0</v>
      </c>
      <c r="Z36" s="31">
        <f>SUM(Z30:Z35)</f>
        <v>0</v>
      </c>
      <c r="AA36" s="168"/>
      <c r="AB36" s="168"/>
      <c r="AC36" s="31">
        <v>6</v>
      </c>
      <c r="AD36" s="31">
        <f>SUM(AD30:AD35)</f>
        <v>0</v>
      </c>
      <c r="AE36" s="19">
        <f t="shared" si="7"/>
        <v>-101.91049979432273</v>
      </c>
      <c r="AF36" s="21">
        <f t="shared" si="8"/>
        <v>0.95753729175236557</v>
      </c>
      <c r="AG36" s="172"/>
    </row>
    <row r="37" spans="1:33" ht="15.75" customHeight="1">
      <c r="A37" s="191" t="s">
        <v>484</v>
      </c>
      <c r="B37" s="37" t="s">
        <v>100</v>
      </c>
      <c r="C37" s="165" t="s">
        <v>106</v>
      </c>
      <c r="D37" s="165"/>
      <c r="E37" s="37">
        <v>26.2</v>
      </c>
      <c r="F37" s="4">
        <v>5757</v>
      </c>
      <c r="G37" s="4">
        <v>150833.4</v>
      </c>
      <c r="H37" s="22" t="s">
        <v>139</v>
      </c>
      <c r="I37" s="16">
        <v>18</v>
      </c>
      <c r="J37" s="18">
        <v>2400</v>
      </c>
      <c r="K37" s="17">
        <f t="shared" si="0"/>
        <v>133.33333333333334</v>
      </c>
      <c r="L37" s="16">
        <v>18</v>
      </c>
      <c r="M37" s="18">
        <f t="shared" ref="M37:M41" si="22">F37/V37*60</f>
        <v>2287.5496688741723</v>
      </c>
      <c r="N37" s="17">
        <f t="shared" si="2"/>
        <v>127.0860927152318</v>
      </c>
      <c r="O37" s="19">
        <f t="shared" si="3"/>
        <v>0</v>
      </c>
      <c r="P37" s="20">
        <f t="shared" si="4"/>
        <v>-6.247240618101543</v>
      </c>
      <c r="Q37" s="21">
        <f t="shared" si="5"/>
        <v>0.95314569536423843</v>
      </c>
      <c r="R37" s="172">
        <f>Q42</f>
        <v>0.95679617241080217</v>
      </c>
      <c r="S37" s="28">
        <v>8.3333333333333329E-2</v>
      </c>
      <c r="T37" s="28">
        <v>0.18819444444444444</v>
      </c>
      <c r="U37" s="4"/>
      <c r="V37" s="22">
        <f t="shared" ref="V37:V41" si="23">(T37-S37)*24*60</f>
        <v>151</v>
      </c>
      <c r="W37" s="28">
        <f>T37</f>
        <v>0.18819444444444444</v>
      </c>
      <c r="X37" s="28">
        <f>S38</f>
        <v>0.2076388888888889</v>
      </c>
      <c r="Y37" s="28"/>
      <c r="Z37" s="28"/>
      <c r="AA37" s="164"/>
      <c r="AB37" s="164"/>
      <c r="AC37" s="25">
        <v>5</v>
      </c>
      <c r="AD37" s="25"/>
      <c r="AE37" s="19">
        <f t="shared" si="7"/>
        <v>-112.45033112582769</v>
      </c>
      <c r="AF37" s="21">
        <f t="shared" si="8"/>
        <v>0.95314569536423843</v>
      </c>
      <c r="AG37" s="172">
        <f>AF42</f>
        <v>0.95679617241080206</v>
      </c>
    </row>
    <row r="38" spans="1:33" ht="15.75" customHeight="1">
      <c r="A38" s="191" t="s">
        <v>484</v>
      </c>
      <c r="B38" s="37" t="s">
        <v>100</v>
      </c>
      <c r="C38" s="165" t="s">
        <v>107</v>
      </c>
      <c r="D38" s="165"/>
      <c r="E38" s="37">
        <v>26.18</v>
      </c>
      <c r="F38" s="4">
        <v>2152</v>
      </c>
      <c r="G38" s="4">
        <v>56339.360000000001</v>
      </c>
      <c r="H38" s="22" t="s">
        <v>139</v>
      </c>
      <c r="I38" s="16">
        <v>19</v>
      </c>
      <c r="J38" s="18">
        <v>2400</v>
      </c>
      <c r="K38" s="17">
        <f t="shared" si="0"/>
        <v>126.31578947368421</v>
      </c>
      <c r="L38" s="16">
        <v>19</v>
      </c>
      <c r="M38" s="18">
        <f t="shared" si="22"/>
        <v>2305.7142857142858</v>
      </c>
      <c r="N38" s="17">
        <f t="shared" si="2"/>
        <v>121.35338345864662</v>
      </c>
      <c r="O38" s="19">
        <f t="shared" si="3"/>
        <v>0</v>
      </c>
      <c r="P38" s="20">
        <f t="shared" si="4"/>
        <v>-4.9624060150375868</v>
      </c>
      <c r="Q38" s="21">
        <f t="shared" si="5"/>
        <v>0.96071428571428574</v>
      </c>
      <c r="R38" s="172"/>
      <c r="S38" s="28">
        <v>0.2076388888888889</v>
      </c>
      <c r="T38" s="28">
        <v>0.24652777777777779</v>
      </c>
      <c r="U38" s="4">
        <f t="shared" ref="U38:U41" si="24">(S38-T37)*24*60</f>
        <v>28.000000000000021</v>
      </c>
      <c r="V38" s="22">
        <f t="shared" si="23"/>
        <v>56</v>
      </c>
      <c r="W38" s="4"/>
      <c r="X38" s="4"/>
      <c r="Y38" s="4"/>
      <c r="Z38" s="4"/>
      <c r="AA38" s="164"/>
      <c r="AB38" s="164"/>
      <c r="AC38" s="25"/>
      <c r="AD38" s="25"/>
      <c r="AE38" s="19">
        <f t="shared" si="7"/>
        <v>-94.285714285714221</v>
      </c>
      <c r="AF38" s="21">
        <f t="shared" si="8"/>
        <v>0.96071428571428574</v>
      </c>
      <c r="AG38" s="172"/>
    </row>
    <row r="39" spans="1:33">
      <c r="A39" s="192" t="s">
        <v>65</v>
      </c>
      <c r="B39" s="37" t="s">
        <v>100</v>
      </c>
      <c r="C39" s="165" t="s">
        <v>108</v>
      </c>
      <c r="D39" s="165"/>
      <c r="E39" s="37">
        <v>26.39</v>
      </c>
      <c r="F39" s="4">
        <v>5248</v>
      </c>
      <c r="G39" s="4">
        <v>138494.72</v>
      </c>
      <c r="H39" s="22" t="s">
        <v>139</v>
      </c>
      <c r="I39" s="16">
        <v>19</v>
      </c>
      <c r="J39" s="18">
        <v>2400</v>
      </c>
      <c r="K39" s="17">
        <f t="shared" si="0"/>
        <v>126.31578947368421</v>
      </c>
      <c r="L39" s="16">
        <v>19</v>
      </c>
      <c r="M39" s="18">
        <f t="shared" si="22"/>
        <v>2298.3941605839418</v>
      </c>
      <c r="N39" s="17">
        <f t="shared" si="2"/>
        <v>120.96811371494431</v>
      </c>
      <c r="O39" s="19">
        <f t="shared" si="3"/>
        <v>0</v>
      </c>
      <c r="P39" s="20">
        <f t="shared" si="4"/>
        <v>-5.3476757587398964</v>
      </c>
      <c r="Q39" s="21">
        <f t="shared" si="5"/>
        <v>0.95766423357664243</v>
      </c>
      <c r="R39" s="172"/>
      <c r="S39" s="28">
        <v>0.25208333333333333</v>
      </c>
      <c r="T39" s="28">
        <v>0.34722222222222221</v>
      </c>
      <c r="U39" s="4">
        <f t="shared" si="24"/>
        <v>7.9999999999999716</v>
      </c>
      <c r="V39" s="22">
        <f t="shared" si="23"/>
        <v>137</v>
      </c>
      <c r="W39" s="4"/>
      <c r="X39" s="4"/>
      <c r="Y39" s="4"/>
      <c r="Z39" s="4"/>
      <c r="AA39" s="164"/>
      <c r="AB39" s="164"/>
      <c r="AC39" s="25"/>
      <c r="AD39" s="25"/>
      <c r="AE39" s="19">
        <f t="shared" si="7"/>
        <v>-101.60583941605819</v>
      </c>
      <c r="AF39" s="21">
        <f t="shared" si="8"/>
        <v>0.95766423357664243</v>
      </c>
      <c r="AG39" s="172"/>
    </row>
    <row r="40" spans="1:33">
      <c r="A40" s="192" t="s">
        <v>65</v>
      </c>
      <c r="B40" s="37" t="s">
        <v>100</v>
      </c>
      <c r="C40" s="165" t="s">
        <v>109</v>
      </c>
      <c r="D40" s="165"/>
      <c r="E40" s="37">
        <v>24.45</v>
      </c>
      <c r="F40" s="4">
        <v>2304</v>
      </c>
      <c r="G40" s="4">
        <v>56332.799999999996</v>
      </c>
      <c r="H40" s="22" t="s">
        <v>139</v>
      </c>
      <c r="I40" s="16">
        <v>20</v>
      </c>
      <c r="J40" s="18">
        <v>2400</v>
      </c>
      <c r="K40" s="17">
        <f t="shared" si="0"/>
        <v>120</v>
      </c>
      <c r="L40" s="16">
        <v>20</v>
      </c>
      <c r="M40" s="18">
        <f t="shared" si="22"/>
        <v>2303.9999999999991</v>
      </c>
      <c r="N40" s="17">
        <f t="shared" si="2"/>
        <v>115.19999999999996</v>
      </c>
      <c r="O40" s="19">
        <f t="shared" si="3"/>
        <v>0</v>
      </c>
      <c r="P40" s="20">
        <f t="shared" si="4"/>
        <v>-4.8000000000000398</v>
      </c>
      <c r="Q40" s="21">
        <f t="shared" si="5"/>
        <v>0.95999999999999963</v>
      </c>
      <c r="R40" s="172"/>
      <c r="S40" s="28">
        <v>0.35069444444444442</v>
      </c>
      <c r="T40" s="28">
        <v>0.3923611111111111</v>
      </c>
      <c r="U40" s="4">
        <f t="shared" si="24"/>
        <v>4.9999999999999822</v>
      </c>
      <c r="V40" s="22">
        <f t="shared" si="23"/>
        <v>60.000000000000028</v>
      </c>
      <c r="W40" s="23"/>
      <c r="X40" s="23"/>
      <c r="Y40" s="23"/>
      <c r="Z40" s="23"/>
      <c r="AA40" s="164"/>
      <c r="AB40" s="164"/>
      <c r="AC40" s="25"/>
      <c r="AD40" s="25"/>
      <c r="AE40" s="19">
        <f t="shared" si="7"/>
        <v>-96.000000000000909</v>
      </c>
      <c r="AF40" s="21">
        <f t="shared" si="8"/>
        <v>0.95999999999999963</v>
      </c>
      <c r="AG40" s="172"/>
    </row>
    <row r="41" spans="1:33">
      <c r="A41" s="192" t="s">
        <v>484</v>
      </c>
      <c r="B41" s="37" t="s">
        <v>100</v>
      </c>
      <c r="C41" s="165" t="s">
        <v>110</v>
      </c>
      <c r="D41" s="165"/>
      <c r="E41" s="37">
        <v>22.69</v>
      </c>
      <c r="F41" s="4">
        <v>6591</v>
      </c>
      <c r="G41" s="4">
        <v>149549.79</v>
      </c>
      <c r="H41" s="22" t="s">
        <v>139</v>
      </c>
      <c r="I41" s="16">
        <v>16</v>
      </c>
      <c r="J41" s="18">
        <v>2400</v>
      </c>
      <c r="K41" s="17">
        <f t="shared" si="0"/>
        <v>150</v>
      </c>
      <c r="L41" s="16">
        <v>16</v>
      </c>
      <c r="M41" s="18">
        <f t="shared" si="22"/>
        <v>2285.8959537572264</v>
      </c>
      <c r="N41" s="17">
        <f t="shared" si="2"/>
        <v>142.86849710982665</v>
      </c>
      <c r="O41" s="19">
        <f t="shared" si="3"/>
        <v>0</v>
      </c>
      <c r="P41" s="20">
        <f t="shared" si="4"/>
        <v>-7.1315028901733513</v>
      </c>
      <c r="Q41" s="21">
        <f t="shared" si="5"/>
        <v>0.95245664739884428</v>
      </c>
      <c r="R41" s="172"/>
      <c r="S41" s="28">
        <v>0.39583333333333331</v>
      </c>
      <c r="T41" s="28">
        <v>0.51597222222222217</v>
      </c>
      <c r="U41" s="4">
        <f t="shared" si="24"/>
        <v>4.9999999999999822</v>
      </c>
      <c r="V41" s="22">
        <f t="shared" si="23"/>
        <v>172.99999999999994</v>
      </c>
      <c r="W41" s="23"/>
      <c r="X41" s="23"/>
      <c r="Y41" s="23"/>
      <c r="Z41" s="23"/>
      <c r="AA41" s="164"/>
      <c r="AB41" s="164"/>
      <c r="AC41" s="25"/>
      <c r="AD41" s="25"/>
      <c r="AE41" s="19">
        <f t="shared" si="7"/>
        <v>-114.10404624277362</v>
      </c>
      <c r="AF41" s="21">
        <f t="shared" si="8"/>
        <v>0.95245664739884428</v>
      </c>
      <c r="AG41" s="172"/>
    </row>
    <row r="42" spans="1:33">
      <c r="A42" s="192" t="s">
        <v>484</v>
      </c>
      <c r="B42" s="17" t="s">
        <v>69</v>
      </c>
      <c r="C42" s="177"/>
      <c r="D42" s="177"/>
      <c r="E42" s="38"/>
      <c r="F42" s="17"/>
      <c r="G42" s="17"/>
      <c r="H42" s="4"/>
      <c r="I42" s="30">
        <v>18.399999999999999</v>
      </c>
      <c r="J42" s="18">
        <v>2400</v>
      </c>
      <c r="K42" s="17">
        <f t="shared" si="0"/>
        <v>130.43478260869566</v>
      </c>
      <c r="L42" s="30">
        <v>18.399999999999999</v>
      </c>
      <c r="M42" s="18">
        <f>AVERAGE(M37:M41)</f>
        <v>2296.3108137859249</v>
      </c>
      <c r="N42" s="17">
        <f t="shared" si="2"/>
        <v>124.79950074923507</v>
      </c>
      <c r="O42" s="19">
        <f t="shared" si="3"/>
        <v>0</v>
      </c>
      <c r="P42" s="20">
        <f t="shared" si="4"/>
        <v>-5.6352818594605907</v>
      </c>
      <c r="Q42" s="21">
        <f t="shared" si="5"/>
        <v>0.95679617241080217</v>
      </c>
      <c r="R42" s="172"/>
      <c r="S42" s="28"/>
      <c r="T42" s="28"/>
      <c r="U42" s="17"/>
      <c r="V42" s="22"/>
      <c r="W42" s="17"/>
      <c r="X42" s="17"/>
      <c r="Y42" s="31">
        <f>SUM(Y37:Y41)</f>
        <v>0</v>
      </c>
      <c r="Z42" s="31">
        <f>SUM(Z37:Z41)</f>
        <v>0</v>
      </c>
      <c r="AA42" s="168"/>
      <c r="AB42" s="168"/>
      <c r="AC42" s="31">
        <v>5</v>
      </c>
      <c r="AD42" s="31">
        <f>SUM(AD37:AD41)</f>
        <v>0</v>
      </c>
      <c r="AE42" s="19">
        <f t="shared" si="7"/>
        <v>-103.68918621407511</v>
      </c>
      <c r="AF42" s="21">
        <f t="shared" si="8"/>
        <v>0.95679617241080206</v>
      </c>
      <c r="AG42" s="172"/>
    </row>
    <row r="43" spans="1:33" ht="15.75" customHeight="1">
      <c r="A43" s="184" t="s">
        <v>485</v>
      </c>
      <c r="B43" s="37" t="s">
        <v>111</v>
      </c>
      <c r="C43" s="173" t="s">
        <v>403</v>
      </c>
      <c r="D43" s="174"/>
      <c r="E43" s="37">
        <v>32.83</v>
      </c>
      <c r="F43" s="4">
        <v>5847</v>
      </c>
      <c r="G43" s="4">
        <v>191957.00999999998</v>
      </c>
      <c r="H43" s="22" t="s">
        <v>139</v>
      </c>
      <c r="I43" s="16">
        <v>10</v>
      </c>
      <c r="J43" s="18">
        <v>3000</v>
      </c>
      <c r="K43" s="17">
        <f t="shared" si="0"/>
        <v>300</v>
      </c>
      <c r="L43" s="16">
        <v>10</v>
      </c>
      <c r="M43" s="18">
        <f t="shared" ref="M43:M50" si="25">F43/V43*60</f>
        <v>2852.1951219512198</v>
      </c>
      <c r="N43" s="18">
        <f t="shared" si="2"/>
        <v>285.21951219512198</v>
      </c>
      <c r="O43" s="19">
        <f t="shared" si="3"/>
        <v>0</v>
      </c>
      <c r="P43" s="20">
        <f t="shared" si="4"/>
        <v>-14.780487804878021</v>
      </c>
      <c r="Q43" s="21">
        <f t="shared" si="5"/>
        <v>0.95073170731707324</v>
      </c>
      <c r="R43" s="187">
        <f>Q51</f>
        <v>0.95651903790200254</v>
      </c>
      <c r="S43" s="28">
        <v>8.3333333333333329E-2</v>
      </c>
      <c r="T43" s="28">
        <v>0.16874999999999998</v>
      </c>
      <c r="U43" s="28"/>
      <c r="V43" s="22">
        <f t="shared" ref="V43:V50" si="26">(T43-S43)*24*60</f>
        <v>122.99999999999999</v>
      </c>
      <c r="W43" s="23">
        <f>T43</f>
        <v>0.16874999999999998</v>
      </c>
      <c r="X43" s="23">
        <f>S44</f>
        <v>0.18749999999999997</v>
      </c>
      <c r="Y43" s="26"/>
      <c r="Z43" s="26"/>
      <c r="AA43" s="175"/>
      <c r="AB43" s="176"/>
      <c r="AC43" s="25">
        <v>8</v>
      </c>
      <c r="AD43" s="25"/>
      <c r="AE43" s="19">
        <f t="shared" si="7"/>
        <v>-147.80487804878021</v>
      </c>
      <c r="AF43" s="21">
        <f t="shared" si="8"/>
        <v>0.95073170731707324</v>
      </c>
      <c r="AG43" s="187">
        <f>AF51</f>
        <v>0.95651903790200266</v>
      </c>
    </row>
    <row r="44" spans="1:33" ht="15.75" customHeight="1">
      <c r="A44" s="185" t="s">
        <v>485</v>
      </c>
      <c r="B44" s="37" t="s">
        <v>111</v>
      </c>
      <c r="C44" s="173" t="s">
        <v>114</v>
      </c>
      <c r="D44" s="174"/>
      <c r="E44" s="37">
        <v>35.119999999999997</v>
      </c>
      <c r="F44" s="4">
        <v>4784</v>
      </c>
      <c r="G44" s="4">
        <v>168014.07999999999</v>
      </c>
      <c r="H44" s="22" t="s">
        <v>139</v>
      </c>
      <c r="I44" s="16">
        <v>10</v>
      </c>
      <c r="J44" s="18">
        <v>3000</v>
      </c>
      <c r="K44" s="17">
        <f t="shared" si="0"/>
        <v>300</v>
      </c>
      <c r="L44" s="16">
        <v>10</v>
      </c>
      <c r="M44" s="18">
        <f t="shared" si="25"/>
        <v>2870.4</v>
      </c>
      <c r="N44" s="18">
        <f t="shared" si="2"/>
        <v>287.04000000000002</v>
      </c>
      <c r="O44" s="19">
        <f t="shared" si="3"/>
        <v>0</v>
      </c>
      <c r="P44" s="20">
        <f t="shared" si="4"/>
        <v>-12.95999999999998</v>
      </c>
      <c r="Q44" s="21">
        <f t="shared" si="5"/>
        <v>0.95680000000000009</v>
      </c>
      <c r="R44" s="188"/>
      <c r="S44" s="28">
        <v>0.18749999999999997</v>
      </c>
      <c r="T44" s="28">
        <v>0.25694444444444442</v>
      </c>
      <c r="U44" s="4">
        <f t="shared" ref="U44:U50" si="27">(S44-T43)*24*60</f>
        <v>26.999999999999986</v>
      </c>
      <c r="V44" s="22">
        <f t="shared" si="26"/>
        <v>100</v>
      </c>
      <c r="W44" s="23"/>
      <c r="X44" s="23"/>
      <c r="Y44" s="26"/>
      <c r="Z44" s="26"/>
      <c r="AA44" s="175"/>
      <c r="AB44" s="176"/>
      <c r="AC44" s="25" t="s">
        <v>139</v>
      </c>
      <c r="AD44" s="25"/>
      <c r="AE44" s="19">
        <f t="shared" si="7"/>
        <v>-129.59999999999991</v>
      </c>
      <c r="AF44" s="21">
        <f t="shared" si="8"/>
        <v>0.95679999999999998</v>
      </c>
      <c r="AG44" s="188"/>
    </row>
    <row r="45" spans="1:33" ht="15.75" customHeight="1">
      <c r="A45" s="185" t="s">
        <v>486</v>
      </c>
      <c r="B45" s="37" t="s">
        <v>111</v>
      </c>
      <c r="C45" s="173" t="s">
        <v>115</v>
      </c>
      <c r="D45" s="174"/>
      <c r="E45" s="37">
        <v>26.78</v>
      </c>
      <c r="F45" s="4">
        <v>2475</v>
      </c>
      <c r="G45" s="4">
        <v>66280.5</v>
      </c>
      <c r="H45" s="22" t="s">
        <v>139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2855.7692307692323</v>
      </c>
      <c r="N45" s="18">
        <f t="shared" si="2"/>
        <v>285.57692307692321</v>
      </c>
      <c r="O45" s="19">
        <f t="shared" si="3"/>
        <v>0</v>
      </c>
      <c r="P45" s="20">
        <f t="shared" si="4"/>
        <v>-14.423076923076792</v>
      </c>
      <c r="Q45" s="21">
        <f t="shared" si="5"/>
        <v>0.95192307692307732</v>
      </c>
      <c r="R45" s="188"/>
      <c r="S45" s="28">
        <v>0.26180555555555551</v>
      </c>
      <c r="T45" s="28">
        <v>0.29791666666666661</v>
      </c>
      <c r="U45" s="4">
        <f t="shared" si="27"/>
        <v>6.9999999999999751</v>
      </c>
      <c r="V45" s="22">
        <f t="shared" si="26"/>
        <v>51.999999999999972</v>
      </c>
      <c r="W45" s="23"/>
      <c r="X45" s="23"/>
      <c r="Y45" s="26"/>
      <c r="Z45" s="26"/>
      <c r="AA45" s="175"/>
      <c r="AB45" s="176"/>
      <c r="AC45" s="25" t="s">
        <v>139</v>
      </c>
      <c r="AD45" s="25"/>
      <c r="AE45" s="19">
        <f t="shared" si="7"/>
        <v>-144.23076923076769</v>
      </c>
      <c r="AF45" s="21">
        <f t="shared" si="8"/>
        <v>0.95192307692307743</v>
      </c>
      <c r="AG45" s="188"/>
    </row>
    <row r="46" spans="1:33" ht="15.75" customHeight="1">
      <c r="A46" s="185" t="s">
        <v>402</v>
      </c>
      <c r="B46" s="37" t="s">
        <v>111</v>
      </c>
      <c r="C46" s="173" t="s">
        <v>116</v>
      </c>
      <c r="D46" s="174"/>
      <c r="E46" s="37">
        <v>35.869999999999997</v>
      </c>
      <c r="F46" s="4">
        <v>3341</v>
      </c>
      <c r="G46" s="4">
        <v>119841.67</v>
      </c>
      <c r="H46" s="22" t="s">
        <v>139</v>
      </c>
      <c r="I46" s="16">
        <v>9</v>
      </c>
      <c r="J46" s="18">
        <v>3000</v>
      </c>
      <c r="K46" s="17">
        <f t="shared" si="0"/>
        <v>333.33333333333331</v>
      </c>
      <c r="L46" s="16">
        <v>9</v>
      </c>
      <c r="M46" s="18">
        <f t="shared" si="25"/>
        <v>2863.7142857142862</v>
      </c>
      <c r="N46" s="18">
        <f t="shared" si="2"/>
        <v>318.19047619047626</v>
      </c>
      <c r="O46" s="19">
        <f t="shared" si="3"/>
        <v>0</v>
      </c>
      <c r="P46" s="20">
        <f t="shared" si="4"/>
        <v>-15.142857142857054</v>
      </c>
      <c r="Q46" s="21">
        <f t="shared" si="5"/>
        <v>0.95457142857142885</v>
      </c>
      <c r="R46" s="188"/>
      <c r="S46" s="28">
        <v>0.30208333333333326</v>
      </c>
      <c r="T46" s="28">
        <v>0.35069444444444436</v>
      </c>
      <c r="U46" s="4">
        <f t="shared" si="27"/>
        <v>5.9999999999999787</v>
      </c>
      <c r="V46" s="22">
        <f t="shared" si="26"/>
        <v>69.999999999999986</v>
      </c>
      <c r="W46" s="23"/>
      <c r="X46" s="23"/>
      <c r="Y46" s="26"/>
      <c r="Z46" s="26"/>
      <c r="AA46" s="175"/>
      <c r="AB46" s="176"/>
      <c r="AC46" s="25" t="s">
        <v>139</v>
      </c>
      <c r="AD46" s="25"/>
      <c r="AE46" s="19">
        <f t="shared" si="7"/>
        <v>-136.28571428571377</v>
      </c>
      <c r="AF46" s="21">
        <f t="shared" si="8"/>
        <v>0.95457142857142874</v>
      </c>
      <c r="AG46" s="188"/>
    </row>
    <row r="47" spans="1:33" ht="15.75" customHeight="1">
      <c r="A47" s="185" t="s">
        <v>402</v>
      </c>
      <c r="B47" s="37" t="s">
        <v>111</v>
      </c>
      <c r="C47" s="173" t="s">
        <v>117</v>
      </c>
      <c r="D47" s="174"/>
      <c r="E47" s="37">
        <v>44.03</v>
      </c>
      <c r="F47" s="4">
        <v>1719</v>
      </c>
      <c r="G47" s="4">
        <v>75687.570000000007</v>
      </c>
      <c r="H47" s="22" t="s">
        <v>139</v>
      </c>
      <c r="I47" s="16">
        <v>10</v>
      </c>
      <c r="J47" s="18">
        <v>3000</v>
      </c>
      <c r="K47" s="17">
        <f t="shared" si="0"/>
        <v>300</v>
      </c>
      <c r="L47" s="16">
        <v>10</v>
      </c>
      <c r="M47" s="18">
        <f t="shared" si="25"/>
        <v>2864.9999999999977</v>
      </c>
      <c r="N47" s="18">
        <f t="shared" si="2"/>
        <v>286.49999999999977</v>
      </c>
      <c r="O47" s="19">
        <f t="shared" si="3"/>
        <v>0</v>
      </c>
      <c r="P47" s="20">
        <f t="shared" si="4"/>
        <v>-13.500000000000227</v>
      </c>
      <c r="Q47" s="21">
        <f t="shared" si="5"/>
        <v>0.95499999999999929</v>
      </c>
      <c r="R47" s="188"/>
      <c r="S47" s="28">
        <v>0.35486111111111102</v>
      </c>
      <c r="T47" s="28">
        <v>0.37986111111111104</v>
      </c>
      <c r="U47" s="4">
        <f t="shared" si="27"/>
        <v>5.9999999999999787</v>
      </c>
      <c r="V47" s="22">
        <f t="shared" si="26"/>
        <v>36.000000000000028</v>
      </c>
      <c r="W47" s="23"/>
      <c r="X47" s="23"/>
      <c r="Y47" s="26"/>
      <c r="Z47" s="26"/>
      <c r="AA47" s="175"/>
      <c r="AB47" s="176"/>
      <c r="AC47" s="25" t="s">
        <v>139</v>
      </c>
      <c r="AD47" s="25"/>
      <c r="AE47" s="19">
        <f t="shared" si="7"/>
        <v>-135.00000000000227</v>
      </c>
      <c r="AF47" s="21">
        <f t="shared" si="8"/>
        <v>0.95499999999999929</v>
      </c>
      <c r="AG47" s="188"/>
    </row>
    <row r="48" spans="1:33" ht="15.75" customHeight="1">
      <c r="A48" s="185" t="s">
        <v>402</v>
      </c>
      <c r="B48" s="37" t="s">
        <v>111</v>
      </c>
      <c r="C48" s="173" t="s">
        <v>112</v>
      </c>
      <c r="D48" s="174"/>
      <c r="E48" s="37">
        <v>21.13</v>
      </c>
      <c r="F48" s="4">
        <v>4654</v>
      </c>
      <c r="G48" s="4">
        <v>98339.01999999999</v>
      </c>
      <c r="H48" s="22" t="s">
        <v>139</v>
      </c>
      <c r="I48" s="16">
        <v>10</v>
      </c>
      <c r="J48" s="18">
        <v>3000</v>
      </c>
      <c r="K48" s="17">
        <f t="shared" si="0"/>
        <v>300</v>
      </c>
      <c r="L48" s="16">
        <v>10</v>
      </c>
      <c r="M48" s="18">
        <f t="shared" si="25"/>
        <v>2878.7628865979391</v>
      </c>
      <c r="N48" s="18">
        <f t="shared" si="2"/>
        <v>287.87628865979389</v>
      </c>
      <c r="O48" s="19">
        <f t="shared" si="3"/>
        <v>0</v>
      </c>
      <c r="P48" s="20">
        <f t="shared" si="4"/>
        <v>-12.123711340206114</v>
      </c>
      <c r="Q48" s="21">
        <f t="shared" si="5"/>
        <v>0.95958762886597959</v>
      </c>
      <c r="R48" s="188"/>
      <c r="S48" s="28">
        <v>0.38402777777777769</v>
      </c>
      <c r="T48" s="28">
        <v>0.45138888888888878</v>
      </c>
      <c r="U48" s="4">
        <f t="shared" si="27"/>
        <v>5.9999999999999787</v>
      </c>
      <c r="V48" s="22">
        <f t="shared" si="26"/>
        <v>96.999999999999972</v>
      </c>
      <c r="W48" s="23"/>
      <c r="X48" s="23"/>
      <c r="Y48" s="26"/>
      <c r="Z48" s="26"/>
      <c r="AA48" s="175"/>
      <c r="AB48" s="176"/>
      <c r="AC48" s="25" t="s">
        <v>139</v>
      </c>
      <c r="AD48" s="25"/>
      <c r="AE48" s="19">
        <f t="shared" si="7"/>
        <v>-121.23711340206091</v>
      </c>
      <c r="AF48" s="21">
        <f t="shared" si="8"/>
        <v>0.9595876288659797</v>
      </c>
      <c r="AG48" s="188"/>
    </row>
    <row r="49" spans="1:33" ht="15.75" customHeight="1">
      <c r="A49" s="185" t="s">
        <v>486</v>
      </c>
      <c r="B49" s="37" t="s">
        <v>111</v>
      </c>
      <c r="C49" s="173" t="s">
        <v>113</v>
      </c>
      <c r="D49" s="174"/>
      <c r="E49" s="37">
        <v>27.17</v>
      </c>
      <c r="F49" s="4">
        <v>2500</v>
      </c>
      <c r="G49" s="4">
        <v>67925</v>
      </c>
      <c r="H49" s="22">
        <v>2</v>
      </c>
      <c r="I49" s="16">
        <v>10</v>
      </c>
      <c r="J49" s="18">
        <v>3000</v>
      </c>
      <c r="K49" s="17">
        <f t="shared" si="0"/>
        <v>300</v>
      </c>
      <c r="L49" s="16">
        <v>10</v>
      </c>
      <c r="M49" s="18">
        <f t="shared" si="25"/>
        <v>2884.6153846153861</v>
      </c>
      <c r="N49" s="18">
        <f t="shared" si="2"/>
        <v>288.46153846153862</v>
      </c>
      <c r="O49" s="19">
        <f t="shared" si="3"/>
        <v>0</v>
      </c>
      <c r="P49" s="20">
        <f t="shared" si="4"/>
        <v>-11.538461538461377</v>
      </c>
      <c r="Q49" s="21">
        <f t="shared" si="5"/>
        <v>0.96153846153846212</v>
      </c>
      <c r="R49" s="188"/>
      <c r="S49" s="28">
        <v>0.45555555555555544</v>
      </c>
      <c r="T49" s="28">
        <v>0.49166666666666653</v>
      </c>
      <c r="U49" s="4">
        <f t="shared" si="27"/>
        <v>5.9999999999999787</v>
      </c>
      <c r="V49" s="22">
        <f t="shared" si="26"/>
        <v>51.999999999999972</v>
      </c>
      <c r="W49" s="23">
        <f>T49</f>
        <v>0.49166666666666653</v>
      </c>
      <c r="X49" s="23">
        <f>S50</f>
        <v>0.53194444444444422</v>
      </c>
      <c r="Y49" s="26"/>
      <c r="Z49" s="26"/>
      <c r="AA49" s="175"/>
      <c r="AB49" s="176"/>
      <c r="AC49" s="25" t="s">
        <v>139</v>
      </c>
      <c r="AD49" s="25"/>
      <c r="AE49" s="19">
        <f t="shared" si="7"/>
        <v>-115.38461538461388</v>
      </c>
      <c r="AF49" s="21">
        <f t="shared" si="8"/>
        <v>0.96153846153846201</v>
      </c>
      <c r="AG49" s="188"/>
    </row>
    <row r="50" spans="1:33" ht="15.75" customHeight="1">
      <c r="A50" s="185" t="s">
        <v>486</v>
      </c>
      <c r="B50" s="37" t="s">
        <v>111</v>
      </c>
      <c r="C50" s="173" t="s">
        <v>113</v>
      </c>
      <c r="D50" s="174"/>
      <c r="E50" s="37">
        <v>27.17</v>
      </c>
      <c r="F50" s="4">
        <v>3848</v>
      </c>
      <c r="G50" s="4">
        <v>104550.16</v>
      </c>
      <c r="H50" s="22" t="s">
        <v>139</v>
      </c>
      <c r="I50" s="16">
        <v>10</v>
      </c>
      <c r="J50" s="18">
        <v>3000</v>
      </c>
      <c r="K50" s="17">
        <f t="shared" si="0"/>
        <v>300</v>
      </c>
      <c r="L50" s="16">
        <v>10</v>
      </c>
      <c r="M50" s="18">
        <f t="shared" si="25"/>
        <v>2885.9999999999986</v>
      </c>
      <c r="N50" s="18">
        <f t="shared" si="2"/>
        <v>288.59999999999985</v>
      </c>
      <c r="O50" s="19">
        <f t="shared" si="3"/>
        <v>0</v>
      </c>
      <c r="P50" s="20">
        <f t="shared" si="4"/>
        <v>-11.400000000000148</v>
      </c>
      <c r="Q50" s="21">
        <f t="shared" si="5"/>
        <v>0.96199999999999952</v>
      </c>
      <c r="R50" s="188"/>
      <c r="S50" s="28">
        <v>0.53194444444444422</v>
      </c>
      <c r="T50" s="28">
        <v>0.5874999999999998</v>
      </c>
      <c r="U50" s="4">
        <f t="shared" si="27"/>
        <v>57.999999999999872</v>
      </c>
      <c r="V50" s="22">
        <f t="shared" si="26"/>
        <v>80.000000000000028</v>
      </c>
      <c r="W50" s="23"/>
      <c r="X50" s="23"/>
      <c r="Y50" s="26"/>
      <c r="Z50" s="26"/>
      <c r="AA50" s="175"/>
      <c r="AB50" s="176"/>
      <c r="AC50" s="25" t="s">
        <v>139</v>
      </c>
      <c r="AD50" s="25"/>
      <c r="AE50" s="19">
        <f t="shared" si="7"/>
        <v>-114.00000000000136</v>
      </c>
      <c r="AF50" s="21">
        <f t="shared" si="8"/>
        <v>0.96199999999999952</v>
      </c>
      <c r="AG50" s="188"/>
    </row>
    <row r="51" spans="1:33" ht="15.75" customHeight="1">
      <c r="A51" s="186" t="s">
        <v>402</v>
      </c>
      <c r="B51" s="37" t="s">
        <v>69</v>
      </c>
      <c r="C51" s="166"/>
      <c r="D51" s="167"/>
      <c r="E51" s="41"/>
      <c r="F51" s="4"/>
      <c r="G51" s="4"/>
      <c r="H51" s="4"/>
      <c r="I51" s="30">
        <v>9.875</v>
      </c>
      <c r="J51" s="18">
        <v>3000</v>
      </c>
      <c r="K51" s="17">
        <f t="shared" si="0"/>
        <v>303.79746835443041</v>
      </c>
      <c r="L51" s="30">
        <v>9.875</v>
      </c>
      <c r="M51" s="18">
        <f>AVERAGE(M43:M50)</f>
        <v>2869.5571137060078</v>
      </c>
      <c r="N51" s="17">
        <f t="shared" si="2"/>
        <v>290.58806214744385</v>
      </c>
      <c r="O51" s="19">
        <f t="shared" si="3"/>
        <v>0</v>
      </c>
      <c r="P51" s="20">
        <f t="shared" si="4"/>
        <v>-13.209406206986557</v>
      </c>
      <c r="Q51" s="21">
        <f t="shared" si="5"/>
        <v>0.95651903790200254</v>
      </c>
      <c r="R51" s="189"/>
      <c r="S51" s="28"/>
      <c r="T51" s="28"/>
      <c r="U51" s="4"/>
      <c r="V51" s="22"/>
      <c r="W51" s="23"/>
      <c r="X51" s="23"/>
      <c r="Y51" s="31">
        <f>SUM(Y43:Y50)</f>
        <v>0</v>
      </c>
      <c r="Z51" s="31">
        <f>SUM(Z43:Z50)</f>
        <v>0</v>
      </c>
      <c r="AA51" s="180"/>
      <c r="AB51" s="181"/>
      <c r="AC51" s="31">
        <v>8</v>
      </c>
      <c r="AD51" s="31">
        <f>SUM(AD43:AD50)</f>
        <v>0</v>
      </c>
      <c r="AE51" s="19">
        <f t="shared" si="7"/>
        <v>-130.44288629399216</v>
      </c>
      <c r="AF51" s="21">
        <f t="shared" si="8"/>
        <v>0.95651903790200266</v>
      </c>
      <c r="AG51" s="189"/>
    </row>
    <row r="52" spans="1:33" ht="15.75" customHeight="1">
      <c r="A52" s="182" t="s">
        <v>487</v>
      </c>
      <c r="B52" s="37" t="s">
        <v>84</v>
      </c>
      <c r="C52" s="165" t="s">
        <v>118</v>
      </c>
      <c r="D52" s="165"/>
      <c r="E52" s="37">
        <v>46</v>
      </c>
      <c r="F52" s="42">
        <v>1703</v>
      </c>
      <c r="G52" s="4">
        <v>78338</v>
      </c>
      <c r="H52" s="22" t="s">
        <v>139</v>
      </c>
      <c r="I52" s="16">
        <v>17</v>
      </c>
      <c r="J52" s="18">
        <v>2000</v>
      </c>
      <c r="K52" s="17">
        <f t="shared" si="0"/>
        <v>117.64705882352941</v>
      </c>
      <c r="L52" s="16">
        <v>17</v>
      </c>
      <c r="M52" s="18">
        <f t="shared" ref="M52:M61" si="28">F52/V52*60</f>
        <v>1927.9245283018861</v>
      </c>
      <c r="N52" s="18">
        <f t="shared" si="2"/>
        <v>113.40732519422859</v>
      </c>
      <c r="O52" s="19">
        <f t="shared" si="3"/>
        <v>0</v>
      </c>
      <c r="P52" s="20">
        <f t="shared" si="4"/>
        <v>-4.2397336293008152</v>
      </c>
      <c r="Q52" s="21">
        <f t="shared" si="5"/>
        <v>0.9639622641509431</v>
      </c>
      <c r="R52" s="172">
        <f>Q62</f>
        <v>0.93275495110814899</v>
      </c>
      <c r="S52" s="28">
        <v>0.20833333333333334</v>
      </c>
      <c r="T52" s="28">
        <v>0.24513888888888891</v>
      </c>
      <c r="U52" s="28"/>
      <c r="V52" s="22">
        <f t="shared" ref="V52:V61" si="29">(T52-S52)*24*60</f>
        <v>53.000000000000014</v>
      </c>
      <c r="W52" s="28"/>
      <c r="X52" s="28"/>
      <c r="Y52" s="28"/>
      <c r="Z52" s="28"/>
      <c r="AA52" s="164"/>
      <c r="AB52" s="164"/>
      <c r="AC52" s="25">
        <v>10</v>
      </c>
      <c r="AD52" s="25"/>
      <c r="AE52" s="19">
        <f t="shared" si="7"/>
        <v>-72.075471698113915</v>
      </c>
      <c r="AF52" s="21">
        <f t="shared" si="8"/>
        <v>0.96396226415094299</v>
      </c>
      <c r="AG52" s="172">
        <f>AF62</f>
        <v>0.93275495110814888</v>
      </c>
    </row>
    <row r="53" spans="1:33" ht="15.75" customHeight="1">
      <c r="A53" s="182" t="s">
        <v>72</v>
      </c>
      <c r="B53" s="37" t="s">
        <v>84</v>
      </c>
      <c r="C53" s="165" t="s">
        <v>119</v>
      </c>
      <c r="D53" s="165"/>
      <c r="E53" s="37">
        <v>46</v>
      </c>
      <c r="F53" s="42">
        <v>1846</v>
      </c>
      <c r="G53" s="4">
        <v>84916</v>
      </c>
      <c r="H53" s="22" t="s">
        <v>139</v>
      </c>
      <c r="I53" s="16">
        <v>17</v>
      </c>
      <c r="J53" s="18">
        <v>2000</v>
      </c>
      <c r="K53" s="17">
        <f t="shared" si="0"/>
        <v>117.64705882352941</v>
      </c>
      <c r="L53" s="16">
        <v>17</v>
      </c>
      <c r="M53" s="18">
        <f t="shared" si="28"/>
        <v>1909.6551724137921</v>
      </c>
      <c r="N53" s="18">
        <f t="shared" si="2"/>
        <v>112.3326572008113</v>
      </c>
      <c r="O53" s="19">
        <f t="shared" si="3"/>
        <v>0</v>
      </c>
      <c r="P53" s="20">
        <f t="shared" si="4"/>
        <v>-5.3144016227181083</v>
      </c>
      <c r="Q53" s="21">
        <f t="shared" si="5"/>
        <v>0.95482758620689612</v>
      </c>
      <c r="R53" s="172"/>
      <c r="S53" s="28">
        <v>0.25069444444444444</v>
      </c>
      <c r="T53" s="28">
        <v>0.29097222222222224</v>
      </c>
      <c r="U53" s="4">
        <f t="shared" ref="U53:U61" si="30">IF(S53=TIME(17,0,0),"",(S53-T52)*24*60)</f>
        <v>7.9999999999999716</v>
      </c>
      <c r="V53" s="22">
        <f t="shared" si="29"/>
        <v>58.000000000000036</v>
      </c>
      <c r="W53" s="23"/>
      <c r="X53" s="23"/>
      <c r="Y53" s="23"/>
      <c r="Z53" s="23"/>
      <c r="AA53" s="164"/>
      <c r="AB53" s="164"/>
      <c r="AC53" s="25"/>
      <c r="AD53" s="25"/>
      <c r="AE53" s="19">
        <f t="shared" si="7"/>
        <v>-90.344827586207884</v>
      </c>
      <c r="AF53" s="21">
        <f t="shared" si="8"/>
        <v>0.95482758620689601</v>
      </c>
      <c r="AG53" s="172"/>
    </row>
    <row r="54" spans="1:33" ht="15.75" customHeight="1">
      <c r="A54" s="182" t="s">
        <v>487</v>
      </c>
      <c r="B54" s="37" t="s">
        <v>78</v>
      </c>
      <c r="C54" s="173" t="s">
        <v>120</v>
      </c>
      <c r="D54" s="174"/>
      <c r="E54" s="37">
        <v>56.43</v>
      </c>
      <c r="F54" s="42">
        <v>1862</v>
      </c>
      <c r="G54" s="4">
        <v>105072.66</v>
      </c>
      <c r="H54" s="22" t="s">
        <v>139</v>
      </c>
      <c r="I54" s="16">
        <v>22</v>
      </c>
      <c r="J54" s="18">
        <v>2000</v>
      </c>
      <c r="K54" s="17">
        <f t="shared" si="0"/>
        <v>90.909090909090907</v>
      </c>
      <c r="L54" s="16">
        <v>22</v>
      </c>
      <c r="M54" s="18">
        <f t="shared" si="28"/>
        <v>1745.6249999999995</v>
      </c>
      <c r="N54" s="18">
        <f t="shared" si="2"/>
        <v>79.346590909090892</v>
      </c>
      <c r="O54" s="19">
        <f t="shared" si="3"/>
        <v>0</v>
      </c>
      <c r="P54" s="20">
        <f t="shared" si="4"/>
        <v>-11.562500000000014</v>
      </c>
      <c r="Q54" s="21">
        <f t="shared" si="5"/>
        <v>0.87281249999999988</v>
      </c>
      <c r="R54" s="172"/>
      <c r="S54" s="28">
        <v>0.29444444444444445</v>
      </c>
      <c r="T54" s="28">
        <v>0.33888888888888891</v>
      </c>
      <c r="U54" s="4">
        <f t="shared" si="30"/>
        <v>4.9999999999999822</v>
      </c>
      <c r="V54" s="22">
        <f t="shared" si="29"/>
        <v>64.000000000000014</v>
      </c>
      <c r="W54" s="23"/>
      <c r="X54" s="23"/>
      <c r="Y54" s="26"/>
      <c r="Z54" s="26"/>
      <c r="AA54" s="164"/>
      <c r="AB54" s="164"/>
      <c r="AC54" s="25"/>
      <c r="AD54" s="25"/>
      <c r="AE54" s="19">
        <f t="shared" si="7"/>
        <v>-254.37500000000045</v>
      </c>
      <c r="AF54" s="21">
        <f t="shared" si="8"/>
        <v>0.87281249999999977</v>
      </c>
      <c r="AG54" s="172"/>
    </row>
    <row r="55" spans="1:33" ht="15.75" customHeight="1">
      <c r="A55" s="182" t="s">
        <v>487</v>
      </c>
      <c r="B55" s="37" t="s">
        <v>78</v>
      </c>
      <c r="C55" s="43" t="s">
        <v>121</v>
      </c>
      <c r="D55" s="44"/>
      <c r="E55" s="37">
        <v>51.75</v>
      </c>
      <c r="F55" s="42">
        <v>1758</v>
      </c>
      <c r="G55" s="4">
        <v>90976.5</v>
      </c>
      <c r="H55" s="22" t="s">
        <v>139</v>
      </c>
      <c r="I55" s="16">
        <v>25</v>
      </c>
      <c r="J55" s="18">
        <v>2000</v>
      </c>
      <c r="K55" s="17">
        <f t="shared" si="0"/>
        <v>80</v>
      </c>
      <c r="L55" s="16">
        <v>25</v>
      </c>
      <c r="M55" s="18">
        <f t="shared" si="28"/>
        <v>1674.2857142857138</v>
      </c>
      <c r="N55" s="18">
        <f t="shared" si="2"/>
        <v>66.971428571428547</v>
      </c>
      <c r="O55" s="19">
        <f t="shared" si="3"/>
        <v>0</v>
      </c>
      <c r="P55" s="20">
        <f t="shared" si="4"/>
        <v>-13.028571428571453</v>
      </c>
      <c r="Q55" s="21">
        <f t="shared" si="5"/>
        <v>0.83714285714285686</v>
      </c>
      <c r="R55" s="172"/>
      <c r="S55" s="28">
        <v>0.34444444444444444</v>
      </c>
      <c r="T55" s="28">
        <v>0.38819444444444445</v>
      </c>
      <c r="U55" s="4">
        <f t="shared" si="30"/>
        <v>7.9999999999999716</v>
      </c>
      <c r="V55" s="22">
        <f t="shared" si="29"/>
        <v>63.000000000000014</v>
      </c>
      <c r="W55" s="23"/>
      <c r="X55" s="23"/>
      <c r="Y55" s="26"/>
      <c r="Z55" s="26"/>
      <c r="AA55" s="164"/>
      <c r="AB55" s="164"/>
      <c r="AC55" s="25"/>
      <c r="AD55" s="25"/>
      <c r="AE55" s="19">
        <f t="shared" si="7"/>
        <v>-325.71428571428623</v>
      </c>
      <c r="AF55" s="21">
        <f t="shared" si="8"/>
        <v>0.83714285714285686</v>
      </c>
      <c r="AG55" s="172"/>
    </row>
    <row r="56" spans="1:33" ht="15.75" customHeight="1">
      <c r="A56" s="182" t="s">
        <v>72</v>
      </c>
      <c r="B56" s="37" t="s">
        <v>78</v>
      </c>
      <c r="C56" s="43" t="s">
        <v>122</v>
      </c>
      <c r="D56" s="44"/>
      <c r="E56" s="37">
        <v>54.09</v>
      </c>
      <c r="F56" s="42">
        <v>1885</v>
      </c>
      <c r="G56" s="4">
        <v>101959.65000000001</v>
      </c>
      <c r="H56" s="22" t="s">
        <v>139</v>
      </c>
      <c r="I56" s="16">
        <v>19</v>
      </c>
      <c r="J56" s="18">
        <v>2000</v>
      </c>
      <c r="K56" s="17">
        <f t="shared" si="0"/>
        <v>105.26315789473684</v>
      </c>
      <c r="L56" s="16">
        <v>19</v>
      </c>
      <c r="M56" s="18">
        <f t="shared" si="28"/>
        <v>1854.0983606557372</v>
      </c>
      <c r="N56" s="18">
        <f t="shared" si="2"/>
        <v>97.584124245038808</v>
      </c>
      <c r="O56" s="19">
        <f t="shared" si="3"/>
        <v>0</v>
      </c>
      <c r="P56" s="20">
        <f t="shared" si="4"/>
        <v>-7.6790336496980274</v>
      </c>
      <c r="Q56" s="21">
        <f t="shared" si="5"/>
        <v>0.92704918032786876</v>
      </c>
      <c r="R56" s="172"/>
      <c r="S56" s="28">
        <v>0.3923611111111111</v>
      </c>
      <c r="T56" s="28">
        <v>0.43472222222222223</v>
      </c>
      <c r="U56" s="4">
        <f t="shared" si="30"/>
        <v>5.9999999999999787</v>
      </c>
      <c r="V56" s="22">
        <f t="shared" si="29"/>
        <v>61.000000000000021</v>
      </c>
      <c r="W56" s="23"/>
      <c r="X56" s="23"/>
      <c r="Y56" s="26"/>
      <c r="Z56" s="26"/>
      <c r="AA56" s="164"/>
      <c r="AB56" s="164"/>
      <c r="AC56" s="25"/>
      <c r="AD56" s="25"/>
      <c r="AE56" s="19">
        <f t="shared" si="7"/>
        <v>-145.90163934426278</v>
      </c>
      <c r="AF56" s="21">
        <f t="shared" si="8"/>
        <v>0.92704918032786865</v>
      </c>
      <c r="AG56" s="172"/>
    </row>
    <row r="57" spans="1:33" ht="15.75" customHeight="1">
      <c r="A57" s="182" t="s">
        <v>487</v>
      </c>
      <c r="B57" s="37" t="s">
        <v>78</v>
      </c>
      <c r="C57" s="173" t="s">
        <v>123</v>
      </c>
      <c r="D57" s="174"/>
      <c r="E57" s="37">
        <v>55.56</v>
      </c>
      <c r="F57" s="42">
        <v>1825</v>
      </c>
      <c r="G57" s="4">
        <v>101397</v>
      </c>
      <c r="H57" s="22" t="s">
        <v>139</v>
      </c>
      <c r="I57" s="16">
        <v>17</v>
      </c>
      <c r="J57" s="18">
        <v>2000</v>
      </c>
      <c r="K57" s="17">
        <f t="shared" si="0"/>
        <v>117.64705882352941</v>
      </c>
      <c r="L57" s="16">
        <v>17</v>
      </c>
      <c r="M57" s="18">
        <f t="shared" si="28"/>
        <v>1921.0526315789486</v>
      </c>
      <c r="N57" s="18">
        <f t="shared" si="2"/>
        <v>113.00309597523227</v>
      </c>
      <c r="O57" s="19">
        <f t="shared" si="3"/>
        <v>0</v>
      </c>
      <c r="P57" s="20">
        <f t="shared" si="4"/>
        <v>-4.6439628482971358</v>
      </c>
      <c r="Q57" s="21">
        <f t="shared" si="5"/>
        <v>0.96052631578947434</v>
      </c>
      <c r="R57" s="172"/>
      <c r="S57" s="28">
        <v>0.70833333333333337</v>
      </c>
      <c r="T57" s="28">
        <v>0.74791666666666667</v>
      </c>
      <c r="U57" s="4" t="str">
        <f t="shared" si="30"/>
        <v/>
      </c>
      <c r="V57" s="22">
        <f t="shared" si="29"/>
        <v>56.999999999999957</v>
      </c>
      <c r="W57" s="23"/>
      <c r="X57" s="23"/>
      <c r="Y57" s="26"/>
      <c r="Z57" s="26"/>
      <c r="AA57" s="175"/>
      <c r="AB57" s="176"/>
      <c r="AC57" s="25"/>
      <c r="AD57" s="25"/>
      <c r="AE57" s="19">
        <f t="shared" si="7"/>
        <v>-78.947368421051351</v>
      </c>
      <c r="AF57" s="21">
        <f t="shared" si="8"/>
        <v>0.96052631578947434</v>
      </c>
      <c r="AG57" s="172"/>
    </row>
    <row r="58" spans="1:33" ht="15.75" customHeight="1">
      <c r="A58" s="182" t="s">
        <v>72</v>
      </c>
      <c r="B58" s="37" t="s">
        <v>78</v>
      </c>
      <c r="C58" s="173" t="s">
        <v>124</v>
      </c>
      <c r="D58" s="174"/>
      <c r="E58" s="37">
        <v>55.32</v>
      </c>
      <c r="F58" s="42">
        <v>1355</v>
      </c>
      <c r="G58" s="4">
        <v>74958.600000000006</v>
      </c>
      <c r="H58" s="22" t="s">
        <v>139</v>
      </c>
      <c r="I58" s="16">
        <v>15</v>
      </c>
      <c r="J58" s="18">
        <v>2000</v>
      </c>
      <c r="K58" s="17">
        <f t="shared" si="0"/>
        <v>133.33333333333334</v>
      </c>
      <c r="L58" s="16">
        <v>15</v>
      </c>
      <c r="M58" s="18">
        <f t="shared" si="28"/>
        <v>1935.7142857142851</v>
      </c>
      <c r="N58" s="18">
        <f t="shared" si="2"/>
        <v>129.04761904761901</v>
      </c>
      <c r="O58" s="19">
        <f t="shared" si="3"/>
        <v>0</v>
      </c>
      <c r="P58" s="20">
        <f t="shared" si="4"/>
        <v>-4.2857142857143344</v>
      </c>
      <c r="Q58" s="21">
        <f t="shared" si="5"/>
        <v>0.96785714285714253</v>
      </c>
      <c r="R58" s="172"/>
      <c r="S58" s="28">
        <v>0.75138888888888888</v>
      </c>
      <c r="T58" s="28">
        <v>0.78055555555555556</v>
      </c>
      <c r="U58" s="4">
        <f t="shared" si="30"/>
        <v>4.9999999999999822</v>
      </c>
      <c r="V58" s="22">
        <f t="shared" si="29"/>
        <v>42.000000000000014</v>
      </c>
      <c r="W58" s="23"/>
      <c r="X58" s="23"/>
      <c r="Y58" s="26"/>
      <c r="Z58" s="26"/>
      <c r="AA58" s="175"/>
      <c r="AB58" s="176"/>
      <c r="AC58" s="25"/>
      <c r="AD58" s="25"/>
      <c r="AE58" s="19">
        <f t="shared" si="7"/>
        <v>-64.285714285714903</v>
      </c>
      <c r="AF58" s="21">
        <f t="shared" si="8"/>
        <v>0.96785714285714253</v>
      </c>
      <c r="AG58" s="172"/>
    </row>
    <row r="59" spans="1:33" ht="15.75" customHeight="1">
      <c r="A59" s="182" t="s">
        <v>72</v>
      </c>
      <c r="B59" s="37" t="s">
        <v>78</v>
      </c>
      <c r="C59" s="173" t="s">
        <v>125</v>
      </c>
      <c r="D59" s="174"/>
      <c r="E59" s="37">
        <v>54.29</v>
      </c>
      <c r="F59" s="42">
        <v>500</v>
      </c>
      <c r="G59" s="4">
        <v>27145</v>
      </c>
      <c r="H59" s="22">
        <v>2</v>
      </c>
      <c r="I59" s="16">
        <v>20</v>
      </c>
      <c r="J59" s="18">
        <v>2000</v>
      </c>
      <c r="K59" s="17">
        <f t="shared" si="0"/>
        <v>100</v>
      </c>
      <c r="L59" s="16">
        <v>20</v>
      </c>
      <c r="M59" s="18">
        <f t="shared" si="28"/>
        <v>1875.0000000000066</v>
      </c>
      <c r="N59" s="18">
        <f t="shared" si="2"/>
        <v>93.750000000000327</v>
      </c>
      <c r="O59" s="19">
        <f t="shared" si="3"/>
        <v>0</v>
      </c>
      <c r="P59" s="20">
        <f t="shared" si="4"/>
        <v>-6.2499999999996732</v>
      </c>
      <c r="Q59" s="21">
        <f t="shared" si="5"/>
        <v>0.93750000000000322</v>
      </c>
      <c r="R59" s="172"/>
      <c r="S59" s="28">
        <v>0.78611111111111109</v>
      </c>
      <c r="T59" s="28">
        <v>0.79722222222222217</v>
      </c>
      <c r="U59" s="4">
        <f t="shared" si="30"/>
        <v>7.9999999999999716</v>
      </c>
      <c r="V59" s="22">
        <f t="shared" si="29"/>
        <v>15.999999999999943</v>
      </c>
      <c r="W59" s="23"/>
      <c r="X59" s="23"/>
      <c r="Y59" s="26"/>
      <c r="Z59" s="26"/>
      <c r="AA59" s="175"/>
      <c r="AB59" s="176"/>
      <c r="AC59" s="25"/>
      <c r="AD59" s="25"/>
      <c r="AE59" s="19">
        <f t="shared" si="7"/>
        <v>-124.99999999999341</v>
      </c>
      <c r="AF59" s="21">
        <f t="shared" si="8"/>
        <v>0.93750000000000333</v>
      </c>
      <c r="AG59" s="172"/>
    </row>
    <row r="60" spans="1:33">
      <c r="A60" s="182" t="s">
        <v>72</v>
      </c>
      <c r="B60" s="37" t="s">
        <v>78</v>
      </c>
      <c r="C60" s="173" t="s">
        <v>126</v>
      </c>
      <c r="D60" s="174"/>
      <c r="E60" s="37">
        <v>57.73</v>
      </c>
      <c r="F60" s="42">
        <v>1224</v>
      </c>
      <c r="G60" s="4">
        <v>70661.51999999999</v>
      </c>
      <c r="H60" s="22" t="s">
        <v>139</v>
      </c>
      <c r="I60" s="16">
        <v>16</v>
      </c>
      <c r="J60" s="18">
        <v>1500</v>
      </c>
      <c r="K60" s="17">
        <f t="shared" si="0"/>
        <v>93.75</v>
      </c>
      <c r="L60" s="16">
        <v>16</v>
      </c>
      <c r="M60" s="18">
        <f t="shared" si="28"/>
        <v>1440.0000000000007</v>
      </c>
      <c r="N60" s="18">
        <f t="shared" si="2"/>
        <v>90.000000000000043</v>
      </c>
      <c r="O60" s="19">
        <f t="shared" si="3"/>
        <v>0</v>
      </c>
      <c r="P60" s="20">
        <f t="shared" si="4"/>
        <v>-3.7499999999999574</v>
      </c>
      <c r="Q60" s="21">
        <f t="shared" si="5"/>
        <v>0.96000000000000041</v>
      </c>
      <c r="R60" s="172"/>
      <c r="S60" s="28">
        <v>0.80138888888888882</v>
      </c>
      <c r="T60" s="28">
        <v>0.83680555555555547</v>
      </c>
      <c r="U60" s="4">
        <f t="shared" si="30"/>
        <v>5.9999999999999787</v>
      </c>
      <c r="V60" s="22">
        <f t="shared" si="29"/>
        <v>50.999999999999979</v>
      </c>
      <c r="W60" s="23">
        <f>T60</f>
        <v>0.83680555555555547</v>
      </c>
      <c r="X60" s="23">
        <f>S61</f>
        <v>0.87708333333333321</v>
      </c>
      <c r="Y60" s="26"/>
      <c r="Z60" s="26"/>
      <c r="AA60" s="175"/>
      <c r="AB60" s="176"/>
      <c r="AC60" s="25"/>
      <c r="AD60" s="25"/>
      <c r="AE60" s="19">
        <f t="shared" si="7"/>
        <v>-59.999999999999318</v>
      </c>
      <c r="AF60" s="21">
        <f t="shared" si="8"/>
        <v>0.96000000000000041</v>
      </c>
      <c r="AG60" s="172"/>
    </row>
    <row r="61" spans="1:33">
      <c r="A61" s="182" t="s">
        <v>487</v>
      </c>
      <c r="B61" s="37" t="s">
        <v>78</v>
      </c>
      <c r="C61" s="173" t="s">
        <v>125</v>
      </c>
      <c r="D61" s="174"/>
      <c r="E61" s="37">
        <v>54.29</v>
      </c>
      <c r="F61" s="42">
        <v>1302</v>
      </c>
      <c r="G61" s="4">
        <v>70685.58</v>
      </c>
      <c r="H61" s="22" t="s">
        <v>139</v>
      </c>
      <c r="I61" s="16">
        <v>20</v>
      </c>
      <c r="J61" s="18">
        <v>2000</v>
      </c>
      <c r="K61" s="17">
        <f t="shared" si="0"/>
        <v>100</v>
      </c>
      <c r="L61" s="16">
        <v>20</v>
      </c>
      <c r="M61" s="18">
        <f t="shared" si="28"/>
        <v>1905.3658536585358</v>
      </c>
      <c r="N61" s="18">
        <f t="shared" si="2"/>
        <v>95.268292682926784</v>
      </c>
      <c r="O61" s="19">
        <f t="shared" si="3"/>
        <v>0</v>
      </c>
      <c r="P61" s="20">
        <f t="shared" si="4"/>
        <v>-4.7317073170732158</v>
      </c>
      <c r="Q61" s="21">
        <f t="shared" si="5"/>
        <v>0.95268292682926781</v>
      </c>
      <c r="R61" s="172"/>
      <c r="S61" s="28">
        <v>0.87708333333333321</v>
      </c>
      <c r="T61" s="28">
        <v>0.90555555555555545</v>
      </c>
      <c r="U61" s="4">
        <f t="shared" si="30"/>
        <v>57.999999999999957</v>
      </c>
      <c r="V61" s="22">
        <f t="shared" si="29"/>
        <v>41.000000000000014</v>
      </c>
      <c r="W61" s="23"/>
      <c r="X61" s="23"/>
      <c r="Y61" s="26"/>
      <c r="Z61" s="26"/>
      <c r="AA61" s="175"/>
      <c r="AB61" s="176"/>
      <c r="AC61" s="25"/>
      <c r="AD61" s="25"/>
      <c r="AE61" s="19">
        <f t="shared" si="7"/>
        <v>-94.634146341464202</v>
      </c>
      <c r="AF61" s="21">
        <f t="shared" si="8"/>
        <v>0.95268292682926792</v>
      </c>
      <c r="AG61" s="172"/>
    </row>
    <row r="62" spans="1:33">
      <c r="A62" s="183" t="s">
        <v>487</v>
      </c>
      <c r="B62" s="37" t="s">
        <v>479</v>
      </c>
      <c r="C62" s="177"/>
      <c r="D62" s="177"/>
      <c r="E62" s="38"/>
      <c r="F62" s="17"/>
      <c r="G62" s="17"/>
      <c r="H62" s="4"/>
      <c r="I62" s="30">
        <v>18.8</v>
      </c>
      <c r="J62" s="18">
        <v>1950</v>
      </c>
      <c r="K62" s="17">
        <f t="shared" si="0"/>
        <v>103.72340425531914</v>
      </c>
      <c r="L62" s="30">
        <v>18.8</v>
      </c>
      <c r="M62" s="18">
        <f>AVERAGE(M52:M61)</f>
        <v>1818.8721546608904</v>
      </c>
      <c r="N62" s="17">
        <f t="shared" si="2"/>
        <v>96.748518864940976</v>
      </c>
      <c r="O62" s="19">
        <f t="shared" si="3"/>
        <v>0</v>
      </c>
      <c r="P62" s="20">
        <f t="shared" si="4"/>
        <v>-6.9748853903781622</v>
      </c>
      <c r="Q62" s="21">
        <f t="shared" si="5"/>
        <v>0.93275495110814899</v>
      </c>
      <c r="R62" s="172"/>
      <c r="S62" s="28"/>
      <c r="T62" s="28"/>
      <c r="U62" s="4"/>
      <c r="V62" s="22"/>
      <c r="W62" s="17"/>
      <c r="X62" s="17"/>
      <c r="Y62" s="31">
        <f>SUM(Y52:Y61)</f>
        <v>0</v>
      </c>
      <c r="Z62" s="31">
        <f>SUM(Z52:Z61)</f>
        <v>0</v>
      </c>
      <c r="AA62" s="168"/>
      <c r="AB62" s="168"/>
      <c r="AC62" s="31">
        <v>10</v>
      </c>
      <c r="AD62" s="31">
        <f>SUM(AD52:AD61)</f>
        <v>0</v>
      </c>
      <c r="AE62" s="19">
        <f>M62-J62</f>
        <v>-131.12784533910963</v>
      </c>
      <c r="AF62" s="21">
        <f t="shared" si="8"/>
        <v>0.93275495110814888</v>
      </c>
      <c r="AG62" s="172"/>
    </row>
    <row r="63" spans="1:33" ht="15.75" customHeight="1">
      <c r="A63" s="178" t="s">
        <v>405</v>
      </c>
      <c r="B63" s="4" t="s">
        <v>84</v>
      </c>
      <c r="C63" s="165" t="s">
        <v>127</v>
      </c>
      <c r="D63" s="165"/>
      <c r="E63" s="37">
        <v>26.97</v>
      </c>
      <c r="F63" s="42">
        <v>2406</v>
      </c>
      <c r="G63" s="4">
        <v>64889.82</v>
      </c>
      <c r="H63" s="22" t="s">
        <v>139</v>
      </c>
      <c r="I63" s="16">
        <v>8</v>
      </c>
      <c r="J63" s="18">
        <v>1500</v>
      </c>
      <c r="K63" s="17">
        <f t="shared" si="0"/>
        <v>187.5</v>
      </c>
      <c r="L63" s="16">
        <v>8</v>
      </c>
      <c r="M63" s="18">
        <f t="shared" ref="M63:M68" si="31">F63/V63*60</f>
        <v>1429.3069306930695</v>
      </c>
      <c r="N63" s="17">
        <f t="shared" si="2"/>
        <v>178.66336633663369</v>
      </c>
      <c r="O63" s="19">
        <f t="shared" si="3"/>
        <v>0</v>
      </c>
      <c r="P63" s="20">
        <f t="shared" si="4"/>
        <v>-8.8366336633663138</v>
      </c>
      <c r="Q63" s="21">
        <f t="shared" si="5"/>
        <v>0.95287128712871294</v>
      </c>
      <c r="R63" s="172">
        <f>Q69</f>
        <v>0.96354507938857514</v>
      </c>
      <c r="S63" s="28">
        <v>0.20833333333333334</v>
      </c>
      <c r="T63" s="28">
        <v>0.27847222222222223</v>
      </c>
      <c r="U63" s="4"/>
      <c r="V63" s="22">
        <f t="shared" ref="V63:V68" si="32">(T63-S63)*24*60</f>
        <v>101</v>
      </c>
      <c r="W63" s="28"/>
      <c r="X63" s="28"/>
      <c r="Y63" s="28"/>
      <c r="Z63" s="28"/>
      <c r="AA63" s="164"/>
      <c r="AB63" s="164"/>
      <c r="AC63" s="25">
        <v>6</v>
      </c>
      <c r="AD63" s="25"/>
      <c r="AE63" s="19">
        <f t="shared" ref="AE63:AE77" si="33">M63-J63</f>
        <v>-70.693069306930511</v>
      </c>
      <c r="AF63" s="21">
        <f t="shared" si="8"/>
        <v>0.95287128712871294</v>
      </c>
      <c r="AG63" s="172">
        <f>AF69</f>
        <v>0.96354507938857514</v>
      </c>
    </row>
    <row r="64" spans="1:33" ht="15.75" customHeight="1">
      <c r="A64" s="178" t="s">
        <v>405</v>
      </c>
      <c r="B64" s="4" t="s">
        <v>84</v>
      </c>
      <c r="C64" s="165" t="s">
        <v>128</v>
      </c>
      <c r="D64" s="165"/>
      <c r="E64" s="37">
        <v>27.4</v>
      </c>
      <c r="F64" s="42">
        <v>1796</v>
      </c>
      <c r="G64" s="4">
        <v>49210.399999999994</v>
      </c>
      <c r="H64" s="22" t="s">
        <v>139</v>
      </c>
      <c r="I64" s="16">
        <v>10</v>
      </c>
      <c r="J64" s="18">
        <v>1500</v>
      </c>
      <c r="K64" s="17">
        <f t="shared" si="0"/>
        <v>150</v>
      </c>
      <c r="L64" s="16">
        <v>10</v>
      </c>
      <c r="M64" s="18">
        <f t="shared" si="31"/>
        <v>1436.8000000000006</v>
      </c>
      <c r="N64" s="17">
        <f t="shared" si="2"/>
        <v>143.68000000000006</v>
      </c>
      <c r="O64" s="19">
        <f t="shared" si="3"/>
        <v>0</v>
      </c>
      <c r="P64" s="20">
        <f t="shared" si="4"/>
        <v>-6.3199999999999363</v>
      </c>
      <c r="Q64" s="21">
        <f t="shared" si="5"/>
        <v>0.95786666666666709</v>
      </c>
      <c r="R64" s="172"/>
      <c r="S64" s="28">
        <v>0.28402777777777777</v>
      </c>
      <c r="T64" s="28">
        <v>0.33611111111111108</v>
      </c>
      <c r="U64" s="4">
        <f t="shared" ref="U64:U68" si="34">(S64-T63)*24*60</f>
        <v>7.9999999999999716</v>
      </c>
      <c r="V64" s="22">
        <f t="shared" si="32"/>
        <v>74.999999999999972</v>
      </c>
      <c r="W64" s="4"/>
      <c r="X64" s="4"/>
      <c r="Y64" s="4"/>
      <c r="Z64" s="4"/>
      <c r="AA64" s="164"/>
      <c r="AB64" s="164"/>
      <c r="AC64" s="25"/>
      <c r="AD64" s="25"/>
      <c r="AE64" s="19">
        <f t="shared" si="33"/>
        <v>-63.199999999999363</v>
      </c>
      <c r="AF64" s="21">
        <f t="shared" si="8"/>
        <v>0.95786666666666709</v>
      </c>
      <c r="AG64" s="172"/>
    </row>
    <row r="65" spans="1:33" ht="15.75" customHeight="1">
      <c r="A65" s="178" t="s">
        <v>405</v>
      </c>
      <c r="B65" s="4" t="s">
        <v>111</v>
      </c>
      <c r="C65" s="165" t="s">
        <v>129</v>
      </c>
      <c r="D65" s="165"/>
      <c r="E65" s="37">
        <v>31</v>
      </c>
      <c r="F65" s="42">
        <v>766</v>
      </c>
      <c r="G65" s="4">
        <v>23746</v>
      </c>
      <c r="H65" s="22" t="s">
        <v>139</v>
      </c>
      <c r="I65" s="16">
        <v>13</v>
      </c>
      <c r="J65" s="18">
        <v>2000</v>
      </c>
      <c r="K65" s="17">
        <f t="shared" si="0"/>
        <v>153.84615384615384</v>
      </c>
      <c r="L65" s="16">
        <v>13</v>
      </c>
      <c r="M65" s="18">
        <f t="shared" si="31"/>
        <v>1915.0000000000005</v>
      </c>
      <c r="N65" s="17">
        <f t="shared" si="2"/>
        <v>147.30769230769235</v>
      </c>
      <c r="O65" s="19">
        <f t="shared" si="3"/>
        <v>0</v>
      </c>
      <c r="P65" s="20">
        <f t="shared" si="4"/>
        <v>-6.5384615384614904</v>
      </c>
      <c r="Q65" s="21">
        <f t="shared" si="5"/>
        <v>0.95750000000000035</v>
      </c>
      <c r="R65" s="172"/>
      <c r="S65" s="28">
        <v>0.33958333333333329</v>
      </c>
      <c r="T65" s="28">
        <v>0.35624999999999996</v>
      </c>
      <c r="U65" s="4">
        <f t="shared" si="34"/>
        <v>4.9999999999999822</v>
      </c>
      <c r="V65" s="22">
        <f t="shared" si="32"/>
        <v>23.999999999999993</v>
      </c>
      <c r="W65" s="4"/>
      <c r="X65" s="4"/>
      <c r="Y65" s="4"/>
      <c r="Z65" s="4"/>
      <c r="AA65" s="164"/>
      <c r="AB65" s="164"/>
      <c r="AC65" s="25" t="s">
        <v>139</v>
      </c>
      <c r="AD65" s="25"/>
      <c r="AE65" s="19">
        <f t="shared" si="33"/>
        <v>-84.999999999999545</v>
      </c>
      <c r="AF65" s="21">
        <f t="shared" si="8"/>
        <v>0.95750000000000024</v>
      </c>
      <c r="AG65" s="172"/>
    </row>
    <row r="66" spans="1:33" ht="15.75" customHeight="1">
      <c r="A66" s="178" t="s">
        <v>488</v>
      </c>
      <c r="B66" s="4" t="s">
        <v>111</v>
      </c>
      <c r="C66" s="165" t="s">
        <v>130</v>
      </c>
      <c r="D66" s="165"/>
      <c r="E66" s="37">
        <v>37.85</v>
      </c>
      <c r="F66" s="42">
        <v>2762</v>
      </c>
      <c r="G66" s="4">
        <v>104541.7</v>
      </c>
      <c r="H66" s="22" t="s">
        <v>139</v>
      </c>
      <c r="I66" s="16">
        <v>12</v>
      </c>
      <c r="J66" s="18">
        <v>2000</v>
      </c>
      <c r="K66" s="17">
        <f t="shared" si="0"/>
        <v>166.66666666666666</v>
      </c>
      <c r="L66" s="16">
        <v>12</v>
      </c>
      <c r="M66" s="18">
        <f t="shared" si="31"/>
        <v>1904.8275862068961</v>
      </c>
      <c r="N66" s="17">
        <f t="shared" si="2"/>
        <v>158.735632183908</v>
      </c>
      <c r="O66" s="19">
        <f t="shared" si="3"/>
        <v>0</v>
      </c>
      <c r="P66" s="20">
        <f t="shared" si="4"/>
        <v>-7.9310344827586619</v>
      </c>
      <c r="Q66" s="21">
        <f t="shared" si="5"/>
        <v>0.95241379310344798</v>
      </c>
      <c r="R66" s="172"/>
      <c r="S66" s="28">
        <v>0.36111111111111105</v>
      </c>
      <c r="T66" s="28">
        <v>0.42152777777777772</v>
      </c>
      <c r="U66" s="4">
        <f t="shared" si="34"/>
        <v>6.9999999999999751</v>
      </c>
      <c r="V66" s="22">
        <f t="shared" si="32"/>
        <v>87.000000000000014</v>
      </c>
      <c r="W66" s="4"/>
      <c r="X66" s="4"/>
      <c r="Y66" s="4"/>
      <c r="Z66" s="4"/>
      <c r="AA66" s="164"/>
      <c r="AB66" s="164"/>
      <c r="AC66" s="25" t="s">
        <v>139</v>
      </c>
      <c r="AD66" s="25"/>
      <c r="AE66" s="19">
        <f t="shared" si="33"/>
        <v>-95.172413793103942</v>
      </c>
      <c r="AF66" s="21">
        <f t="shared" si="8"/>
        <v>0.95241379310344798</v>
      </c>
      <c r="AG66" s="172"/>
    </row>
    <row r="67" spans="1:33">
      <c r="A67" s="179" t="s">
        <v>488</v>
      </c>
      <c r="B67" s="4" t="s">
        <v>111</v>
      </c>
      <c r="C67" s="165" t="s">
        <v>131</v>
      </c>
      <c r="D67" s="165"/>
      <c r="E67" s="37">
        <v>34.36</v>
      </c>
      <c r="F67" s="42">
        <v>1607</v>
      </c>
      <c r="G67" s="4">
        <v>55216.52</v>
      </c>
      <c r="H67" s="22" t="s">
        <v>139</v>
      </c>
      <c r="I67" s="16">
        <v>10</v>
      </c>
      <c r="J67" s="18">
        <v>3000</v>
      </c>
      <c r="K67" s="17">
        <f t="shared" si="0"/>
        <v>300</v>
      </c>
      <c r="L67" s="16">
        <v>10</v>
      </c>
      <c r="M67" s="18">
        <f t="shared" si="31"/>
        <v>2921.8181818181779</v>
      </c>
      <c r="N67" s="17">
        <f t="shared" si="2"/>
        <v>292.18181818181779</v>
      </c>
      <c r="O67" s="19">
        <f t="shared" si="3"/>
        <v>0</v>
      </c>
      <c r="P67" s="20">
        <f t="shared" si="4"/>
        <v>-7.8181818181822109</v>
      </c>
      <c r="Q67" s="21">
        <f t="shared" si="5"/>
        <v>0.97393939393939266</v>
      </c>
      <c r="R67" s="172"/>
      <c r="S67" s="28">
        <v>0.42708333333333326</v>
      </c>
      <c r="T67" s="28">
        <v>0.44999999999999996</v>
      </c>
      <c r="U67" s="4">
        <f t="shared" si="34"/>
        <v>7.9999999999999716</v>
      </c>
      <c r="V67" s="22">
        <f t="shared" si="32"/>
        <v>33.000000000000043</v>
      </c>
      <c r="W67" s="23"/>
      <c r="X67" s="23"/>
      <c r="Y67" s="23"/>
      <c r="Z67" s="23"/>
      <c r="AA67" s="164"/>
      <c r="AB67" s="164"/>
      <c r="AC67" s="25" t="s">
        <v>139</v>
      </c>
      <c r="AD67" s="25"/>
      <c r="AE67" s="19">
        <f t="shared" si="33"/>
        <v>-78.181818181822109</v>
      </c>
      <c r="AF67" s="21">
        <f t="shared" si="8"/>
        <v>0.97393939393939266</v>
      </c>
      <c r="AG67" s="172"/>
    </row>
    <row r="68" spans="1:33" ht="15" customHeight="1">
      <c r="A68" s="179" t="s">
        <v>488</v>
      </c>
      <c r="B68" s="4" t="s">
        <v>111</v>
      </c>
      <c r="C68" s="173" t="s">
        <v>132</v>
      </c>
      <c r="D68" s="174"/>
      <c r="E68" s="37">
        <v>32.020000000000003</v>
      </c>
      <c r="F68" s="42">
        <v>1751</v>
      </c>
      <c r="G68" s="4">
        <v>56067.020000000004</v>
      </c>
      <c r="H68" s="22" t="s">
        <v>139</v>
      </c>
      <c r="I68" s="16">
        <v>11</v>
      </c>
      <c r="J68" s="18">
        <v>3000</v>
      </c>
      <c r="K68" s="17">
        <f t="shared" si="0"/>
        <v>272.72727272727275</v>
      </c>
      <c r="L68" s="16">
        <v>11</v>
      </c>
      <c r="M68" s="18">
        <f t="shared" si="31"/>
        <v>2918.3333333333312</v>
      </c>
      <c r="N68" s="17">
        <f t="shared" si="2"/>
        <v>265.30303030303008</v>
      </c>
      <c r="O68" s="19">
        <f t="shared" si="3"/>
        <v>0</v>
      </c>
      <c r="P68" s="20">
        <f t="shared" si="4"/>
        <v>-7.4242424242426637</v>
      </c>
      <c r="Q68" s="21">
        <f t="shared" si="5"/>
        <v>0.97277777777777685</v>
      </c>
      <c r="R68" s="172"/>
      <c r="S68" s="28">
        <v>0.45347222222222217</v>
      </c>
      <c r="T68" s="28">
        <v>0.47847222222222219</v>
      </c>
      <c r="U68" s="4">
        <f t="shared" si="34"/>
        <v>4.9999999999999822</v>
      </c>
      <c r="V68" s="22">
        <f t="shared" si="32"/>
        <v>36.000000000000028</v>
      </c>
      <c r="W68" s="4"/>
      <c r="X68" s="4"/>
      <c r="Y68" s="32"/>
      <c r="Z68" s="32"/>
      <c r="AA68" s="175"/>
      <c r="AB68" s="176"/>
      <c r="AC68" s="25" t="s">
        <v>139</v>
      </c>
      <c r="AD68" s="25"/>
      <c r="AE68" s="19">
        <f t="shared" si="33"/>
        <v>-81.666666666668789</v>
      </c>
      <c r="AF68" s="21">
        <f t="shared" si="8"/>
        <v>0.97277777777777708</v>
      </c>
      <c r="AG68" s="172"/>
    </row>
    <row r="69" spans="1:33">
      <c r="A69" s="179" t="s">
        <v>488</v>
      </c>
      <c r="B69" s="37" t="s">
        <v>69</v>
      </c>
      <c r="C69" s="177"/>
      <c r="D69" s="177"/>
      <c r="E69" s="38"/>
      <c r="F69" s="17"/>
      <c r="G69" s="17"/>
      <c r="H69" s="4"/>
      <c r="I69" s="30">
        <v>10.666666666666666</v>
      </c>
      <c r="J69" s="18">
        <v>2166.6666666666665</v>
      </c>
      <c r="K69" s="17">
        <f t="shared" ref="K69:K77" si="35">J69/I69</f>
        <v>203.125</v>
      </c>
      <c r="L69" s="30">
        <v>10.666666666666666</v>
      </c>
      <c r="M69" s="18">
        <f>AVERAGE(M63:M68)</f>
        <v>2087.6810053419126</v>
      </c>
      <c r="N69" s="17">
        <f t="shared" ref="N69:N77" si="36">M69/L69</f>
        <v>195.72009425080432</v>
      </c>
      <c r="O69" s="19">
        <f t="shared" ref="O69:O77" si="37">L69-I69</f>
        <v>0</v>
      </c>
      <c r="P69" s="20">
        <f t="shared" ref="P69:P77" si="38">N69-K69</f>
        <v>-7.4049057491956773</v>
      </c>
      <c r="Q69" s="21">
        <f t="shared" ref="Q69:Q77" si="39">N69/K69</f>
        <v>0.96354507938857514</v>
      </c>
      <c r="R69" s="172"/>
      <c r="S69" s="28"/>
      <c r="T69" s="28"/>
      <c r="U69" s="17"/>
      <c r="V69" s="22"/>
      <c r="W69" s="17"/>
      <c r="X69" s="17"/>
      <c r="Y69" s="31">
        <f>SUM(Y63:Y68)</f>
        <v>0</v>
      </c>
      <c r="Z69" s="31">
        <f>SUM(Z63:Z68)</f>
        <v>0</v>
      </c>
      <c r="AA69" s="168"/>
      <c r="AB69" s="168"/>
      <c r="AC69" s="31">
        <v>6</v>
      </c>
      <c r="AD69" s="31">
        <f>SUM(AD63:AD68)</f>
        <v>0</v>
      </c>
      <c r="AE69" s="19">
        <f t="shared" si="33"/>
        <v>-78.985661324753892</v>
      </c>
      <c r="AF69" s="21">
        <f t="shared" ref="AF69:AF77" si="40">M69/J69</f>
        <v>0.96354507938857514</v>
      </c>
      <c r="AG69" s="172"/>
    </row>
    <row r="70" spans="1:33" ht="15.75" customHeight="1">
      <c r="A70" s="169" t="s">
        <v>489</v>
      </c>
      <c r="B70" s="4" t="s">
        <v>100</v>
      </c>
      <c r="C70" s="165" t="s">
        <v>133</v>
      </c>
      <c r="D70" s="165"/>
      <c r="E70" s="37">
        <v>20.2</v>
      </c>
      <c r="F70" s="4">
        <v>2019</v>
      </c>
      <c r="G70" s="4">
        <v>40783.799999999996</v>
      </c>
      <c r="H70" s="22" t="s">
        <v>139</v>
      </c>
      <c r="I70" s="16">
        <v>19</v>
      </c>
      <c r="J70" s="18">
        <v>2400</v>
      </c>
      <c r="K70" s="17">
        <f t="shared" si="35"/>
        <v>126.31578947368421</v>
      </c>
      <c r="L70" s="16">
        <v>19</v>
      </c>
      <c r="M70" s="18">
        <f t="shared" ref="M70:M76" si="41">F70/V70*60</f>
        <v>2285.6603773584907</v>
      </c>
      <c r="N70" s="17">
        <f t="shared" si="36"/>
        <v>120.29791459781529</v>
      </c>
      <c r="O70" s="19">
        <f t="shared" si="37"/>
        <v>0</v>
      </c>
      <c r="P70" s="20">
        <f t="shared" si="38"/>
        <v>-6.0178748758689125</v>
      </c>
      <c r="Q70" s="21">
        <f t="shared" si="39"/>
        <v>0.95235849056603783</v>
      </c>
      <c r="R70" s="172">
        <f>Q77</f>
        <v>0.95982388552787445</v>
      </c>
      <c r="S70" s="28">
        <v>8.3333333333333329E-2</v>
      </c>
      <c r="T70" s="28">
        <v>0.12013888888888888</v>
      </c>
      <c r="U70" s="28"/>
      <c r="V70" s="22">
        <f t="shared" ref="V70:V76" si="42">(T70-S70)*24*60</f>
        <v>52.999999999999993</v>
      </c>
      <c r="W70" s="23">
        <f>T70</f>
        <v>0.12013888888888888</v>
      </c>
      <c r="X70" s="23">
        <f>S71</f>
        <v>0.14027777777777778</v>
      </c>
      <c r="Y70" s="23"/>
      <c r="Z70" s="23"/>
      <c r="AA70" s="164"/>
      <c r="AB70" s="164"/>
      <c r="AC70" s="25">
        <v>7</v>
      </c>
      <c r="AD70" s="25"/>
      <c r="AE70" s="19">
        <f t="shared" si="33"/>
        <v>-114.33962264150932</v>
      </c>
      <c r="AF70" s="21">
        <f t="shared" si="40"/>
        <v>0.95235849056603783</v>
      </c>
      <c r="AG70" s="172">
        <f>AF77</f>
        <v>0.95982388552787445</v>
      </c>
    </row>
    <row r="71" spans="1:33" ht="15.75" customHeight="1">
      <c r="A71" s="170" t="s">
        <v>75</v>
      </c>
      <c r="B71" s="4" t="s">
        <v>100</v>
      </c>
      <c r="C71" s="165" t="s">
        <v>134</v>
      </c>
      <c r="D71" s="165"/>
      <c r="E71" s="37">
        <v>20.52</v>
      </c>
      <c r="F71" s="4">
        <v>2878</v>
      </c>
      <c r="G71" s="4">
        <v>59056.56</v>
      </c>
      <c r="H71" s="22" t="s">
        <v>139</v>
      </c>
      <c r="I71" s="16">
        <v>18</v>
      </c>
      <c r="J71" s="18">
        <v>2400</v>
      </c>
      <c r="K71" s="17">
        <f t="shared" si="35"/>
        <v>133.33333333333334</v>
      </c>
      <c r="L71" s="16">
        <v>18</v>
      </c>
      <c r="M71" s="18">
        <f t="shared" si="41"/>
        <v>2302.3999999999996</v>
      </c>
      <c r="N71" s="17">
        <f t="shared" si="36"/>
        <v>127.9111111111111</v>
      </c>
      <c r="O71" s="19">
        <f t="shared" si="37"/>
        <v>0</v>
      </c>
      <c r="P71" s="20">
        <f t="shared" si="38"/>
        <v>-5.4222222222222456</v>
      </c>
      <c r="Q71" s="21">
        <f t="shared" si="39"/>
        <v>0.95933333333333315</v>
      </c>
      <c r="R71" s="172"/>
      <c r="S71" s="28">
        <v>0.14027777777777778</v>
      </c>
      <c r="T71" s="28">
        <v>0.19236111111111112</v>
      </c>
      <c r="U71" s="4">
        <f t="shared" ref="U71:U76" si="43">(S71-T70)*24*60</f>
        <v>29.000000000000018</v>
      </c>
      <c r="V71" s="22">
        <f t="shared" si="42"/>
        <v>75.000000000000014</v>
      </c>
      <c r="W71" s="23"/>
      <c r="X71" s="23"/>
      <c r="Y71" s="23"/>
      <c r="Z71" s="23"/>
      <c r="AA71" s="164"/>
      <c r="AB71" s="164"/>
      <c r="AC71" s="25"/>
      <c r="AD71" s="25"/>
      <c r="AE71" s="19">
        <f t="shared" si="33"/>
        <v>-97.600000000000364</v>
      </c>
      <c r="AF71" s="21">
        <f t="shared" si="40"/>
        <v>0.95933333333333315</v>
      </c>
      <c r="AG71" s="172"/>
    </row>
    <row r="72" spans="1:33" ht="15.75" customHeight="1">
      <c r="A72" s="170" t="s">
        <v>489</v>
      </c>
      <c r="B72" s="4" t="s">
        <v>100</v>
      </c>
      <c r="C72" s="165" t="s">
        <v>136</v>
      </c>
      <c r="D72" s="165"/>
      <c r="E72" s="37">
        <v>24.43</v>
      </c>
      <c r="F72" s="4">
        <v>5375</v>
      </c>
      <c r="G72" s="4">
        <v>131311.25</v>
      </c>
      <c r="H72" s="22" t="s">
        <v>139</v>
      </c>
      <c r="I72" s="16">
        <v>14</v>
      </c>
      <c r="J72" s="18">
        <v>2400</v>
      </c>
      <c r="K72" s="17">
        <f t="shared" si="35"/>
        <v>171.42857142857142</v>
      </c>
      <c r="L72" s="16">
        <v>14</v>
      </c>
      <c r="M72" s="18">
        <f t="shared" si="41"/>
        <v>2287.234042553192</v>
      </c>
      <c r="N72" s="17">
        <f t="shared" si="36"/>
        <v>163.37386018237086</v>
      </c>
      <c r="O72" s="19">
        <f t="shared" si="37"/>
        <v>0</v>
      </c>
      <c r="P72" s="20">
        <f t="shared" si="38"/>
        <v>-8.0547112462005543</v>
      </c>
      <c r="Q72" s="21">
        <f t="shared" si="39"/>
        <v>0.95301418439716346</v>
      </c>
      <c r="R72" s="172"/>
      <c r="S72" s="28">
        <v>0.19722222222222224</v>
      </c>
      <c r="T72" s="28">
        <v>0.2951388888888889</v>
      </c>
      <c r="U72" s="4">
        <f t="shared" si="43"/>
        <v>7.0000000000000151</v>
      </c>
      <c r="V72" s="22">
        <f t="shared" si="42"/>
        <v>140.99999999999997</v>
      </c>
      <c r="W72" s="23"/>
      <c r="X72" s="23"/>
      <c r="Y72" s="23"/>
      <c r="Z72" s="23"/>
      <c r="AA72" s="164"/>
      <c r="AB72" s="164"/>
      <c r="AC72" s="25"/>
      <c r="AD72" s="25"/>
      <c r="AE72" s="19">
        <f t="shared" si="33"/>
        <v>-112.76595744680799</v>
      </c>
      <c r="AF72" s="21">
        <f t="shared" si="40"/>
        <v>0.95301418439716334</v>
      </c>
      <c r="AG72" s="172"/>
    </row>
    <row r="73" spans="1:33" ht="15.75" customHeight="1">
      <c r="A73" s="170" t="s">
        <v>489</v>
      </c>
      <c r="B73" s="4" t="s">
        <v>100</v>
      </c>
      <c r="C73" s="165" t="s">
        <v>137</v>
      </c>
      <c r="D73" s="165"/>
      <c r="E73" s="37">
        <v>20.21</v>
      </c>
      <c r="F73" s="4">
        <v>3083</v>
      </c>
      <c r="G73" s="4">
        <v>62307.43</v>
      </c>
      <c r="H73" s="22" t="s">
        <v>139</v>
      </c>
      <c r="I73" s="16">
        <v>16</v>
      </c>
      <c r="J73" s="18">
        <v>2400</v>
      </c>
      <c r="K73" s="17">
        <f t="shared" si="35"/>
        <v>150</v>
      </c>
      <c r="L73" s="16">
        <v>16</v>
      </c>
      <c r="M73" s="18">
        <f t="shared" si="41"/>
        <v>2312.2500000000014</v>
      </c>
      <c r="N73" s="17">
        <f t="shared" si="36"/>
        <v>144.51562500000009</v>
      </c>
      <c r="O73" s="19">
        <f t="shared" si="37"/>
        <v>0</v>
      </c>
      <c r="P73" s="20">
        <f t="shared" si="38"/>
        <v>-5.4843749999999147</v>
      </c>
      <c r="Q73" s="21">
        <f t="shared" si="39"/>
        <v>0.96343750000000061</v>
      </c>
      <c r="R73" s="172"/>
      <c r="S73" s="28">
        <v>0.3</v>
      </c>
      <c r="T73" s="28">
        <v>0.35555555555555551</v>
      </c>
      <c r="U73" s="4">
        <f t="shared" si="43"/>
        <v>6.9999999999999751</v>
      </c>
      <c r="V73" s="22">
        <f t="shared" si="42"/>
        <v>79.999999999999957</v>
      </c>
      <c r="W73" s="23"/>
      <c r="X73" s="23"/>
      <c r="Y73" s="23"/>
      <c r="Z73" s="23"/>
      <c r="AA73" s="164"/>
      <c r="AB73" s="164"/>
      <c r="AC73" s="25"/>
      <c r="AD73" s="25"/>
      <c r="AE73" s="19">
        <f t="shared" si="33"/>
        <v>-87.749999999998636</v>
      </c>
      <c r="AF73" s="21">
        <f t="shared" si="40"/>
        <v>0.96343750000000061</v>
      </c>
      <c r="AG73" s="172"/>
    </row>
    <row r="74" spans="1:33" ht="15.75" customHeight="1">
      <c r="A74" s="170" t="s">
        <v>489</v>
      </c>
      <c r="B74" s="4" t="s">
        <v>100</v>
      </c>
      <c r="C74" s="165" t="s">
        <v>138</v>
      </c>
      <c r="D74" s="165"/>
      <c r="E74" s="37">
        <v>22.69</v>
      </c>
      <c r="F74" s="4">
        <v>1251</v>
      </c>
      <c r="G74" s="4">
        <v>28385.190000000002</v>
      </c>
      <c r="H74" s="22" t="s">
        <v>139</v>
      </c>
      <c r="I74" s="16">
        <v>15</v>
      </c>
      <c r="J74" s="18">
        <v>2400</v>
      </c>
      <c r="K74" s="17">
        <f t="shared" si="35"/>
        <v>160</v>
      </c>
      <c r="L74" s="16">
        <v>15</v>
      </c>
      <c r="M74" s="18">
        <f t="shared" si="41"/>
        <v>2345.6250000000027</v>
      </c>
      <c r="N74" s="17">
        <f t="shared" si="36"/>
        <v>156.37500000000017</v>
      </c>
      <c r="O74" s="19">
        <f t="shared" si="37"/>
        <v>0</v>
      </c>
      <c r="P74" s="20">
        <f t="shared" si="38"/>
        <v>-3.6249999999998295</v>
      </c>
      <c r="Q74" s="21">
        <f t="shared" si="39"/>
        <v>0.97734375000000107</v>
      </c>
      <c r="R74" s="172"/>
      <c r="S74" s="28">
        <v>0.35972222222222217</v>
      </c>
      <c r="T74" s="28">
        <v>0.38194444444444436</v>
      </c>
      <c r="U74" s="4">
        <f t="shared" si="43"/>
        <v>5.9999999999999787</v>
      </c>
      <c r="V74" s="22">
        <f t="shared" si="42"/>
        <v>31.999999999999964</v>
      </c>
      <c r="W74" s="23"/>
      <c r="X74" s="23"/>
      <c r="Y74" s="23"/>
      <c r="Z74" s="23"/>
      <c r="AA74" s="164"/>
      <c r="AB74" s="164"/>
      <c r="AC74" s="25"/>
      <c r="AD74" s="25"/>
      <c r="AE74" s="19">
        <f t="shared" si="33"/>
        <v>-54.374999999997272</v>
      </c>
      <c r="AF74" s="21">
        <f t="shared" si="40"/>
        <v>0.97734375000000118</v>
      </c>
      <c r="AG74" s="172"/>
    </row>
    <row r="75" spans="1:33" ht="15.75" customHeight="1">
      <c r="A75" s="170" t="s">
        <v>489</v>
      </c>
      <c r="B75" s="4" t="s">
        <v>100</v>
      </c>
      <c r="C75" s="165" t="s">
        <v>135</v>
      </c>
      <c r="D75" s="165"/>
      <c r="E75" s="37">
        <v>19.02</v>
      </c>
      <c r="F75" s="4">
        <v>4500</v>
      </c>
      <c r="G75" s="4">
        <v>85590</v>
      </c>
      <c r="H75" s="22">
        <v>2</v>
      </c>
      <c r="I75" s="16">
        <v>15</v>
      </c>
      <c r="J75" s="18">
        <v>2400</v>
      </c>
      <c r="K75" s="17">
        <f t="shared" si="35"/>
        <v>160</v>
      </c>
      <c r="L75" s="16">
        <v>15</v>
      </c>
      <c r="M75" s="18">
        <f t="shared" si="41"/>
        <v>2288.1355932203396</v>
      </c>
      <c r="N75" s="17">
        <f t="shared" si="36"/>
        <v>152.54237288135599</v>
      </c>
      <c r="O75" s="19">
        <f t="shared" si="37"/>
        <v>0</v>
      </c>
      <c r="P75" s="20">
        <f t="shared" si="38"/>
        <v>-7.4576271186440124</v>
      </c>
      <c r="Q75" s="21">
        <f t="shared" si="39"/>
        <v>0.95338983050847492</v>
      </c>
      <c r="R75" s="172"/>
      <c r="S75" s="28">
        <v>0.38680555555555546</v>
      </c>
      <c r="T75" s="28">
        <v>0.46874999999999989</v>
      </c>
      <c r="U75" s="4">
        <f t="shared" si="43"/>
        <v>6.9999999999999751</v>
      </c>
      <c r="V75" s="22">
        <f t="shared" si="42"/>
        <v>117.99999999999999</v>
      </c>
      <c r="W75" s="23">
        <f>T75</f>
        <v>0.46874999999999989</v>
      </c>
      <c r="X75" s="23">
        <f>S76</f>
        <v>0.50972222222222208</v>
      </c>
      <c r="Y75" s="23"/>
      <c r="Z75" s="23"/>
      <c r="AA75" s="164"/>
      <c r="AB75" s="164"/>
      <c r="AC75" s="25"/>
      <c r="AD75" s="25"/>
      <c r="AE75" s="19">
        <f t="shared" si="33"/>
        <v>-111.86440677966038</v>
      </c>
      <c r="AF75" s="21">
        <f t="shared" si="40"/>
        <v>0.95338983050847481</v>
      </c>
      <c r="AG75" s="172"/>
    </row>
    <row r="76" spans="1:33" ht="15.75" customHeight="1">
      <c r="A76" s="170" t="s">
        <v>490</v>
      </c>
      <c r="B76" s="4" t="s">
        <v>100</v>
      </c>
      <c r="C76" s="165" t="s">
        <v>135</v>
      </c>
      <c r="D76" s="165"/>
      <c r="E76" s="37">
        <v>19.02</v>
      </c>
      <c r="F76" s="4">
        <v>3494</v>
      </c>
      <c r="G76" s="4">
        <v>66455.88</v>
      </c>
      <c r="H76" s="22" t="s">
        <v>139</v>
      </c>
      <c r="I76" s="16">
        <v>15</v>
      </c>
      <c r="J76" s="18">
        <v>2400</v>
      </c>
      <c r="K76" s="17">
        <f t="shared" si="35"/>
        <v>160</v>
      </c>
      <c r="L76" s="16">
        <v>15</v>
      </c>
      <c r="M76" s="18">
        <f t="shared" si="41"/>
        <v>2303.7362637362635</v>
      </c>
      <c r="N76" s="17">
        <f t="shared" si="36"/>
        <v>153.58241758241758</v>
      </c>
      <c r="O76" s="19">
        <f t="shared" si="37"/>
        <v>0</v>
      </c>
      <c r="P76" s="20">
        <f t="shared" si="38"/>
        <v>-6.4175824175824232</v>
      </c>
      <c r="Q76" s="21">
        <f t="shared" si="39"/>
        <v>0.95989010989010981</v>
      </c>
      <c r="R76" s="172"/>
      <c r="S76" s="28">
        <v>0.50972222222222208</v>
      </c>
      <c r="T76" s="28">
        <v>0.57291666666666652</v>
      </c>
      <c r="U76" s="4">
        <f t="shared" si="43"/>
        <v>58.99999999999995</v>
      </c>
      <c r="V76" s="22">
        <f t="shared" si="42"/>
        <v>91</v>
      </c>
      <c r="W76" s="23"/>
      <c r="X76" s="23"/>
      <c r="Y76" s="26"/>
      <c r="Z76" s="26"/>
      <c r="AA76" s="175"/>
      <c r="AB76" s="176"/>
      <c r="AC76" s="25"/>
      <c r="AD76" s="25"/>
      <c r="AE76" s="19">
        <f t="shared" si="33"/>
        <v>-96.263736263736519</v>
      </c>
      <c r="AF76" s="21">
        <f t="shared" si="40"/>
        <v>0.95989010989010981</v>
      </c>
      <c r="AG76" s="172"/>
    </row>
    <row r="77" spans="1:33" ht="16.5" customHeight="1">
      <c r="A77" s="171" t="s">
        <v>490</v>
      </c>
      <c r="B77" s="37" t="s">
        <v>479</v>
      </c>
      <c r="C77" s="166"/>
      <c r="D77" s="167"/>
      <c r="E77" s="38"/>
      <c r="F77" s="17"/>
      <c r="G77" s="17"/>
      <c r="H77" s="4"/>
      <c r="I77" s="30">
        <v>16</v>
      </c>
      <c r="J77" s="18">
        <v>2400</v>
      </c>
      <c r="K77" s="17">
        <f t="shared" si="35"/>
        <v>150</v>
      </c>
      <c r="L77" s="30">
        <v>16</v>
      </c>
      <c r="M77" s="18">
        <f>AVERAGE(M70:M76)</f>
        <v>2303.5773252668987</v>
      </c>
      <c r="N77" s="17">
        <f t="shared" si="36"/>
        <v>143.97358282918117</v>
      </c>
      <c r="O77" s="19">
        <f t="shared" si="37"/>
        <v>0</v>
      </c>
      <c r="P77" s="20">
        <f t="shared" si="38"/>
        <v>-6.0264171708188314</v>
      </c>
      <c r="Q77" s="21">
        <f t="shared" si="39"/>
        <v>0.95982388552787445</v>
      </c>
      <c r="R77" s="172"/>
      <c r="S77" s="28"/>
      <c r="T77" s="28"/>
      <c r="U77" s="17"/>
      <c r="V77" s="22"/>
      <c r="W77" s="17"/>
      <c r="X77" s="17"/>
      <c r="Y77" s="31">
        <f>SUM(Y70:Y76)</f>
        <v>0</v>
      </c>
      <c r="Z77" s="31">
        <f>SUM(Z70:Z76)</f>
        <v>0</v>
      </c>
      <c r="AA77" s="168"/>
      <c r="AB77" s="168"/>
      <c r="AC77" s="31">
        <v>7</v>
      </c>
      <c r="AD77" s="31">
        <f>SUM(AD70:AD76)</f>
        <v>0</v>
      </c>
      <c r="AE77" s="19">
        <f t="shared" si="33"/>
        <v>-96.422674733101303</v>
      </c>
      <c r="AF77" s="21">
        <f t="shared" si="40"/>
        <v>0.95982388552787445</v>
      </c>
      <c r="AG77" s="172"/>
    </row>
    <row r="78" spans="1:33">
      <c r="D78" s="33"/>
      <c r="E78" s="33"/>
    </row>
  </sheetData>
  <mergeCells count="206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15:A22"/>
    <mergeCell ref="C15:D15"/>
    <mergeCell ref="R15:R22"/>
    <mergeCell ref="AA15:AB15"/>
    <mergeCell ref="AG15:AG22"/>
    <mergeCell ref="C10:D10"/>
    <mergeCell ref="AA10:AB10"/>
    <mergeCell ref="C11:D11"/>
    <mergeCell ref="AA11:AB11"/>
    <mergeCell ref="A12:A14"/>
    <mergeCell ref="C12:D12"/>
    <mergeCell ref="R12:R14"/>
    <mergeCell ref="AA12:AB12"/>
    <mergeCell ref="A5:A11"/>
    <mergeCell ref="C16:D16"/>
    <mergeCell ref="AA16:AB16"/>
    <mergeCell ref="C17:D17"/>
    <mergeCell ref="AA17:AB17"/>
    <mergeCell ref="C18:D18"/>
    <mergeCell ref="AA18:AB18"/>
    <mergeCell ref="AG12:AG14"/>
    <mergeCell ref="C13:D13"/>
    <mergeCell ref="AA13:AB13"/>
    <mergeCell ref="C14:D14"/>
    <mergeCell ref="AA14:AB14"/>
    <mergeCell ref="AG23:AG29"/>
    <mergeCell ref="C24:D24"/>
    <mergeCell ref="AA24:AB24"/>
    <mergeCell ref="C25:D25"/>
    <mergeCell ref="AA25:AB25"/>
    <mergeCell ref="C26:D26"/>
    <mergeCell ref="C19:D19"/>
    <mergeCell ref="AA19:AB19"/>
    <mergeCell ref="C20:D20"/>
    <mergeCell ref="AA20:AB20"/>
    <mergeCell ref="AA21:AB21"/>
    <mergeCell ref="C22:D22"/>
    <mergeCell ref="AA22:AB22"/>
    <mergeCell ref="AA26:AB26"/>
    <mergeCell ref="C27:D27"/>
    <mergeCell ref="AA27:AB27"/>
    <mergeCell ref="C28:D28"/>
    <mergeCell ref="AA28:AB28"/>
    <mergeCell ref="C29:D29"/>
    <mergeCell ref="AA29:AB29"/>
    <mergeCell ref="A23:A29"/>
    <mergeCell ref="C23:D23"/>
    <mergeCell ref="R23:R29"/>
    <mergeCell ref="AA23:AB23"/>
    <mergeCell ref="A30:A36"/>
    <mergeCell ref="C30:D30"/>
    <mergeCell ref="R30:R36"/>
    <mergeCell ref="AA30:AB30"/>
    <mergeCell ref="AG30:AG36"/>
    <mergeCell ref="C31:D31"/>
    <mergeCell ref="AA31:AB31"/>
    <mergeCell ref="C32:D32"/>
    <mergeCell ref="AA32:AB32"/>
    <mergeCell ref="C33:D33"/>
    <mergeCell ref="AG37:AG42"/>
    <mergeCell ref="C38:D38"/>
    <mergeCell ref="AA38:AB38"/>
    <mergeCell ref="C39:D39"/>
    <mergeCell ref="AA39:AB39"/>
    <mergeCell ref="C40:D40"/>
    <mergeCell ref="AA33:AB33"/>
    <mergeCell ref="C34:D34"/>
    <mergeCell ref="AA34:AB34"/>
    <mergeCell ref="C35:D35"/>
    <mergeCell ref="AA35:AB35"/>
    <mergeCell ref="C36:D36"/>
    <mergeCell ref="AA36:AB36"/>
    <mergeCell ref="AA40:AB40"/>
    <mergeCell ref="C41:D41"/>
    <mergeCell ref="AA41:AB41"/>
    <mergeCell ref="C42:D42"/>
    <mergeCell ref="AA42:AB42"/>
    <mergeCell ref="A43:A51"/>
    <mergeCell ref="C43:D43"/>
    <mergeCell ref="R43:R51"/>
    <mergeCell ref="AA43:AB43"/>
    <mergeCell ref="AA48:AB48"/>
    <mergeCell ref="A37:A42"/>
    <mergeCell ref="C37:D37"/>
    <mergeCell ref="R37:R42"/>
    <mergeCell ref="AA37:AB37"/>
    <mergeCell ref="C49:D49"/>
    <mergeCell ref="AA49:AB49"/>
    <mergeCell ref="C50:D50"/>
    <mergeCell ref="AA50:AB50"/>
    <mergeCell ref="C51:D51"/>
    <mergeCell ref="AA51:AB51"/>
    <mergeCell ref="AG43:AG51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52:A62"/>
    <mergeCell ref="C52:D52"/>
    <mergeCell ref="R52:R62"/>
    <mergeCell ref="AA52:AB52"/>
    <mergeCell ref="C53:D53"/>
    <mergeCell ref="AA53:AB53"/>
    <mergeCell ref="C54:D54"/>
    <mergeCell ref="AA54:AB54"/>
    <mergeCell ref="AA55:AB55"/>
    <mergeCell ref="C62:D62"/>
    <mergeCell ref="AA62:AB62"/>
    <mergeCell ref="AG52:AG62"/>
    <mergeCell ref="AA66:AB66"/>
    <mergeCell ref="C67:D67"/>
    <mergeCell ref="AA67:AB67"/>
    <mergeCell ref="C68:D68"/>
    <mergeCell ref="AA68:AB68"/>
    <mergeCell ref="C69:D69"/>
    <mergeCell ref="AA69:AB69"/>
    <mergeCell ref="AA56:AB56"/>
    <mergeCell ref="C57:D57"/>
    <mergeCell ref="AA57:AB57"/>
    <mergeCell ref="C58:D58"/>
    <mergeCell ref="AA58:AB58"/>
    <mergeCell ref="C59:D59"/>
    <mergeCell ref="AA59:AB59"/>
    <mergeCell ref="C64:D64"/>
    <mergeCell ref="AA64:AB64"/>
    <mergeCell ref="C65:D65"/>
    <mergeCell ref="AA65:AB65"/>
    <mergeCell ref="C66:D66"/>
    <mergeCell ref="C60:D60"/>
    <mergeCell ref="AA60:AB60"/>
    <mergeCell ref="C61:D61"/>
    <mergeCell ref="AA61:AB61"/>
    <mergeCell ref="A63:A69"/>
    <mergeCell ref="C63:D63"/>
    <mergeCell ref="R63:R69"/>
    <mergeCell ref="AA63:AB63"/>
    <mergeCell ref="A70:A77"/>
    <mergeCell ref="C70:D70"/>
    <mergeCell ref="R70:R77"/>
    <mergeCell ref="AA70:AB70"/>
    <mergeCell ref="AG70:AG77"/>
    <mergeCell ref="C71:D71"/>
    <mergeCell ref="AA71:AB71"/>
    <mergeCell ref="C72:D72"/>
    <mergeCell ref="AA72:AB72"/>
    <mergeCell ref="C73:D73"/>
    <mergeCell ref="C77:D77"/>
    <mergeCell ref="AA77:AB77"/>
    <mergeCell ref="AA73:AB73"/>
    <mergeCell ref="C74:D74"/>
    <mergeCell ref="AA74:AB74"/>
    <mergeCell ref="C75:D75"/>
    <mergeCell ref="AA75:AB75"/>
    <mergeCell ref="C76:D76"/>
    <mergeCell ref="AA76:AB76"/>
    <mergeCell ref="AG63:AG69"/>
  </mergeCells>
  <phoneticPr fontId="3" type="noConversion"/>
  <conditionalFormatting sqref="O5:O77">
    <cfRule type="cellIs" dxfId="38" priority="1" operator="greaterThan">
      <formula>0</formula>
    </cfRule>
  </conditionalFormatting>
  <conditionalFormatting sqref="P5:P77">
    <cfRule type="cellIs" dxfId="37" priority="4" operator="lessThan">
      <formula>0</formula>
    </cfRule>
  </conditionalFormatting>
  <conditionalFormatting sqref="Q5:Q77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R5:R12 AG5:AG12">
    <cfRule type="cellIs" dxfId="34" priority="79" operator="lessThan">
      <formula>0.8</formula>
    </cfRule>
  </conditionalFormatting>
  <conditionalFormatting sqref="AE5:AE77">
    <cfRule type="cellIs" dxfId="33" priority="22" operator="lessThan">
      <formula>0</formula>
    </cfRule>
  </conditionalFormatting>
  <conditionalFormatting sqref="AF5:AF77">
    <cfRule type="cellIs" dxfId="32" priority="20" operator="greaterThan">
      <formula>1</formula>
    </cfRule>
    <cfRule type="cellIs" dxfId="31" priority="21" operator="lessThan">
      <formula>0.8</formula>
    </cfRule>
  </conditionalFormatting>
  <conditionalFormatting sqref="AG15:AG66 R15:R77">
    <cfRule type="cellIs" dxfId="30" priority="5" operator="lessThan">
      <formula>0.8</formula>
    </cfRule>
  </conditionalFormatting>
  <dataValidations count="1">
    <dataValidation type="list" allowBlank="1" showInputMessage="1" showErrorMessage="1" sqref="AA5:AB9 AB10:AB11 AB67:AB68 AA10:AA68 AB13:AB63 AA69:AB77" xr:uid="{00000000-0002-0000-3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Q32"/>
  <sheetViews>
    <sheetView zoomScale="85" zoomScaleNormal="85" workbookViewId="0">
      <selection activeCell="I4" sqref="I4:J4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297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298</v>
      </c>
      <c r="C3" s="153" t="str">
        <f>TEXT('0203 4度C'!A2,"yyyy.mm.ddaaaa")</f>
        <v>2026.02.03星期二</v>
      </c>
      <c r="D3" s="154"/>
      <c r="E3" s="47" t="s">
        <v>299</v>
      </c>
      <c r="F3" s="155">
        <f>'0203 4度C'!D1</f>
        <v>168135</v>
      </c>
      <c r="G3" s="156"/>
      <c r="H3" s="47" t="s">
        <v>300</v>
      </c>
      <c r="I3" s="157">
        <f>'0203 4度C'!F1</f>
        <v>5770440.7999999998</v>
      </c>
      <c r="J3" s="158"/>
      <c r="K3" s="48"/>
      <c r="L3" s="49"/>
      <c r="M3" s="49"/>
      <c r="N3" s="49"/>
    </row>
    <row r="4" spans="2:17" ht="28.5" customHeight="1">
      <c r="B4" s="159" t="s">
        <v>301</v>
      </c>
      <c r="C4" s="145" t="s">
        <v>302</v>
      </c>
      <c r="D4" s="146"/>
      <c r="E4" s="162" t="s">
        <v>303</v>
      </c>
      <c r="F4" s="163"/>
      <c r="G4" s="162" t="s">
        <v>304</v>
      </c>
      <c r="H4" s="163"/>
      <c r="I4" s="162" t="s">
        <v>305</v>
      </c>
      <c r="J4" s="163"/>
      <c r="K4" s="143" t="s">
        <v>306</v>
      </c>
      <c r="L4" s="144"/>
      <c r="M4" s="144" t="s">
        <v>307</v>
      </c>
      <c r="N4" s="144"/>
    </row>
    <row r="5" spans="2:17" ht="28.5" customHeight="1">
      <c r="B5" s="160"/>
      <c r="C5" s="145" t="s">
        <v>308</v>
      </c>
      <c r="D5" s="146"/>
      <c r="E5" s="145" t="s">
        <v>309</v>
      </c>
      <c r="F5" s="146"/>
      <c r="G5" s="147" t="s">
        <v>310</v>
      </c>
      <c r="H5" s="148"/>
      <c r="I5" s="149" t="s">
        <v>311</v>
      </c>
      <c r="J5" s="150"/>
      <c r="K5" s="50" t="s">
        <v>312</v>
      </c>
      <c r="L5" s="51" t="s">
        <v>313</v>
      </c>
      <c r="M5" s="50" t="s">
        <v>314</v>
      </c>
      <c r="N5" s="51" t="s">
        <v>315</v>
      </c>
    </row>
    <row r="6" spans="2:17" ht="28.5" customHeight="1">
      <c r="B6" s="160"/>
      <c r="C6" s="145" t="s">
        <v>158</v>
      </c>
      <c r="D6" s="146"/>
      <c r="E6" s="137">
        <f>AVERAGE(D13:M13)</f>
        <v>145.66053635548687</v>
      </c>
      <c r="F6" s="138">
        <f>AVERAGE(D31:O31,D13:J13)</f>
        <v>149.0774714988294</v>
      </c>
      <c r="G6" s="139">
        <f>AVERAGE(D13:J13)</f>
        <v>149.0774714988294</v>
      </c>
      <c r="H6" s="140"/>
      <c r="I6" s="139">
        <f>AVERAGE(K13:M13)</f>
        <v>137.68768768768768</v>
      </c>
      <c r="J6" s="140"/>
      <c r="K6" s="141">
        <f>'0203 4度C'!Y2</f>
        <v>0</v>
      </c>
      <c r="L6" s="126">
        <f>'0203 4度C'!Z2</f>
        <v>0</v>
      </c>
      <c r="M6" s="142">
        <f>'0203 4度C'!AC2</f>
        <v>66</v>
      </c>
      <c r="N6" s="126">
        <f>'0203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139.39772204514324</v>
      </c>
      <c r="F7" s="130">
        <f>AVERAGE(D32:O32,D14:J14)</f>
        <v>142.73237471197146</v>
      </c>
      <c r="G7" s="131">
        <f>AVERAGE(D14:J14)</f>
        <v>142.73237471197146</v>
      </c>
      <c r="H7" s="132"/>
      <c r="I7" s="131">
        <f>AVERAGE(K14:M14)</f>
        <v>131.6168658225441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0.95601926570833096</v>
      </c>
      <c r="F8" s="134">
        <f>AVERAGE(D15:J15,D33:O33)</f>
        <v>0.95603610147937435</v>
      </c>
      <c r="G8" s="135">
        <f>AVERAGE(D15:J15)</f>
        <v>0.95603610147937435</v>
      </c>
      <c r="H8" s="136"/>
      <c r="I8" s="135">
        <f>AVERAGE(K15:M15)</f>
        <v>0.95597998224256353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316</v>
      </c>
      <c r="N9" s="49"/>
      <c r="O9" s="49"/>
      <c r="P9" s="49"/>
      <c r="Q9" s="49"/>
    </row>
    <row r="10" spans="2:17" ht="30" customHeight="1">
      <c r="B10" s="109" t="s">
        <v>317</v>
      </c>
      <c r="C10" s="110"/>
      <c r="D10" s="111" t="s">
        <v>318</v>
      </c>
      <c r="E10" s="112"/>
      <c r="F10" s="112"/>
      <c r="G10" s="112"/>
      <c r="H10" s="112"/>
      <c r="I10" s="112"/>
      <c r="J10" s="113"/>
      <c r="K10" s="114" t="s">
        <v>319</v>
      </c>
      <c r="L10" s="115"/>
      <c r="M10" s="116"/>
      <c r="P10" s="55"/>
      <c r="Q10" s="55"/>
    </row>
    <row r="11" spans="2:17" ht="17.25" customHeight="1">
      <c r="B11" s="117" t="s">
        <v>320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321</v>
      </c>
      <c r="C13" s="62" t="s">
        <v>322</v>
      </c>
      <c r="D13" s="63">
        <f>SUMIFS('0203 4度C'!$K:$K,'0203 4度C'!$A:$A,"新豐6線",'0203 4度C'!$B:$B,"平均")</f>
        <v>116.50485436893203</v>
      </c>
      <c r="E13" s="64">
        <f>SUMIFS('0203 4度C'!$K:$K,'0203 4度C'!$A:$A,"新豐2線",'0203 4度C'!$B:$B,"平均")</f>
        <v>83.333333333333329</v>
      </c>
      <c r="F13" s="65">
        <f>SUMIFS('0203 4度C'!$K:$K,'0203 4度C'!$A:$A,"新豐5線",'0203 4度C'!$B:$B,"平均")</f>
        <v>110.16949152542372</v>
      </c>
      <c r="G13" s="65">
        <f>SUMIFS('0203 4度C'!$K:$K,'0203 4度C'!$A:$A,"新豐7線",'0203 4度C'!$B:$B,"平均")</f>
        <v>123.65591397849462</v>
      </c>
      <c r="H13" s="65">
        <f>SUMIFS('0203 4度C'!$K:$K,'0203 4度C'!$A:$A,"新豐3線",'0203 4度C'!$B:$B,"平均")</f>
        <v>303.030303030303</v>
      </c>
      <c r="I13" s="65">
        <f>SUMIFS('0203 4度C'!$K:$K,'0203 4度C'!$A:$A,"新豐1線",'0203 4度C'!$B:$B,"平均")</f>
        <v>103.72340425531914</v>
      </c>
      <c r="J13" s="66">
        <f>SUMIFS('0203 4度C'!$K:$K,'0203 4度C'!$A:$A,"新豐10線",'0203 4度C'!$B:$B,"平均")</f>
        <v>203.125</v>
      </c>
      <c r="K13" s="67">
        <f>SUMIFS('0203 4度C'!$K:$K,'0203 4度C'!$A:$A,"新豐8線",'0203 4度C'!$B:$B,"平均")</f>
        <v>129.72972972972974</v>
      </c>
      <c r="L13" s="68">
        <f>SUMIFS('0203 4度C'!$K:$K,'0203 4度C'!$A:$A,"新豐9線",'0203 4度C'!$B:$B,"平均")</f>
        <v>133.33333333333334</v>
      </c>
      <c r="M13" s="66">
        <f>SUMIFS('0203 4度C'!$K:$K,'0203 4度C'!$A:$A,"新豐4線",'0203 4度C'!$B:$B,"平均")</f>
        <v>150</v>
      </c>
    </row>
    <row r="14" spans="2:17" ht="39.6" customHeight="1">
      <c r="B14" s="122"/>
      <c r="C14" s="69" t="s">
        <v>323</v>
      </c>
      <c r="D14" s="70">
        <f>SUMIFS('0203 4度C'!$N:$N,'0203 4度C'!$A:$A,"新豐6線",'0203 4度C'!$B:$B,"平均")</f>
        <v>112.29553241867789</v>
      </c>
      <c r="E14" s="71">
        <f>SUMIFS('0203 4度C'!$N:$N,'0203 4度C'!$A:$A,"新豐2線",'0203 4度C'!$B:$B,"平均")</f>
        <v>79.448981205385351</v>
      </c>
      <c r="F14" s="71">
        <f>SUMIFS('0203 4度C'!$N:$N,'0203 4度C'!$A:$A,"新豐5線",'0203 4度C'!$B:$B,"平均")</f>
        <v>105.67778011233926</v>
      </c>
      <c r="G14" s="71">
        <f>SUMIFS('0203 4度C'!$N:$N,'0203 4度C'!$A:$A,"新豐7線",'0203 4度C'!$B:$B,"平均")</f>
        <v>118.58394420225898</v>
      </c>
      <c r="H14" s="71">
        <f>SUMIFS('0203 4度C'!$N:$N,'0203 4度C'!$A:$A,"新豐3線",'0203 4度C'!$B:$B,"平均")</f>
        <v>291.57604560442144</v>
      </c>
      <c r="I14" s="71">
        <f>SUMIFS('0203 4度C'!$N:$N,'0203 4度C'!$A:$A,"新豐1線",'0203 4度C'!$B:$B,"平均")</f>
        <v>97.348770566637299</v>
      </c>
      <c r="J14" s="72">
        <f>SUMIFS('0203 4度C'!$N:$N,'0203 4度C'!$A:$A,"新豐10線",'0203 4度C'!$B:$B,"平均")</f>
        <v>194.19556887407998</v>
      </c>
      <c r="K14" s="73">
        <f>SUMIFS('0203 4度C'!$N:$N,'0203 4度C'!$A:$A,"新豐8線",'0203 4度C'!$B:$B,"平均")</f>
        <v>124.19314406549644</v>
      </c>
      <c r="L14" s="74">
        <f>SUMIFS('0203 4度C'!$N:$N,'0203 4度C'!$A:$A,"新豐9線",'0203 4度C'!$B:$B,"平均")</f>
        <v>127.4817262502998</v>
      </c>
      <c r="M14" s="72">
        <f>SUMIFS('0203 4度C'!$N:$N,'0203 4度C'!$A:$A,"新豐4線",'0203 4度C'!$B:$B,"平均")</f>
        <v>143.17572715183607</v>
      </c>
    </row>
    <row r="15" spans="2:17" ht="40.15" customHeight="1">
      <c r="B15" s="123"/>
      <c r="C15" s="75" t="s">
        <v>324</v>
      </c>
      <c r="D15" s="76">
        <f t="shared" ref="D15:M15" si="0">D14/D13</f>
        <v>0.96386998659365197</v>
      </c>
      <c r="E15" s="77">
        <f t="shared" si="0"/>
        <v>0.9533877744646243</v>
      </c>
      <c r="F15" s="77">
        <f t="shared" si="0"/>
        <v>0.95922908101969495</v>
      </c>
      <c r="G15" s="77">
        <f t="shared" si="0"/>
        <v>0.95898320094000733</v>
      </c>
      <c r="H15" s="77">
        <f t="shared" si="0"/>
        <v>0.96220095049459087</v>
      </c>
      <c r="I15" s="77">
        <f t="shared" si="0"/>
        <v>0.93854199315527254</v>
      </c>
      <c r="J15" s="78">
        <f t="shared" si="0"/>
        <v>0.95603972368777834</v>
      </c>
      <c r="K15" s="76">
        <f t="shared" si="0"/>
        <v>0.95732215217153493</v>
      </c>
      <c r="L15" s="77">
        <f t="shared" si="0"/>
        <v>0.95611294687724846</v>
      </c>
      <c r="M15" s="78">
        <f t="shared" si="0"/>
        <v>0.95450484767890709</v>
      </c>
    </row>
    <row r="16" spans="2:17" ht="17.25" customHeight="1">
      <c r="B16" s="124" t="s">
        <v>325</v>
      </c>
      <c r="C16" s="79" t="s">
        <v>326</v>
      </c>
      <c r="D16" s="80">
        <f>VLOOKUP("新豐6線",'0203 4度C'!$A:$T,19,0)</f>
        <v>0.70833333333333337</v>
      </c>
      <c r="E16" s="81">
        <f>VLOOKUP("新豐2線",'0203 4度C'!$A:$T,19,0)</f>
        <v>0.20833333333333334</v>
      </c>
      <c r="F16" s="81">
        <f>VLOOKUP("新豐5線",'0203 4度C'!$A:$T,19,0)</f>
        <v>0.20833333333333334</v>
      </c>
      <c r="G16" s="81">
        <f>VLOOKUP("新豐7線",'0203 4度C'!$A:$T,19,0)</f>
        <v>0.20833333333333334</v>
      </c>
      <c r="H16" s="81">
        <f>VLOOKUP("新豐3線",'0203 4度C'!$A:$T,19,0)</f>
        <v>8.3333333333333329E-2</v>
      </c>
      <c r="I16" s="81">
        <f>VLOOKUP("新豐1線",'0203 4度C'!$A:$T,19,0)</f>
        <v>0.20833333333333334</v>
      </c>
      <c r="J16" s="82">
        <f>VLOOKUP("新豐10線",'0203 4度C'!$A:$T,19,0)</f>
        <v>0.20833333333333334</v>
      </c>
      <c r="K16" s="83">
        <f>VLOOKUP("新豐8線",'0203 4度C'!$A:$T,19,0)</f>
        <v>8.3333333333333329E-2</v>
      </c>
      <c r="L16" s="84">
        <f>VLOOKUP("新豐9線",'0203 4度C'!$A:$T,19,0)</f>
        <v>8.3333333333333329E-2</v>
      </c>
      <c r="M16" s="85">
        <f>VLOOKUP("新豐4線",'0203 4度C'!$A:$T,19,0)</f>
        <v>8.3333333333333329E-2</v>
      </c>
    </row>
    <row r="17" spans="2:13" ht="17.25" customHeight="1">
      <c r="B17" s="125"/>
      <c r="C17" s="79" t="s">
        <v>327</v>
      </c>
      <c r="D17" s="83">
        <f>LOOKUP(2,1/(('0203 4度C'!$A:$A="新豐6線")*('0203 4度C'!$T:$T&lt;&gt;"")),'0203 4度C'!$T:$T)</f>
        <v>0.90763888888888888</v>
      </c>
      <c r="E17" s="81">
        <f>LOOKUP(2,1/(('0203 4度C'!$A:$A="新豐2線")*('0203 4度C'!$T:$T&lt;&gt;"")),'0203 4度C'!$T:$T)</f>
        <v>0.45902777777777781</v>
      </c>
      <c r="F17" s="81">
        <f>LOOKUP(2,1/(('0203 4度C'!$A:$A="新豐5線")*('0203 4度C'!$T:$T&lt;&gt;"")),'0203 4度C'!$T:$T)</f>
        <v>0.92847222222222225</v>
      </c>
      <c r="G17" s="81">
        <f>LOOKUP(2,1/(('0203 4度C'!$A:$A="新豐7線")*('0203 4度C'!$T:$T&lt;&gt;"")),'0203 4度C'!$T:$T)</f>
        <v>0.93194444444444446</v>
      </c>
      <c r="H17" s="81">
        <f>LOOKUP(2,1/(('0203 4度C'!$A:$A="新豐3線")*('0203 4度C'!$T:$T&lt;&gt;"")),'0203 4度C'!$T:$T)</f>
        <v>0.65069444444444424</v>
      </c>
      <c r="I17" s="81">
        <f>LOOKUP(2,1/(('0203 4度C'!$A:$A="新豐1線")*('0203 4度C'!$T:$T&lt;&gt;"")),'0203 4度C'!$T:$T)</f>
        <v>0.91736111111111096</v>
      </c>
      <c r="J17" s="82">
        <f>LOOKUP(2,1/(('0203 4度C'!$A:$A="新豐10線")*('0203 4度C'!$T:$T&lt;&gt;"")),'0203 4度C'!$T:$T)</f>
        <v>0.47222222222222215</v>
      </c>
      <c r="K17" s="80">
        <f>LOOKUP(2,1/(('0203 4度C'!$A:$A="新豐8線")*('0203 4度C'!$T:$T&lt;&gt;"")),'0203 4度C'!$T:$T)</f>
        <v>0.58819444444444435</v>
      </c>
      <c r="L17" s="81">
        <f>LOOKUP(2,1/(('0203 4度C'!$A:$A="新豐9線")*('0203 4度C'!$T:$T&lt;&gt;"")),'0203 4度C'!$T:$T)</f>
        <v>0.58333333333333326</v>
      </c>
      <c r="M17" s="82">
        <f>LOOKUP(2,1/(('0203 4度C'!$A:$A="新豐4線")*('0203 4度C'!$T:$T&lt;&gt;"")),'0203 4度C'!$T:$T)</f>
        <v>0.59652777777777777</v>
      </c>
    </row>
    <row r="18" spans="2:13" ht="17.25" customHeight="1">
      <c r="B18" s="103" t="s">
        <v>328</v>
      </c>
      <c r="C18" s="86" t="s">
        <v>329</v>
      </c>
      <c r="D18" s="87">
        <f>SUMIFS('0203 4度C'!$Y:$Y,'0203 4度C'!$A:$A,"新豐6線",'0203 4度C'!$B:$B,"平均")</f>
        <v>0</v>
      </c>
      <c r="E18" s="88">
        <f>SUMIFS('0203 4度C'!$Y:$Y,'0203 4度C'!$A:$A,"新豐2線",'0203 4度C'!$B:$B,"平均")</f>
        <v>0</v>
      </c>
      <c r="F18" s="88">
        <f>SUMIFS('0203 4度C'!$Y:$Y,'0203 4度C'!$A:$A,"新豐5線",'0203 4度C'!$B:$B,"平均")</f>
        <v>0</v>
      </c>
      <c r="G18" s="88">
        <f>SUMIFS('0203 4度C'!$Y:$Y,'0203 4度C'!$A:$A,"新豐7線",'0203 4度C'!$B:$B,"平均")</f>
        <v>0</v>
      </c>
      <c r="H18" s="88">
        <f>SUMIFS('0203 4度C'!$Y:$Y,'0203 4度C'!$A:$A,"新豐3線",'0203 4度C'!$B:$B,"平均")</f>
        <v>0</v>
      </c>
      <c r="I18" s="88">
        <f>SUMIFS('0203 4度C'!$Y:$Y,'0203 4度C'!$A:$A,"新豐1線",'0203 4度C'!$B:$B,"平均")</f>
        <v>0</v>
      </c>
      <c r="J18" s="89">
        <f>SUMIFS('0203 4度C'!$Y:$Y,'0203 4度C'!$A:$A,"新豐10線",'0203 4度C'!$B:$B,"平均")</f>
        <v>0</v>
      </c>
      <c r="K18" s="90">
        <f>SUMIFS('0203 4度C'!$Y:$Y,'0203 4度C'!$A:$A,"新豐8線",'0203 4度C'!$B:$B,"平均")</f>
        <v>0</v>
      </c>
      <c r="L18" s="88">
        <f>SUMIFS('0203 4度C'!$Y:$Y,'0203 4度C'!$A:$A,"新豐9線",'0203 4度C'!$B:$B,"平均")</f>
        <v>0</v>
      </c>
      <c r="M18" s="89">
        <f>SUMIFS('0203 4度C'!$Y:$Y,'0203 4度C'!$A:$A,"新豐4線",'0203 4度C'!$B:$B,"平均")</f>
        <v>0</v>
      </c>
    </row>
    <row r="19" spans="2:13" ht="17.25" customHeight="1">
      <c r="B19" s="104"/>
      <c r="C19" s="86" t="s">
        <v>330</v>
      </c>
      <c r="D19" s="87">
        <f>SUMIFS('0203 4度C'!$Z:$Z,'0203 4度C'!$A:$A,"新豐6線",'0203 4度C'!$B:$B,"平均")</f>
        <v>0</v>
      </c>
      <c r="E19" s="88">
        <f>SUMIFS('0203 4度C'!$Z:$Z,'0203 4度C'!$A:$A,"新豐2線",'0203 4度C'!$B:$B,"平均")</f>
        <v>0</v>
      </c>
      <c r="F19" s="88">
        <f>SUMIFS('0203 4度C'!$Z:$Z,'0203 4度C'!$A:$A,"新豐5線",'0203 4度C'!$B:$B,"平均")</f>
        <v>0</v>
      </c>
      <c r="G19" s="88">
        <f>SUMIFS('0203 4度C'!$Z:$Z,'0203 4度C'!$A:$A,"新豐7線",'0203 4度C'!$B:$B,"平均")</f>
        <v>0</v>
      </c>
      <c r="H19" s="88">
        <f>SUMIFS('0203 4度C'!$Z:$Z,'0203 4度C'!$A:$A,"新豐3線",'0203 4度C'!$B:$B,"平均")</f>
        <v>0</v>
      </c>
      <c r="I19" s="88">
        <f>SUMIFS('0203 4度C'!$Z:$Z,'0203 4度C'!$A:$A,"新豐1線",'0203 4度C'!$B:$B,"平均")</f>
        <v>0</v>
      </c>
      <c r="J19" s="89">
        <f>SUMIFS('0203 4度C'!$Z:$Z,'0203 4度C'!$A:$A,"新豐10線",'0203 4度C'!$B:$B,"平均")</f>
        <v>0</v>
      </c>
      <c r="K19" s="90">
        <f>SUMIFS('0203 4度C'!$Z:$Z,'0203 4度C'!$A:$A,"新豐8線",'0203 4度C'!$B:$B,"平均")</f>
        <v>0</v>
      </c>
      <c r="L19" s="88">
        <f>SUMIFS('0203 4度C'!$Z:$Z,'0203 4度C'!$A:$A,"新豐9線",'0203 4度C'!$B:$B,"平均")</f>
        <v>0</v>
      </c>
      <c r="M19" s="89">
        <f>SUMIFS('0203 4度C'!$Z:$Z,'0203 4度C'!$A:$A,"新豐4線",'0203 4度C'!$B:$B,"平均")</f>
        <v>0</v>
      </c>
    </row>
    <row r="20" spans="2:13" ht="17.25" customHeight="1">
      <c r="B20" s="103" t="s">
        <v>186</v>
      </c>
      <c r="C20" s="86" t="s">
        <v>331</v>
      </c>
      <c r="D20" s="87">
        <f>SUMIFS('0203 4度C'!$AC:$AC,'0203 4度C'!$A:$A,"新豐6線",'0203 4度C'!$B:$B,"平均")</f>
        <v>6</v>
      </c>
      <c r="E20" s="88">
        <f>SUMIFS('0203 4度C'!$AC:$AC,'0203 4度C'!$A:$A,"新豐2線",'0203 4度C'!$B:$B,"平均")</f>
        <v>2</v>
      </c>
      <c r="F20" s="88">
        <f>SUMIFS('0203 4度C'!$AC:$AC,'0203 4度C'!$A:$A,"新豐5線",'0203 4度C'!$B:$B,"平均")</f>
        <v>7</v>
      </c>
      <c r="G20" s="88">
        <f>SUMIFS('0203 4度C'!$AC:$AC,'0203 4度C'!$A:$A,"新豐7線",'0203 4度C'!$B:$B,"平均")</f>
        <v>6</v>
      </c>
      <c r="H20" s="88">
        <f>SUMIFS('0203 4度C'!$AC:$AC,'0203 4度C'!$A:$A,"新豐3線",'0203 4度C'!$B:$B,"平均")</f>
        <v>10</v>
      </c>
      <c r="I20" s="88">
        <f>SUMIFS('0203 4度C'!$AC:$AC,'0203 4度C'!$A:$A,"新豐1線",'0203 4度C'!$B:$B,"平均")</f>
        <v>10</v>
      </c>
      <c r="J20" s="89">
        <f>SUMIFS('0203 4度C'!$AC:$AC,'0203 4度C'!$A:$A,"新豐10線",'0203 4度C'!$B:$B,"平均")</f>
        <v>6</v>
      </c>
      <c r="K20" s="90">
        <f>SUMIFS('0203 4度C'!$AC:$AC,'0203 4度C'!$A:$A,"新豐8線",'0203 4度C'!$B:$B,"平均")</f>
        <v>6</v>
      </c>
      <c r="L20" s="88">
        <f>SUMIFS('0203 4度C'!$AC:$AC,'0203 4度C'!$A:$A,"新豐9線",'0203 4度C'!$B:$B,"平均")</f>
        <v>6</v>
      </c>
      <c r="M20" s="89">
        <f>SUMIFS('0203 4度C'!$AC:$AC,'0203 4度C'!$A:$A,"新豐4線",'0203 4度C'!$B:$B,"平均")</f>
        <v>7</v>
      </c>
    </row>
    <row r="21" spans="2:13" ht="17.25" customHeight="1">
      <c r="B21" s="104"/>
      <c r="C21" s="86" t="s">
        <v>332</v>
      </c>
      <c r="D21" s="87">
        <f>SUMIFS('0203 4度C'!$AD:$AD,'0203 4度C'!$A:$A,"新豐6線",'0203 4度C'!$B:$B,"平均")</f>
        <v>0</v>
      </c>
      <c r="E21" s="88">
        <f>SUMIFS('0203 4度C'!$AD:$AD,'0203 4度C'!$A:$A,"新豐2線",'0203 4度C'!$B:$B,"平均")</f>
        <v>0</v>
      </c>
      <c r="F21" s="88">
        <f>SUMIFS('0203 4度C'!$AD:$AD,'0203 4度C'!$A:$A,"新豐5線",'0203 4度C'!$B:$B,"平均")</f>
        <v>0</v>
      </c>
      <c r="G21" s="88">
        <f>SUMIFS('0203 4度C'!$AD:$AD,'0203 4度C'!$A:$A,"新豐7線",'0203 4度C'!$B:$B,"平均")</f>
        <v>0</v>
      </c>
      <c r="H21" s="88">
        <f>SUMIFS('0203 4度C'!$AD:$AD,'0203 4度C'!$A:$A,"新豐3線",'0203 4度C'!$B:$B,"平均")</f>
        <v>0</v>
      </c>
      <c r="I21" s="88">
        <f>SUMIFS('0203 4度C'!$AD:$AD,'0203 4度C'!$A:$A,"新豐1線",'0203 4度C'!$B:$B,"平均")</f>
        <v>0</v>
      </c>
      <c r="J21" s="89">
        <f>SUMIFS('0203 4度C'!$AD:$AD,'0203 4度C'!$A:$A,"新豐10線",'0203 4度C'!$B:$B,"平均")</f>
        <v>0</v>
      </c>
      <c r="K21" s="90">
        <f>SUMIFS('0203 4度C'!$AD:$AD,'0203 4度C'!$A:$A,"新豐8線",'0203 4度C'!$B:$B,"平均")</f>
        <v>0</v>
      </c>
      <c r="L21" s="88">
        <f>SUMIFS('0203 4度C'!$AD:$AD,'0203 4度C'!$A:$A,"新豐9線",'0203 4度C'!$B:$B,"平均")</f>
        <v>0</v>
      </c>
      <c r="M21" s="89">
        <f>SUMIFS('0203 4度C'!$AD:$AD,'0203 4度C'!$A:$A,"新豐4線",'0203 4度C'!$B:$B,"平均")</f>
        <v>0</v>
      </c>
    </row>
    <row r="22" spans="2:13" ht="17.25" customHeight="1">
      <c r="B22" s="105" t="s">
        <v>333</v>
      </c>
      <c r="C22" s="106"/>
      <c r="D22" s="91">
        <f>SUMIFS('0203 4度C'!$I:$I,'0203 4度C'!$A:$A,"新豐6線",'0203 4度C'!$B:$B,"平均")</f>
        <v>17.166666666666668</v>
      </c>
      <c r="E22" s="92">
        <f>SUMIFS('0203 4度C'!$I:$I,'0203 4度C'!$A:$A,"新豐2線",'0203 4度C'!$B:$B,"平均")</f>
        <v>18</v>
      </c>
      <c r="F22" s="92">
        <f>SUMIFS('0203 4度C'!$I:$I,'0203 4度C'!$A:$A,"新豐5線",'0203 4度C'!$B:$B,"平均")</f>
        <v>16.857142857142858</v>
      </c>
      <c r="G22" s="92">
        <f>SUMIFS('0203 4度C'!$I:$I,'0203 4度C'!$A:$A,"新豐7線",'0203 4度C'!$B:$B,"平均")</f>
        <v>15.5</v>
      </c>
      <c r="H22" s="92">
        <f>SUMIFS('0203 4度C'!$I:$I,'0203 4度C'!$A:$A,"新豐3線",'0203 4度C'!$B:$B,"平均")</f>
        <v>9.9</v>
      </c>
      <c r="I22" s="92">
        <f>SUMIFS('0203 4度C'!$I:$I,'0203 4度C'!$A:$A,"新豐1線",'0203 4度C'!$B:$B,"平均")</f>
        <v>18.8</v>
      </c>
      <c r="J22" s="93">
        <f>SUMIFS('0203 4度C'!$I:$I,'0203 4度C'!$A:$A,"新豐10線",'0203 4度C'!$B:$B,"平均")</f>
        <v>10.666666666666666</v>
      </c>
      <c r="K22" s="91">
        <f>SUMIFS('0203 4度C'!$I:$I,'0203 4度C'!$A:$A,"新豐8線",'0203 4度C'!$B:$B,"平均")</f>
        <v>18.5</v>
      </c>
      <c r="L22" s="92">
        <f>SUMIFS('0203 4度C'!$I:$I,'0203 4度C'!$A:$A,"新豐9線",'0203 4度C'!$B:$B,"平均")</f>
        <v>18</v>
      </c>
      <c r="M22" s="93">
        <f>SUMIFS('0203 4度C'!$I:$I,'0203 4度C'!$A:$A,"新豐4線",'0203 4度C'!$B:$B,"平均")</f>
        <v>16</v>
      </c>
    </row>
    <row r="23" spans="2:13" ht="17.25" customHeight="1">
      <c r="B23" s="105" t="s">
        <v>334</v>
      </c>
      <c r="C23" s="106"/>
      <c r="D23" s="94" t="s">
        <v>191</v>
      </c>
      <c r="E23" s="95" t="s">
        <v>192</v>
      </c>
      <c r="F23" s="95" t="s">
        <v>335</v>
      </c>
      <c r="G23" s="95" t="s">
        <v>336</v>
      </c>
      <c r="H23" s="95" t="s">
        <v>194</v>
      </c>
      <c r="I23" s="95" t="s">
        <v>191</v>
      </c>
      <c r="J23" s="96" t="s">
        <v>194</v>
      </c>
      <c r="K23" s="94" t="s">
        <v>337</v>
      </c>
      <c r="L23" s="95" t="s">
        <v>338</v>
      </c>
      <c r="M23" s="96" t="s">
        <v>338</v>
      </c>
    </row>
    <row r="24" spans="2:13" ht="17.25" customHeight="1">
      <c r="B24" s="105" t="s">
        <v>339</v>
      </c>
      <c r="C24" s="106"/>
      <c r="D24" s="94"/>
      <c r="E24" s="95"/>
      <c r="F24" s="95" t="s">
        <v>340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341</v>
      </c>
      <c r="C25" s="108"/>
      <c r="D25" s="97"/>
      <c r="E25" s="98" t="s">
        <v>342</v>
      </c>
      <c r="F25" s="101" t="s">
        <v>343</v>
      </c>
      <c r="G25" s="102"/>
      <c r="H25" s="98" t="s">
        <v>344</v>
      </c>
      <c r="I25" s="98" t="s">
        <v>345</v>
      </c>
      <c r="J25" s="99" t="s">
        <v>344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AG81"/>
  <sheetViews>
    <sheetView zoomScale="80" zoomScaleNormal="80" workbookViewId="0">
      <pane ySplit="4" topLeftCell="A5" activePane="bottomLeft" state="frozen"/>
      <selection activeCell="J13" sqref="J13"/>
      <selection pane="bottomLeft" activeCell="AC3" sqref="AC3:AD3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346</v>
      </c>
      <c r="B1" s="1"/>
      <c r="C1" s="2" t="s">
        <v>347</v>
      </c>
      <c r="D1" s="3">
        <f>SUM(F5:F80)</f>
        <v>168135</v>
      </c>
      <c r="E1" s="4" t="s">
        <v>348</v>
      </c>
      <c r="F1" s="1">
        <f>SUM(G5:G80)</f>
        <v>5770440.7999999998</v>
      </c>
      <c r="G1" s="1" t="s">
        <v>349</v>
      </c>
      <c r="H1" s="5">
        <f>L11+L14+L54+L65+L22+L72+L36+L43+L29+L80</f>
        <v>159.39047619047619</v>
      </c>
      <c r="I1" s="214" t="s">
        <v>350</v>
      </c>
      <c r="J1" s="214"/>
      <c r="K1" s="214"/>
      <c r="L1" s="214" t="s">
        <v>351</v>
      </c>
      <c r="M1" s="214"/>
      <c r="N1" s="214"/>
      <c r="O1" s="214" t="s">
        <v>352</v>
      </c>
      <c r="P1" s="214"/>
      <c r="Q1" s="214"/>
      <c r="R1" s="214"/>
      <c r="S1" s="214" t="s">
        <v>353</v>
      </c>
      <c r="T1" s="214"/>
      <c r="U1" s="214"/>
      <c r="V1" s="214"/>
      <c r="W1" s="214"/>
      <c r="X1" s="214"/>
      <c r="Y1" s="6" t="s">
        <v>354</v>
      </c>
      <c r="Z1" s="7" t="s">
        <v>355</v>
      </c>
      <c r="AA1" s="215" t="s">
        <v>356</v>
      </c>
      <c r="AB1" s="215"/>
      <c r="AC1" s="8" t="s">
        <v>8</v>
      </c>
      <c r="AD1" s="7" t="s">
        <v>357</v>
      </c>
      <c r="AE1" s="214" t="s">
        <v>358</v>
      </c>
      <c r="AF1" s="216"/>
      <c r="AG1" s="216"/>
    </row>
    <row r="2" spans="1:33" ht="26.25" customHeight="1">
      <c r="A2" s="35">
        <v>46056</v>
      </c>
      <c r="B2" s="36" t="s">
        <v>359</v>
      </c>
      <c r="C2" s="2" t="s">
        <v>360</v>
      </c>
      <c r="D2" s="10">
        <f>AVERAGE(N11,N14,N54,N65,N22,N72,N29,N36,N43,N80)</f>
        <v>139.39772204514324</v>
      </c>
      <c r="E2" s="11" t="s">
        <v>14</v>
      </c>
      <c r="F2" s="12">
        <f>F1/D1</f>
        <v>34.320283105837568</v>
      </c>
      <c r="G2" s="1" t="s">
        <v>361</v>
      </c>
      <c r="H2" s="13">
        <f>COUNT(H5:H80)</f>
        <v>10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SUM(Y11+Y14+Y22+Y29+Y36+Y43+Y54+Y65+Y72+Y80)</f>
        <v>0</v>
      </c>
      <c r="Z2" s="14">
        <f>SUM(Z11+Z14+Z22+Z29+Z36+Z43+Z54+Z65+Z72+Z80)</f>
        <v>0</v>
      </c>
      <c r="AA2" s="215"/>
      <c r="AB2" s="215"/>
      <c r="AC2" s="14">
        <f>SUM(AC11+AC14+AC22+AC29+AC36+AC43+AC54+AC65+AC72+AC80)</f>
        <v>66</v>
      </c>
      <c r="AD2" s="14">
        <f>SUM(AD11+AD14+AD22+AD29+AD36+AD43+AD54+AD65+AD72+AD80)</f>
        <v>0</v>
      </c>
      <c r="AE2" s="216"/>
      <c r="AF2" s="216"/>
      <c r="AG2" s="216"/>
    </row>
    <row r="3" spans="1:33" ht="40.5" customHeight="1">
      <c r="A3" s="164" t="s">
        <v>362</v>
      </c>
      <c r="B3" s="164" t="s">
        <v>363</v>
      </c>
      <c r="C3" s="164" t="s">
        <v>364</v>
      </c>
      <c r="D3" s="164"/>
      <c r="E3" s="212" t="s">
        <v>365</v>
      </c>
      <c r="F3" s="164" t="s">
        <v>366</v>
      </c>
      <c r="G3" s="212" t="s">
        <v>367</v>
      </c>
      <c r="H3" s="206" t="s">
        <v>368</v>
      </c>
      <c r="I3" s="204" t="s">
        <v>369</v>
      </c>
      <c r="J3" s="201" t="s">
        <v>370</v>
      </c>
      <c r="K3" s="211" t="s">
        <v>371</v>
      </c>
      <c r="L3" s="204" t="s">
        <v>369</v>
      </c>
      <c r="M3" s="201" t="s">
        <v>372</v>
      </c>
      <c r="N3" s="211" t="s">
        <v>371</v>
      </c>
      <c r="O3" s="204" t="s">
        <v>369</v>
      </c>
      <c r="P3" s="211" t="s">
        <v>371</v>
      </c>
      <c r="Q3" s="202" t="s">
        <v>263</v>
      </c>
      <c r="R3" s="182" t="s">
        <v>373</v>
      </c>
      <c r="S3" s="164" t="s">
        <v>30</v>
      </c>
      <c r="T3" s="164"/>
      <c r="U3" s="206" t="s">
        <v>31</v>
      </c>
      <c r="V3" s="206" t="s">
        <v>374</v>
      </c>
      <c r="W3" s="164" t="s">
        <v>375</v>
      </c>
      <c r="X3" s="164"/>
      <c r="Y3" s="207" t="s">
        <v>266</v>
      </c>
      <c r="Z3" s="168"/>
      <c r="AA3" s="208" t="s">
        <v>376</v>
      </c>
      <c r="AB3" s="209"/>
      <c r="AC3" s="207" t="s">
        <v>377</v>
      </c>
      <c r="AD3" s="168"/>
      <c r="AE3" s="201" t="s">
        <v>372</v>
      </c>
      <c r="AF3" s="202" t="s">
        <v>378</v>
      </c>
      <c r="AG3" s="182" t="s">
        <v>373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379</v>
      </c>
      <c r="X4" s="4" t="s">
        <v>380</v>
      </c>
      <c r="Y4" s="15" t="s">
        <v>381</v>
      </c>
      <c r="Z4" s="15" t="s">
        <v>382</v>
      </c>
      <c r="AA4" s="210"/>
      <c r="AB4" s="209"/>
      <c r="AC4" s="15" t="s">
        <v>383</v>
      </c>
      <c r="AD4" s="15" t="s">
        <v>384</v>
      </c>
      <c r="AE4" s="201"/>
      <c r="AF4" s="202"/>
      <c r="AG4" s="182"/>
    </row>
    <row r="5" spans="1:33">
      <c r="A5" s="203" t="s">
        <v>385</v>
      </c>
      <c r="B5" s="37" t="s">
        <v>78</v>
      </c>
      <c r="C5" s="205" t="s">
        <v>79</v>
      </c>
      <c r="D5" s="205"/>
      <c r="E5" s="37">
        <v>50.67</v>
      </c>
      <c r="F5" s="4">
        <v>1465</v>
      </c>
      <c r="G5" s="4">
        <v>74231.55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10" si="1">F5/V5*60</f>
        <v>1910.8695652173915</v>
      </c>
      <c r="N5" s="17">
        <f t="shared" ref="N5:N68" si="2">M5/L5</f>
        <v>112.40409207161126</v>
      </c>
      <c r="O5" s="19">
        <f t="shared" ref="O5:O68" si="3">L5-I5</f>
        <v>0</v>
      </c>
      <c r="P5" s="20">
        <f t="shared" ref="P5:P68" si="4">N5-K5</f>
        <v>-5.2429667519181464</v>
      </c>
      <c r="Q5" s="21">
        <f t="shared" ref="Q5:Q68" si="5">N5/K5</f>
        <v>0.95543478260869574</v>
      </c>
      <c r="R5" s="172">
        <f>Q11</f>
        <v>0.96386998659365197</v>
      </c>
      <c r="S5" s="28">
        <v>0.70833333333333337</v>
      </c>
      <c r="T5" s="28">
        <v>0.74027777777777781</v>
      </c>
      <c r="U5" s="4"/>
      <c r="V5" s="22">
        <f t="shared" ref="V5:V10" si="6">(T5-S5)*24*60</f>
        <v>46</v>
      </c>
      <c r="W5" s="23"/>
      <c r="X5" s="24"/>
      <c r="Y5" s="24"/>
      <c r="Z5" s="24"/>
      <c r="AA5" s="164"/>
      <c r="AB5" s="164"/>
      <c r="AC5" s="25">
        <v>6</v>
      </c>
      <c r="AD5" s="25"/>
      <c r="AE5" s="19">
        <f t="shared" ref="AE5:AE64" si="7">M5-J5</f>
        <v>-89.130434782608518</v>
      </c>
      <c r="AF5" s="21">
        <f t="shared" ref="AF5:AF68" si="8">M5/J5</f>
        <v>0.95543478260869574</v>
      </c>
      <c r="AG5" s="172">
        <f>AF11</f>
        <v>0.96386998659365197</v>
      </c>
    </row>
    <row r="6" spans="1:33">
      <c r="A6" s="204" t="s">
        <v>386</v>
      </c>
      <c r="B6" s="37" t="s">
        <v>78</v>
      </c>
      <c r="C6" s="205" t="s">
        <v>80</v>
      </c>
      <c r="D6" s="205"/>
      <c r="E6" s="37">
        <v>54.09</v>
      </c>
      <c r="F6" s="4">
        <v>1360</v>
      </c>
      <c r="G6" s="4">
        <v>73562.400000000009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1942.8571428571424</v>
      </c>
      <c r="N6" s="17">
        <f t="shared" si="2"/>
        <v>102.25563909774434</v>
      </c>
      <c r="O6" s="19">
        <f t="shared" si="3"/>
        <v>0</v>
      </c>
      <c r="P6" s="20">
        <f t="shared" si="4"/>
        <v>-3.0075187969924997</v>
      </c>
      <c r="Q6" s="21">
        <f t="shared" si="5"/>
        <v>0.9714285714285712</v>
      </c>
      <c r="R6" s="172"/>
      <c r="S6" s="28">
        <v>0.74513888888888891</v>
      </c>
      <c r="T6" s="28">
        <v>0.77430555555555558</v>
      </c>
      <c r="U6" s="4">
        <f t="shared" ref="U6:U10" si="9">IF(S6=TIME(17,0,0),"",(S6-T5)*24*60)</f>
        <v>6.9999999999999751</v>
      </c>
      <c r="V6" s="22">
        <f t="shared" si="6"/>
        <v>42.000000000000014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-57.142857142857565</v>
      </c>
      <c r="AF6" s="21">
        <f t="shared" si="8"/>
        <v>0.9714285714285712</v>
      </c>
      <c r="AG6" s="172"/>
    </row>
    <row r="7" spans="1:33">
      <c r="A7" s="204" t="s">
        <v>385</v>
      </c>
      <c r="B7" s="37" t="s">
        <v>78</v>
      </c>
      <c r="C7" s="196" t="s">
        <v>81</v>
      </c>
      <c r="D7" s="197"/>
      <c r="E7" s="37">
        <v>50.29</v>
      </c>
      <c r="F7" s="4">
        <v>872</v>
      </c>
      <c r="G7" s="4">
        <v>43852.88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1937.7777777777733</v>
      </c>
      <c r="N7" s="17">
        <f t="shared" si="2"/>
        <v>121.11111111111083</v>
      </c>
      <c r="O7" s="19">
        <f t="shared" si="3"/>
        <v>0</v>
      </c>
      <c r="P7" s="20">
        <f t="shared" si="4"/>
        <v>-3.8888888888891699</v>
      </c>
      <c r="Q7" s="21">
        <f t="shared" si="5"/>
        <v>0.96888888888888669</v>
      </c>
      <c r="R7" s="172"/>
      <c r="S7" s="28">
        <v>0.77847222222222223</v>
      </c>
      <c r="T7" s="28">
        <v>0.79722222222222228</v>
      </c>
      <c r="U7" s="4">
        <f t="shared" si="9"/>
        <v>5.9999999999999787</v>
      </c>
      <c r="V7" s="22">
        <f t="shared" si="6"/>
        <v>27.000000000000064</v>
      </c>
      <c r="W7" s="23"/>
      <c r="X7" s="23"/>
      <c r="Y7" s="26"/>
      <c r="Z7" s="26"/>
      <c r="AA7" s="175"/>
      <c r="AB7" s="176"/>
      <c r="AC7" s="27"/>
      <c r="AD7" s="27"/>
      <c r="AE7" s="19">
        <f t="shared" si="7"/>
        <v>-62.222222222226719</v>
      </c>
      <c r="AF7" s="21">
        <f t="shared" si="8"/>
        <v>0.96888888888888669</v>
      </c>
      <c r="AG7" s="172"/>
    </row>
    <row r="8" spans="1:33">
      <c r="A8" s="204" t="s">
        <v>385</v>
      </c>
      <c r="B8" s="37" t="s">
        <v>78</v>
      </c>
      <c r="C8" s="196" t="s">
        <v>82</v>
      </c>
      <c r="D8" s="197"/>
      <c r="E8" s="37">
        <v>57.3</v>
      </c>
      <c r="F8" s="4">
        <v>600</v>
      </c>
      <c r="G8" s="4">
        <v>34380</v>
      </c>
      <c r="H8" s="22">
        <v>2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1894.7368421052699</v>
      </c>
      <c r="N8" s="17">
        <f t="shared" si="2"/>
        <v>126.31578947368466</v>
      </c>
      <c r="O8" s="19">
        <f t="shared" si="3"/>
        <v>0</v>
      </c>
      <c r="P8" s="20">
        <f t="shared" si="4"/>
        <v>-7.0175438596486828</v>
      </c>
      <c r="Q8" s="21">
        <f t="shared" si="5"/>
        <v>0.94736842105263486</v>
      </c>
      <c r="R8" s="172"/>
      <c r="S8" s="28">
        <v>0.80277777777777781</v>
      </c>
      <c r="T8" s="28">
        <v>0.81597222222222221</v>
      </c>
      <c r="U8" s="4">
        <f t="shared" si="9"/>
        <v>7.9999999999999716</v>
      </c>
      <c r="V8" s="22">
        <f t="shared" si="6"/>
        <v>18.999999999999932</v>
      </c>
      <c r="W8" s="28"/>
      <c r="X8" s="28"/>
      <c r="Y8" s="29"/>
      <c r="Z8" s="29"/>
      <c r="AA8" s="175"/>
      <c r="AB8" s="176"/>
      <c r="AC8" s="27"/>
      <c r="AD8" s="27"/>
      <c r="AE8" s="19">
        <f t="shared" si="7"/>
        <v>-105.26315789473006</v>
      </c>
      <c r="AF8" s="21">
        <f t="shared" si="8"/>
        <v>0.94736842105263497</v>
      </c>
      <c r="AG8" s="172"/>
    </row>
    <row r="9" spans="1:33">
      <c r="A9" s="204" t="s">
        <v>386</v>
      </c>
      <c r="B9" s="37" t="s">
        <v>78</v>
      </c>
      <c r="C9" s="196" t="s">
        <v>83</v>
      </c>
      <c r="D9" s="197"/>
      <c r="E9" s="37">
        <v>50.67</v>
      </c>
      <c r="F9" s="4">
        <v>1008</v>
      </c>
      <c r="G9" s="4">
        <v>51075.360000000001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1950.9677419354809</v>
      </c>
      <c r="N9" s="17">
        <f t="shared" si="2"/>
        <v>92.903225806451474</v>
      </c>
      <c r="O9" s="19">
        <f t="shared" si="3"/>
        <v>0</v>
      </c>
      <c r="P9" s="20">
        <f t="shared" si="4"/>
        <v>-2.3348694316437673</v>
      </c>
      <c r="Q9" s="21">
        <f t="shared" si="5"/>
        <v>0.97548387096774047</v>
      </c>
      <c r="R9" s="172"/>
      <c r="S9" s="28">
        <v>0.8208333333333333</v>
      </c>
      <c r="T9" s="28">
        <v>0.84236111111111112</v>
      </c>
      <c r="U9" s="4">
        <f t="shared" si="9"/>
        <v>6.9999999999999751</v>
      </c>
      <c r="V9" s="22">
        <f t="shared" si="6"/>
        <v>31.00000000000005</v>
      </c>
      <c r="W9" s="23">
        <f>T9</f>
        <v>0.84236111111111112</v>
      </c>
      <c r="X9" s="23">
        <f>S10</f>
        <v>0.88055555555555554</v>
      </c>
      <c r="Y9" s="26"/>
      <c r="Z9" s="26"/>
      <c r="AA9" s="175"/>
      <c r="AB9" s="176"/>
      <c r="AC9" s="27"/>
      <c r="AD9" s="27"/>
      <c r="AE9" s="19">
        <f t="shared" si="7"/>
        <v>-49.032258064519056</v>
      </c>
      <c r="AF9" s="21">
        <f t="shared" si="8"/>
        <v>0.97548387096774047</v>
      </c>
      <c r="AG9" s="172"/>
    </row>
    <row r="10" spans="1:33">
      <c r="A10" s="204" t="s">
        <v>385</v>
      </c>
      <c r="B10" s="37" t="s">
        <v>78</v>
      </c>
      <c r="C10" s="196" t="s">
        <v>82</v>
      </c>
      <c r="D10" s="197"/>
      <c r="E10" s="37">
        <v>57.3</v>
      </c>
      <c r="F10" s="4">
        <v>1254</v>
      </c>
      <c r="G10" s="4">
        <v>71854.2</v>
      </c>
      <c r="H10" s="22" t="s">
        <v>139</v>
      </c>
      <c r="I10" s="16">
        <v>15</v>
      </c>
      <c r="J10" s="18">
        <v>2000</v>
      </c>
      <c r="K10" s="17">
        <f t="shared" si="0"/>
        <v>133.33333333333334</v>
      </c>
      <c r="L10" s="16">
        <v>15</v>
      </c>
      <c r="M10" s="18">
        <f t="shared" si="1"/>
        <v>1929.2307692307684</v>
      </c>
      <c r="N10" s="17">
        <f t="shared" si="2"/>
        <v>128.61538461538456</v>
      </c>
      <c r="O10" s="19">
        <f t="shared" si="3"/>
        <v>0</v>
      </c>
      <c r="P10" s="20">
        <f t="shared" si="4"/>
        <v>-4.7179487179487865</v>
      </c>
      <c r="Q10" s="21">
        <f t="shared" si="5"/>
        <v>0.9646153846153841</v>
      </c>
      <c r="R10" s="172"/>
      <c r="S10" s="28">
        <v>0.88055555555555554</v>
      </c>
      <c r="T10" s="28">
        <v>0.90763888888888888</v>
      </c>
      <c r="U10" s="4">
        <f t="shared" si="9"/>
        <v>54.999999999999964</v>
      </c>
      <c r="V10" s="22">
        <f t="shared" si="6"/>
        <v>39.000000000000021</v>
      </c>
      <c r="W10" s="23"/>
      <c r="X10" s="23"/>
      <c r="Y10" s="26"/>
      <c r="Z10" s="26"/>
      <c r="AA10" s="175"/>
      <c r="AB10" s="176"/>
      <c r="AC10" s="27"/>
      <c r="AD10" s="27"/>
      <c r="AE10" s="19">
        <f t="shared" si="7"/>
        <v>-70.769230769231626</v>
      </c>
      <c r="AF10" s="21">
        <f t="shared" si="8"/>
        <v>0.96461538461538421</v>
      </c>
      <c r="AG10" s="172"/>
    </row>
    <row r="11" spans="1:33">
      <c r="A11" s="204" t="s">
        <v>385</v>
      </c>
      <c r="B11" s="37" t="s">
        <v>387</v>
      </c>
      <c r="C11" s="177"/>
      <c r="D11" s="177"/>
      <c r="E11" s="38"/>
      <c r="F11" s="17"/>
      <c r="G11" s="17"/>
      <c r="H11" s="4"/>
      <c r="I11" s="30">
        <v>17.166666666666668</v>
      </c>
      <c r="J11" s="18">
        <v>2000</v>
      </c>
      <c r="K11" s="17">
        <f t="shared" si="0"/>
        <v>116.50485436893203</v>
      </c>
      <c r="L11" s="30">
        <v>17.166666666666668</v>
      </c>
      <c r="M11" s="18">
        <f>AVERAGE(M5:M10)</f>
        <v>1927.739973187304</v>
      </c>
      <c r="N11" s="17">
        <f t="shared" si="2"/>
        <v>112.29553241867789</v>
      </c>
      <c r="O11" s="19">
        <f t="shared" si="3"/>
        <v>0</v>
      </c>
      <c r="P11" s="20">
        <f t="shared" si="4"/>
        <v>-4.2093219502541359</v>
      </c>
      <c r="Q11" s="21">
        <f t="shared" si="5"/>
        <v>0.96386998659365197</v>
      </c>
      <c r="R11" s="172"/>
      <c r="S11" s="28"/>
      <c r="T11" s="28"/>
      <c r="U11" s="4"/>
      <c r="V11" s="22"/>
      <c r="W11" s="17"/>
      <c r="X11" s="17"/>
      <c r="Y11" s="31">
        <f>SUM(Y5:Y10)</f>
        <v>0</v>
      </c>
      <c r="Z11" s="31">
        <f>SUM(Z5:Z10)</f>
        <v>0</v>
      </c>
      <c r="AA11" s="168"/>
      <c r="AB11" s="168"/>
      <c r="AC11" s="31">
        <v>6</v>
      </c>
      <c r="AD11" s="31">
        <f>SUM(AD5:AD10)</f>
        <v>0</v>
      </c>
      <c r="AE11" s="19">
        <f t="shared" si="7"/>
        <v>-72.260026812695969</v>
      </c>
      <c r="AF11" s="21">
        <f t="shared" si="8"/>
        <v>0.96386998659365197</v>
      </c>
      <c r="AG11" s="172"/>
    </row>
    <row r="12" spans="1:33" ht="15.75" customHeight="1">
      <c r="A12" s="200" t="s">
        <v>388</v>
      </c>
      <c r="B12" s="37" t="s">
        <v>84</v>
      </c>
      <c r="C12" s="196" t="s">
        <v>85</v>
      </c>
      <c r="D12" s="197"/>
      <c r="E12" s="37">
        <v>39.619999999999997</v>
      </c>
      <c r="F12" s="4">
        <v>3251</v>
      </c>
      <c r="G12" s="4">
        <v>128804.62</v>
      </c>
      <c r="H12" s="22" t="s">
        <v>139</v>
      </c>
      <c r="I12" s="16">
        <v>19</v>
      </c>
      <c r="J12" s="18">
        <v>1500</v>
      </c>
      <c r="K12" s="17">
        <f t="shared" si="0"/>
        <v>78.94736842105263</v>
      </c>
      <c r="L12" s="16">
        <v>19</v>
      </c>
      <c r="M12" s="18">
        <f t="shared" ref="M12:M13" si="10">F12/V12*60</f>
        <v>1434.2647058823525</v>
      </c>
      <c r="N12" s="17">
        <f t="shared" si="2"/>
        <v>75.48761609907119</v>
      </c>
      <c r="O12" s="19">
        <f t="shared" si="3"/>
        <v>0</v>
      </c>
      <c r="P12" s="20">
        <f t="shared" si="4"/>
        <v>-3.4597523219814406</v>
      </c>
      <c r="Q12" s="21">
        <f t="shared" si="5"/>
        <v>0.95617647058823507</v>
      </c>
      <c r="R12" s="172">
        <f>Q14</f>
        <v>0.9533877744646243</v>
      </c>
      <c r="S12" s="28">
        <v>0.20833333333333334</v>
      </c>
      <c r="T12" s="28">
        <v>0.30277777777777781</v>
      </c>
      <c r="U12" s="4"/>
      <c r="V12" s="22">
        <f t="shared" ref="V12:V13" si="11">(T12-S12)*24*60</f>
        <v>136.00000000000006</v>
      </c>
      <c r="W12" s="23"/>
      <c r="X12" s="23"/>
      <c r="Y12" s="23"/>
      <c r="Z12" s="23"/>
      <c r="AA12" s="164"/>
      <c r="AB12" s="164"/>
      <c r="AC12" s="25">
        <v>2</v>
      </c>
      <c r="AD12" s="25"/>
      <c r="AE12" s="19">
        <f t="shared" si="7"/>
        <v>-65.735294117647527</v>
      </c>
      <c r="AF12" s="21">
        <f t="shared" si="8"/>
        <v>0.95617647058823496</v>
      </c>
      <c r="AG12" s="172">
        <f>AF14</f>
        <v>0.9533877744646243</v>
      </c>
    </row>
    <row r="13" spans="1:33" ht="15.75" customHeight="1">
      <c r="A13" s="200" t="s">
        <v>389</v>
      </c>
      <c r="B13" s="37" t="s">
        <v>84</v>
      </c>
      <c r="C13" s="196" t="s">
        <v>86</v>
      </c>
      <c r="D13" s="197"/>
      <c r="E13" s="37">
        <v>39.799999999999997</v>
      </c>
      <c r="F13" s="4">
        <v>5157</v>
      </c>
      <c r="G13" s="4">
        <v>205248.59999999998</v>
      </c>
      <c r="H13" s="22" t="s">
        <v>139</v>
      </c>
      <c r="I13" s="16">
        <v>17</v>
      </c>
      <c r="J13" s="18">
        <v>1500</v>
      </c>
      <c r="K13" s="17">
        <f t="shared" si="0"/>
        <v>88.235294117647058</v>
      </c>
      <c r="L13" s="16">
        <v>17</v>
      </c>
      <c r="M13" s="18">
        <f t="shared" si="10"/>
        <v>1425.8986175115206</v>
      </c>
      <c r="N13" s="17">
        <f t="shared" si="2"/>
        <v>83.876389265383565</v>
      </c>
      <c r="O13" s="19">
        <f t="shared" si="3"/>
        <v>0</v>
      </c>
      <c r="P13" s="20">
        <f t="shared" si="4"/>
        <v>-4.3589048522634926</v>
      </c>
      <c r="Q13" s="21">
        <f t="shared" si="5"/>
        <v>0.95059907834101376</v>
      </c>
      <c r="R13" s="172"/>
      <c r="S13" s="28">
        <v>0.30833333333333335</v>
      </c>
      <c r="T13" s="28">
        <v>0.45902777777777781</v>
      </c>
      <c r="U13" s="4">
        <f t="shared" ref="U13" si="12">IF(S13=TIME(17,0,0),"",(S13-T12)*24*60)</f>
        <v>7.9999999999999716</v>
      </c>
      <c r="V13" s="22">
        <f t="shared" si="11"/>
        <v>217.00000000000003</v>
      </c>
      <c r="W13" s="23"/>
      <c r="X13" s="23"/>
      <c r="Y13" s="23"/>
      <c r="Z13" s="23"/>
      <c r="AA13" s="164"/>
      <c r="AB13" s="164"/>
      <c r="AC13" s="25"/>
      <c r="AD13" s="25"/>
      <c r="AE13" s="19">
        <f t="shared" si="7"/>
        <v>-74.10138248847943</v>
      </c>
      <c r="AF13" s="21">
        <f t="shared" si="8"/>
        <v>0.95059907834101376</v>
      </c>
      <c r="AG13" s="172"/>
    </row>
    <row r="14" spans="1:33" ht="16.5" customHeight="1">
      <c r="A14" s="200" t="s">
        <v>390</v>
      </c>
      <c r="B14" s="37" t="s">
        <v>391</v>
      </c>
      <c r="C14" s="177"/>
      <c r="D14" s="177"/>
      <c r="E14" s="38"/>
      <c r="F14" s="18"/>
      <c r="G14" s="18"/>
      <c r="H14" s="4"/>
      <c r="I14" s="30">
        <v>18</v>
      </c>
      <c r="J14" s="18">
        <v>1500</v>
      </c>
      <c r="K14" s="17">
        <f t="shared" si="0"/>
        <v>83.333333333333329</v>
      </c>
      <c r="L14" s="30">
        <v>18</v>
      </c>
      <c r="M14" s="18">
        <f>AVERAGE(M12:M13)</f>
        <v>1430.0816616969364</v>
      </c>
      <c r="N14" s="17">
        <f t="shared" si="2"/>
        <v>79.448981205385351</v>
      </c>
      <c r="O14" s="19">
        <f t="shared" si="3"/>
        <v>0</v>
      </c>
      <c r="P14" s="20">
        <f t="shared" si="4"/>
        <v>-3.8843521279479774</v>
      </c>
      <c r="Q14" s="21">
        <f t="shared" si="5"/>
        <v>0.9533877744646243</v>
      </c>
      <c r="R14" s="172"/>
      <c r="S14" s="28"/>
      <c r="T14" s="28"/>
      <c r="U14" s="17"/>
      <c r="V14" s="22"/>
      <c r="W14" s="17"/>
      <c r="X14" s="17"/>
      <c r="Y14" s="31">
        <f>SUM(Y12:Y13)</f>
        <v>0</v>
      </c>
      <c r="Z14" s="31">
        <f>SUM(Z12:Z13)</f>
        <v>0</v>
      </c>
      <c r="AA14" s="168"/>
      <c r="AB14" s="168"/>
      <c r="AC14" s="31">
        <v>2</v>
      </c>
      <c r="AD14" s="31">
        <f>SUM(AD12:AD13)</f>
        <v>0</v>
      </c>
      <c r="AE14" s="19">
        <f t="shared" si="7"/>
        <v>-69.918338303063592</v>
      </c>
      <c r="AF14" s="21">
        <f t="shared" si="8"/>
        <v>0.9533877744646243</v>
      </c>
      <c r="AG14" s="172"/>
    </row>
    <row r="15" spans="1:33" ht="16.5" customHeight="1">
      <c r="A15" s="198" t="s">
        <v>392</v>
      </c>
      <c r="B15" s="4" t="s">
        <v>87</v>
      </c>
      <c r="C15" s="190" t="s">
        <v>88</v>
      </c>
      <c r="D15" s="190"/>
      <c r="E15" s="37">
        <v>41</v>
      </c>
      <c r="F15" s="4">
        <v>2472</v>
      </c>
      <c r="G15" s="4">
        <v>101352</v>
      </c>
      <c r="H15" s="22" t="s">
        <v>139</v>
      </c>
      <c r="I15" s="16">
        <v>26</v>
      </c>
      <c r="J15" s="18">
        <v>1500</v>
      </c>
      <c r="K15" s="17">
        <f t="shared" si="0"/>
        <v>57.692307692307693</v>
      </c>
      <c r="L15" s="16">
        <v>26</v>
      </c>
      <c r="M15" s="18">
        <f t="shared" ref="M15:M21" si="13">F15/V15*60</f>
        <v>1426.1538461538464</v>
      </c>
      <c r="N15" s="17">
        <f t="shared" si="2"/>
        <v>54.852071005917168</v>
      </c>
      <c r="O15" s="19">
        <f t="shared" si="3"/>
        <v>0</v>
      </c>
      <c r="P15" s="20">
        <f t="shared" si="4"/>
        <v>-2.8402366863905257</v>
      </c>
      <c r="Q15" s="21">
        <f t="shared" si="5"/>
        <v>0.95076923076923092</v>
      </c>
      <c r="R15" s="172">
        <f>Q22</f>
        <v>0.95922908101969495</v>
      </c>
      <c r="S15" s="28">
        <v>0.20833333333333334</v>
      </c>
      <c r="T15" s="28">
        <v>0.28055555555555556</v>
      </c>
      <c r="U15" s="4"/>
      <c r="V15" s="22">
        <f t="shared" ref="V15:V21" si="14">(T15-S15)*24*60</f>
        <v>103.99999999999999</v>
      </c>
      <c r="W15" s="28"/>
      <c r="X15" s="28"/>
      <c r="Y15" s="28"/>
      <c r="Z15" s="28"/>
      <c r="AA15" s="164"/>
      <c r="AB15" s="164"/>
      <c r="AC15" s="25">
        <v>7</v>
      </c>
      <c r="AD15" s="25"/>
      <c r="AE15" s="19">
        <f t="shared" si="7"/>
        <v>-73.846153846153584</v>
      </c>
      <c r="AF15" s="21">
        <f t="shared" si="8"/>
        <v>0.95076923076923092</v>
      </c>
      <c r="AG15" s="172">
        <f>AF22</f>
        <v>0.95922908101969484</v>
      </c>
    </row>
    <row r="16" spans="1:33" ht="16.5" customHeight="1">
      <c r="A16" s="199" t="s">
        <v>393</v>
      </c>
      <c r="B16" s="4" t="s">
        <v>89</v>
      </c>
      <c r="C16" s="190" t="s">
        <v>90</v>
      </c>
      <c r="D16" s="190"/>
      <c r="E16" s="37">
        <v>72.400000000000006</v>
      </c>
      <c r="F16" s="4">
        <v>810</v>
      </c>
      <c r="G16" s="4">
        <v>58644.000000000007</v>
      </c>
      <c r="H16" s="22" t="s">
        <v>139</v>
      </c>
      <c r="I16" s="16">
        <v>18</v>
      </c>
      <c r="J16" s="18">
        <v>1500</v>
      </c>
      <c r="K16" s="17">
        <f t="shared" si="0"/>
        <v>83.333333333333329</v>
      </c>
      <c r="L16" s="16">
        <v>18</v>
      </c>
      <c r="M16" s="18">
        <f t="shared" si="13"/>
        <v>1429.4117647058804</v>
      </c>
      <c r="N16" s="17">
        <f t="shared" si="2"/>
        <v>79.411764705882248</v>
      </c>
      <c r="O16" s="19">
        <f t="shared" si="3"/>
        <v>0</v>
      </c>
      <c r="P16" s="20">
        <f t="shared" si="4"/>
        <v>-3.9215686274510801</v>
      </c>
      <c r="Q16" s="21">
        <f t="shared" si="5"/>
        <v>0.95294117647058707</v>
      </c>
      <c r="R16" s="172"/>
      <c r="S16" s="28">
        <v>0.28611111111111109</v>
      </c>
      <c r="T16" s="28">
        <v>0.30972222222222223</v>
      </c>
      <c r="U16" s="4">
        <f t="shared" ref="U16:U21" si="15">IF(S16=TIME(17,0,0),"",(S16-T15)*24*60)</f>
        <v>7.9999999999999716</v>
      </c>
      <c r="V16" s="22">
        <f t="shared" si="14"/>
        <v>34.000000000000043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-70.588235294119613</v>
      </c>
      <c r="AF16" s="21">
        <f t="shared" si="8"/>
        <v>0.95294117647058696</v>
      </c>
      <c r="AG16" s="172"/>
    </row>
    <row r="17" spans="1:33" ht="16.5" customHeight="1">
      <c r="A17" s="199" t="s">
        <v>394</v>
      </c>
      <c r="B17" s="4" t="s">
        <v>78</v>
      </c>
      <c r="C17" s="190" t="s">
        <v>91</v>
      </c>
      <c r="D17" s="190"/>
      <c r="E17" s="37">
        <v>50.98</v>
      </c>
      <c r="F17" s="4">
        <v>1000</v>
      </c>
      <c r="G17" s="4">
        <v>50980</v>
      </c>
      <c r="H17" s="22">
        <v>2</v>
      </c>
      <c r="I17" s="16">
        <v>16</v>
      </c>
      <c r="J17" s="18">
        <v>2000</v>
      </c>
      <c r="K17" s="17">
        <f t="shared" si="0"/>
        <v>125</v>
      </c>
      <c r="L17" s="16">
        <v>16</v>
      </c>
      <c r="M17" s="18">
        <f t="shared" si="13"/>
        <v>1935.483870967739</v>
      </c>
      <c r="N17" s="17">
        <f t="shared" si="2"/>
        <v>120.96774193548369</v>
      </c>
      <c r="O17" s="19">
        <f t="shared" si="3"/>
        <v>0</v>
      </c>
      <c r="P17" s="20">
        <f t="shared" si="4"/>
        <v>-4.0322580645163129</v>
      </c>
      <c r="Q17" s="21">
        <f t="shared" si="5"/>
        <v>0.96774193548386944</v>
      </c>
      <c r="R17" s="172"/>
      <c r="S17" s="28">
        <v>0.70833333333333337</v>
      </c>
      <c r="T17" s="28">
        <v>0.72986111111111118</v>
      </c>
      <c r="U17" s="4" t="str">
        <f t="shared" si="15"/>
        <v/>
      </c>
      <c r="V17" s="22">
        <f t="shared" si="14"/>
        <v>31.00000000000005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-64.516129032261006</v>
      </c>
      <c r="AF17" s="21">
        <f t="shared" si="8"/>
        <v>0.96774193548386944</v>
      </c>
      <c r="AG17" s="172"/>
    </row>
    <row r="18" spans="1:33" ht="16.5" customHeight="1">
      <c r="A18" s="199" t="s">
        <v>392</v>
      </c>
      <c r="B18" s="4" t="s">
        <v>78</v>
      </c>
      <c r="C18" s="190" t="s">
        <v>92</v>
      </c>
      <c r="D18" s="190"/>
      <c r="E18" s="37">
        <v>50.92</v>
      </c>
      <c r="F18" s="4">
        <v>800</v>
      </c>
      <c r="G18" s="4">
        <v>40736</v>
      </c>
      <c r="H18" s="22">
        <v>2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1919.9999999999945</v>
      </c>
      <c r="N18" s="17">
        <f t="shared" si="2"/>
        <v>127.99999999999963</v>
      </c>
      <c r="O18" s="19">
        <f t="shared" si="3"/>
        <v>0</v>
      </c>
      <c r="P18" s="20">
        <f t="shared" si="4"/>
        <v>-5.3333333333337123</v>
      </c>
      <c r="Q18" s="21">
        <f t="shared" si="5"/>
        <v>0.95999999999999719</v>
      </c>
      <c r="R18" s="172"/>
      <c r="S18" s="28">
        <v>0.73541666666666672</v>
      </c>
      <c r="T18" s="28">
        <v>0.75277777777777788</v>
      </c>
      <c r="U18" s="4">
        <f t="shared" si="15"/>
        <v>7.9999999999999716</v>
      </c>
      <c r="V18" s="22">
        <f t="shared" si="14"/>
        <v>25.000000000000071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-80.000000000005457</v>
      </c>
      <c r="AF18" s="21">
        <f t="shared" si="8"/>
        <v>0.9599999999999973</v>
      </c>
      <c r="AG18" s="172"/>
    </row>
    <row r="19" spans="1:33" ht="16.5" customHeight="1">
      <c r="A19" s="199" t="s">
        <v>393</v>
      </c>
      <c r="B19" s="4" t="s">
        <v>78</v>
      </c>
      <c r="C19" s="190" t="s">
        <v>93</v>
      </c>
      <c r="D19" s="190"/>
      <c r="E19" s="37">
        <v>50.67</v>
      </c>
      <c r="F19" s="4">
        <v>1793</v>
      </c>
      <c r="G19" s="4">
        <v>90851.31</v>
      </c>
      <c r="H19" s="22" t="s">
        <v>139</v>
      </c>
      <c r="I19" s="16">
        <v>15</v>
      </c>
      <c r="J19" s="18">
        <v>2000</v>
      </c>
      <c r="K19" s="17">
        <f t="shared" si="0"/>
        <v>133.33333333333334</v>
      </c>
      <c r="L19" s="16">
        <v>15</v>
      </c>
      <c r="M19" s="18">
        <f t="shared" si="13"/>
        <v>1921.07142857143</v>
      </c>
      <c r="N19" s="17">
        <f t="shared" si="2"/>
        <v>128.07142857142867</v>
      </c>
      <c r="O19" s="19">
        <f t="shared" si="3"/>
        <v>0</v>
      </c>
      <c r="P19" s="20">
        <f t="shared" si="4"/>
        <v>-5.2619047619046739</v>
      </c>
      <c r="Q19" s="21">
        <f t="shared" si="5"/>
        <v>0.96053571428571494</v>
      </c>
      <c r="R19" s="172"/>
      <c r="S19" s="28">
        <v>0.75625000000000009</v>
      </c>
      <c r="T19" s="28">
        <v>0.79513888888888895</v>
      </c>
      <c r="U19" s="4">
        <f t="shared" si="15"/>
        <v>4.9999999999999822</v>
      </c>
      <c r="V19" s="22">
        <f t="shared" si="14"/>
        <v>55.999999999999957</v>
      </c>
      <c r="W19" s="23"/>
      <c r="X19" s="23"/>
      <c r="Y19" s="23"/>
      <c r="Z19" s="23"/>
      <c r="AA19" s="164"/>
      <c r="AB19" s="164"/>
      <c r="AC19" s="25"/>
      <c r="AD19" s="25"/>
      <c r="AE19" s="19">
        <f t="shared" si="7"/>
        <v>-78.928571428569967</v>
      </c>
      <c r="AF19" s="21">
        <f t="shared" si="8"/>
        <v>0.96053571428571505</v>
      </c>
      <c r="AG19" s="172"/>
    </row>
    <row r="20" spans="1:33" ht="16.5" customHeight="1">
      <c r="A20" s="199" t="s">
        <v>394</v>
      </c>
      <c r="B20" s="4" t="s">
        <v>78</v>
      </c>
      <c r="C20" s="217" t="s">
        <v>94</v>
      </c>
      <c r="D20" s="218"/>
      <c r="E20" s="37">
        <v>57.3</v>
      </c>
      <c r="F20" s="4">
        <v>2144</v>
      </c>
      <c r="G20" s="4">
        <v>122851.2</v>
      </c>
      <c r="H20" s="22" t="s">
        <v>139</v>
      </c>
      <c r="I20" s="16">
        <v>13</v>
      </c>
      <c r="J20" s="18">
        <v>2000</v>
      </c>
      <c r="K20" s="17">
        <f t="shared" si="0"/>
        <v>153.84615384615384</v>
      </c>
      <c r="L20" s="16">
        <v>13</v>
      </c>
      <c r="M20" s="18">
        <f t="shared" si="13"/>
        <v>1919.9999999999977</v>
      </c>
      <c r="N20" s="17">
        <f t="shared" si="2"/>
        <v>147.69230769230751</v>
      </c>
      <c r="O20" s="19">
        <f t="shared" si="3"/>
        <v>0</v>
      </c>
      <c r="P20" s="20">
        <f t="shared" si="4"/>
        <v>-6.1538461538463309</v>
      </c>
      <c r="Q20" s="21">
        <f t="shared" si="5"/>
        <v>0.95999999999999885</v>
      </c>
      <c r="R20" s="172"/>
      <c r="S20" s="28">
        <v>0.80069444444444449</v>
      </c>
      <c r="T20" s="28">
        <v>0.84722222222222232</v>
      </c>
      <c r="U20" s="4">
        <f t="shared" si="15"/>
        <v>7.9999999999999716</v>
      </c>
      <c r="V20" s="22">
        <f t="shared" si="14"/>
        <v>67.000000000000085</v>
      </c>
      <c r="W20" s="23">
        <f>T20</f>
        <v>0.84722222222222232</v>
      </c>
      <c r="X20" s="23">
        <f>S21</f>
        <v>0.88958333333333339</v>
      </c>
      <c r="Y20" s="26"/>
      <c r="Z20" s="26"/>
      <c r="AA20" s="175"/>
      <c r="AB20" s="176"/>
      <c r="AC20" s="25"/>
      <c r="AD20" s="25"/>
      <c r="AE20" s="19">
        <f t="shared" si="7"/>
        <v>-80.000000000002274</v>
      </c>
      <c r="AF20" s="21">
        <f t="shared" si="8"/>
        <v>0.95999999999999885</v>
      </c>
      <c r="AG20" s="172"/>
    </row>
    <row r="21" spans="1:33" ht="16.5" customHeight="1">
      <c r="A21" s="199" t="s">
        <v>394</v>
      </c>
      <c r="B21" s="4" t="s">
        <v>78</v>
      </c>
      <c r="C21" s="39" t="s">
        <v>92</v>
      </c>
      <c r="D21" s="40"/>
      <c r="E21" s="37">
        <v>50.92</v>
      </c>
      <c r="F21" s="4">
        <v>1790</v>
      </c>
      <c r="G21" s="4">
        <v>91146.8</v>
      </c>
      <c r="H21" s="22" t="s">
        <v>139</v>
      </c>
      <c r="I21" s="16">
        <v>15</v>
      </c>
      <c r="J21" s="18">
        <v>2000</v>
      </c>
      <c r="K21" s="17">
        <f t="shared" si="0"/>
        <v>133.33333333333334</v>
      </c>
      <c r="L21" s="16">
        <v>15</v>
      </c>
      <c r="M21" s="18">
        <f t="shared" si="13"/>
        <v>1917.8571428571445</v>
      </c>
      <c r="N21" s="17">
        <f t="shared" si="2"/>
        <v>127.85714285714296</v>
      </c>
      <c r="O21" s="19">
        <f t="shared" si="3"/>
        <v>0</v>
      </c>
      <c r="P21" s="20">
        <f t="shared" si="4"/>
        <v>-5.4761904761903821</v>
      </c>
      <c r="Q21" s="21">
        <f t="shared" si="5"/>
        <v>0.95892857142857213</v>
      </c>
      <c r="R21" s="172"/>
      <c r="S21" s="28">
        <v>0.88958333333333339</v>
      </c>
      <c r="T21" s="28">
        <v>0.92847222222222225</v>
      </c>
      <c r="U21" s="4">
        <f t="shared" si="15"/>
        <v>60.999999999999943</v>
      </c>
      <c r="V21" s="22">
        <f t="shared" si="14"/>
        <v>55.999999999999957</v>
      </c>
      <c r="W21" s="23"/>
      <c r="X21" s="23"/>
      <c r="Y21" s="26"/>
      <c r="Z21" s="26"/>
      <c r="AA21" s="175"/>
      <c r="AB21" s="176"/>
      <c r="AC21" s="25"/>
      <c r="AD21" s="25"/>
      <c r="AE21" s="19">
        <f t="shared" si="7"/>
        <v>-82.142857142855519</v>
      </c>
      <c r="AF21" s="21">
        <f t="shared" si="8"/>
        <v>0.95892857142857224</v>
      </c>
      <c r="AG21" s="172"/>
    </row>
    <row r="22" spans="1:33" ht="16.5" customHeight="1">
      <c r="A22" s="199" t="s">
        <v>394</v>
      </c>
      <c r="B22" s="37" t="s">
        <v>387</v>
      </c>
      <c r="C22" s="177"/>
      <c r="D22" s="177"/>
      <c r="E22" s="38"/>
      <c r="F22" s="17"/>
      <c r="G22" s="17"/>
      <c r="H22" s="4"/>
      <c r="I22" s="30">
        <v>16.857142857142858</v>
      </c>
      <c r="J22" s="18">
        <v>1857.1428571428571</v>
      </c>
      <c r="K22" s="17">
        <f t="shared" si="0"/>
        <v>110.16949152542372</v>
      </c>
      <c r="L22" s="30">
        <v>16.857142857142858</v>
      </c>
      <c r="M22" s="18">
        <f>AVERAGE(M15:M21)</f>
        <v>1781.4254361794333</v>
      </c>
      <c r="N22" s="17">
        <f t="shared" si="2"/>
        <v>105.67778011233926</v>
      </c>
      <c r="O22" s="19">
        <f t="shared" si="3"/>
        <v>0</v>
      </c>
      <c r="P22" s="20">
        <f t="shared" si="4"/>
        <v>-4.4917114130844595</v>
      </c>
      <c r="Q22" s="21">
        <f t="shared" si="5"/>
        <v>0.95922908101969495</v>
      </c>
      <c r="R22" s="172"/>
      <c r="S22" s="28"/>
      <c r="T22" s="28"/>
      <c r="U22" s="4"/>
      <c r="V22" s="22"/>
      <c r="W22" s="17"/>
      <c r="X22" s="17"/>
      <c r="Y22" s="31">
        <f>SUM(Y15:Y21)</f>
        <v>0</v>
      </c>
      <c r="Z22" s="31">
        <f>SUM(Z15:Z21)</f>
        <v>0</v>
      </c>
      <c r="AA22" s="168"/>
      <c r="AB22" s="168"/>
      <c r="AC22" s="31">
        <v>7</v>
      </c>
      <c r="AD22" s="31">
        <f>SUM(AD15:AD21)</f>
        <v>0</v>
      </c>
      <c r="AE22" s="19">
        <f t="shared" si="7"/>
        <v>-75.71742096342382</v>
      </c>
      <c r="AF22" s="21">
        <f t="shared" si="8"/>
        <v>0.95922908101969484</v>
      </c>
      <c r="AG22" s="172"/>
    </row>
    <row r="23" spans="1:33" ht="15.75" customHeight="1">
      <c r="A23" s="194" t="s">
        <v>395</v>
      </c>
      <c r="B23" s="37" t="s">
        <v>78</v>
      </c>
      <c r="C23" s="190" t="s">
        <v>95</v>
      </c>
      <c r="D23" s="190"/>
      <c r="E23" s="37">
        <v>57.73</v>
      </c>
      <c r="F23" s="4">
        <v>2702</v>
      </c>
      <c r="G23" s="4">
        <v>155986.46</v>
      </c>
      <c r="H23" s="22" t="s">
        <v>139</v>
      </c>
      <c r="I23" s="16">
        <v>14</v>
      </c>
      <c r="J23" s="18">
        <v>2000</v>
      </c>
      <c r="K23" s="17">
        <f t="shared" si="0"/>
        <v>142.85714285714286</v>
      </c>
      <c r="L23" s="16">
        <v>14</v>
      </c>
      <c r="M23" s="18">
        <f t="shared" ref="M23:M28" si="16">F23/V23*60</f>
        <v>1907.2941176470595</v>
      </c>
      <c r="N23" s="17">
        <f t="shared" si="2"/>
        <v>136.2352941176471</v>
      </c>
      <c r="O23" s="19">
        <f t="shared" si="3"/>
        <v>0</v>
      </c>
      <c r="P23" s="20">
        <f t="shared" si="4"/>
        <v>-6.6218487394957606</v>
      </c>
      <c r="Q23" s="21">
        <f t="shared" si="5"/>
        <v>0.95364705882352963</v>
      </c>
      <c r="R23" s="172">
        <f>Q29</f>
        <v>0.95898320094000733</v>
      </c>
      <c r="S23" s="28">
        <v>0.20833333333333334</v>
      </c>
      <c r="T23" s="28">
        <v>0.2673611111111111</v>
      </c>
      <c r="U23" s="4"/>
      <c r="V23" s="22">
        <f t="shared" ref="V23:V28" si="17">(T23-S23)*24*60</f>
        <v>84.999999999999972</v>
      </c>
      <c r="W23" s="28"/>
      <c r="X23" s="28"/>
      <c r="Y23" s="28"/>
      <c r="Z23" s="28"/>
      <c r="AA23" s="164"/>
      <c r="AB23" s="164"/>
      <c r="AC23" s="25">
        <v>6</v>
      </c>
      <c r="AD23" s="25"/>
      <c r="AE23" s="19">
        <f t="shared" si="7"/>
        <v>-92.705882352940534</v>
      </c>
      <c r="AF23" s="21">
        <f t="shared" si="8"/>
        <v>0.95364705882352974</v>
      </c>
      <c r="AG23" s="172">
        <f>AF29</f>
        <v>0.95898320094000733</v>
      </c>
    </row>
    <row r="24" spans="1:33" ht="15.75" customHeight="1">
      <c r="A24" s="195" t="s">
        <v>396</v>
      </c>
      <c r="B24" s="37" t="s">
        <v>78</v>
      </c>
      <c r="C24" s="190" t="s">
        <v>96</v>
      </c>
      <c r="D24" s="190"/>
      <c r="E24" s="37">
        <v>53.68</v>
      </c>
      <c r="F24" s="4">
        <v>1594</v>
      </c>
      <c r="G24" s="4">
        <v>85565.92</v>
      </c>
      <c r="H24" s="22" t="s">
        <v>139</v>
      </c>
      <c r="I24" s="16">
        <v>16</v>
      </c>
      <c r="J24" s="18">
        <v>2000</v>
      </c>
      <c r="K24" s="17">
        <f t="shared" si="0"/>
        <v>125</v>
      </c>
      <c r="L24" s="16">
        <v>16</v>
      </c>
      <c r="M24" s="18">
        <f t="shared" si="16"/>
        <v>1912.8000000000006</v>
      </c>
      <c r="N24" s="17">
        <f t="shared" si="2"/>
        <v>119.55000000000004</v>
      </c>
      <c r="O24" s="19">
        <f t="shared" si="3"/>
        <v>0</v>
      </c>
      <c r="P24" s="20">
        <f t="shared" si="4"/>
        <v>-5.4499999999999602</v>
      </c>
      <c r="Q24" s="21">
        <f t="shared" si="5"/>
        <v>0.95640000000000036</v>
      </c>
      <c r="R24" s="172"/>
      <c r="S24" s="28">
        <v>0.27291666666666664</v>
      </c>
      <c r="T24" s="28">
        <v>0.30763888888888885</v>
      </c>
      <c r="U24" s="4">
        <f t="shared" ref="U24:U28" si="18">IF(S24=TIME(17,0,0),"",(S24-T23)*24*60)</f>
        <v>7.9999999999999716</v>
      </c>
      <c r="V24" s="22">
        <f t="shared" si="17"/>
        <v>49.999999999999986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-87.199999999999363</v>
      </c>
      <c r="AF24" s="21">
        <f t="shared" si="8"/>
        <v>0.95640000000000036</v>
      </c>
      <c r="AG24" s="172"/>
    </row>
    <row r="25" spans="1:33" ht="15.75" customHeight="1">
      <c r="A25" s="195" t="s">
        <v>395</v>
      </c>
      <c r="B25" s="37" t="s">
        <v>78</v>
      </c>
      <c r="C25" s="190" t="s">
        <v>97</v>
      </c>
      <c r="D25" s="190"/>
      <c r="E25" s="37">
        <v>50.49</v>
      </c>
      <c r="F25" s="4">
        <v>2270</v>
      </c>
      <c r="G25" s="4">
        <v>114612.3</v>
      </c>
      <c r="H25" s="22" t="s">
        <v>139</v>
      </c>
      <c r="I25" s="16">
        <v>15</v>
      </c>
      <c r="J25" s="18">
        <v>2000</v>
      </c>
      <c r="K25" s="17">
        <f t="shared" si="0"/>
        <v>133.33333333333334</v>
      </c>
      <c r="L25" s="16">
        <v>15</v>
      </c>
      <c r="M25" s="18">
        <f t="shared" si="16"/>
        <v>1918.3098591549276</v>
      </c>
      <c r="N25" s="17">
        <f t="shared" si="2"/>
        <v>127.88732394366184</v>
      </c>
      <c r="O25" s="19">
        <f t="shared" si="3"/>
        <v>0</v>
      </c>
      <c r="P25" s="20">
        <f t="shared" si="4"/>
        <v>-5.4460093896715023</v>
      </c>
      <c r="Q25" s="21">
        <f t="shared" si="5"/>
        <v>0.95915492957746373</v>
      </c>
      <c r="R25" s="172"/>
      <c r="S25" s="28">
        <v>0.70833333333333337</v>
      </c>
      <c r="T25" s="28">
        <v>0.75763888888888897</v>
      </c>
      <c r="U25" s="4" t="str">
        <f t="shared" si="18"/>
        <v/>
      </c>
      <c r="V25" s="22">
        <f t="shared" si="17"/>
        <v>71.000000000000071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-81.690140845072392</v>
      </c>
      <c r="AF25" s="21">
        <f t="shared" si="8"/>
        <v>0.95915492957746384</v>
      </c>
      <c r="AG25" s="172"/>
    </row>
    <row r="26" spans="1:33" ht="15.75" customHeight="1">
      <c r="A26" s="195" t="s">
        <v>395</v>
      </c>
      <c r="B26" s="37" t="s">
        <v>78</v>
      </c>
      <c r="C26" s="190" t="s">
        <v>98</v>
      </c>
      <c r="D26" s="190"/>
      <c r="E26" s="37">
        <v>50.67</v>
      </c>
      <c r="F26" s="4">
        <v>1225</v>
      </c>
      <c r="G26" s="4">
        <v>62070.75</v>
      </c>
      <c r="H26" s="22" t="s">
        <v>139</v>
      </c>
      <c r="I26" s="16">
        <v>16</v>
      </c>
      <c r="J26" s="18">
        <v>2000</v>
      </c>
      <c r="K26" s="17">
        <f t="shared" si="0"/>
        <v>125</v>
      </c>
      <c r="L26" s="16">
        <v>16</v>
      </c>
      <c r="M26" s="18">
        <f t="shared" si="16"/>
        <v>1934.2105263157882</v>
      </c>
      <c r="N26" s="17">
        <f t="shared" si="2"/>
        <v>120.88815789473676</v>
      </c>
      <c r="O26" s="19">
        <f t="shared" si="3"/>
        <v>0</v>
      </c>
      <c r="P26" s="20">
        <f t="shared" si="4"/>
        <v>-4.1118421052632357</v>
      </c>
      <c r="Q26" s="21">
        <f t="shared" si="5"/>
        <v>0.96710526315789413</v>
      </c>
      <c r="R26" s="172"/>
      <c r="S26" s="28">
        <v>0.76319444444444451</v>
      </c>
      <c r="T26" s="28">
        <v>0.78958333333333341</v>
      </c>
      <c r="U26" s="4">
        <f t="shared" si="18"/>
        <v>7.9999999999999716</v>
      </c>
      <c r="V26" s="22">
        <f t="shared" si="17"/>
        <v>38.000000000000028</v>
      </c>
      <c r="W26" s="23"/>
      <c r="X26" s="4"/>
      <c r="Y26" s="4"/>
      <c r="Z26" s="4"/>
      <c r="AA26" s="164"/>
      <c r="AB26" s="164"/>
      <c r="AC26" s="25"/>
      <c r="AD26" s="25"/>
      <c r="AE26" s="19">
        <f t="shared" si="7"/>
        <v>-65.789473684211771</v>
      </c>
      <c r="AF26" s="21">
        <f t="shared" si="8"/>
        <v>0.96710526315789413</v>
      </c>
      <c r="AG26" s="172"/>
    </row>
    <row r="27" spans="1:33" ht="15.75" customHeight="1">
      <c r="A27" s="195" t="s">
        <v>60</v>
      </c>
      <c r="B27" s="37" t="s">
        <v>78</v>
      </c>
      <c r="C27" s="190" t="s">
        <v>99</v>
      </c>
      <c r="D27" s="190"/>
      <c r="E27" s="37">
        <v>53.68</v>
      </c>
      <c r="F27" s="4">
        <v>2157</v>
      </c>
      <c r="G27" s="4">
        <v>115787.76</v>
      </c>
      <c r="H27" s="22" t="s">
        <v>139</v>
      </c>
      <c r="I27" s="16">
        <v>16</v>
      </c>
      <c r="J27" s="18">
        <v>1500</v>
      </c>
      <c r="K27" s="17">
        <f t="shared" si="0"/>
        <v>93.75</v>
      </c>
      <c r="L27" s="16">
        <v>16</v>
      </c>
      <c r="M27" s="18">
        <f t="shared" si="16"/>
        <v>1438</v>
      </c>
      <c r="N27" s="17">
        <f t="shared" si="2"/>
        <v>89.875</v>
      </c>
      <c r="O27" s="19">
        <f t="shared" si="3"/>
        <v>0</v>
      </c>
      <c r="P27" s="20">
        <f t="shared" si="4"/>
        <v>-3.875</v>
      </c>
      <c r="Q27" s="21">
        <f t="shared" si="5"/>
        <v>0.95866666666666667</v>
      </c>
      <c r="R27" s="172"/>
      <c r="S27" s="28">
        <v>0.79375000000000007</v>
      </c>
      <c r="T27" s="28">
        <v>0.85625000000000007</v>
      </c>
      <c r="U27" s="4">
        <f t="shared" si="18"/>
        <v>5.9999999999999787</v>
      </c>
      <c r="V27" s="22">
        <f t="shared" si="17"/>
        <v>90</v>
      </c>
      <c r="W27" s="23">
        <f>T27</f>
        <v>0.85625000000000007</v>
      </c>
      <c r="X27" s="23">
        <f>S28</f>
        <v>0.89583333333333337</v>
      </c>
      <c r="Y27" s="4"/>
      <c r="Z27" s="4"/>
      <c r="AA27" s="164"/>
      <c r="AB27" s="164"/>
      <c r="AC27" s="25"/>
      <c r="AD27" s="25"/>
      <c r="AE27" s="19">
        <f t="shared" si="7"/>
        <v>-62</v>
      </c>
      <c r="AF27" s="21">
        <f t="shared" si="8"/>
        <v>0.95866666666666667</v>
      </c>
      <c r="AG27" s="172"/>
    </row>
    <row r="28" spans="1:33" ht="15.75" customHeight="1">
      <c r="A28" s="195" t="s">
        <v>396</v>
      </c>
      <c r="B28" s="37" t="s">
        <v>78</v>
      </c>
      <c r="C28" s="190" t="s">
        <v>91</v>
      </c>
      <c r="D28" s="190"/>
      <c r="E28" s="37">
        <v>50.98</v>
      </c>
      <c r="F28" s="4">
        <v>1662</v>
      </c>
      <c r="G28" s="4">
        <v>84728.76</v>
      </c>
      <c r="H28" s="22" t="s">
        <v>139</v>
      </c>
      <c r="I28" s="16">
        <v>16</v>
      </c>
      <c r="J28" s="18">
        <v>2000</v>
      </c>
      <c r="K28" s="17">
        <f t="shared" si="0"/>
        <v>125</v>
      </c>
      <c r="L28" s="16">
        <v>16</v>
      </c>
      <c r="M28" s="18">
        <f t="shared" si="16"/>
        <v>1917.6923076923088</v>
      </c>
      <c r="N28" s="17">
        <f t="shared" si="2"/>
        <v>119.8557692307693</v>
      </c>
      <c r="O28" s="19">
        <f t="shared" si="3"/>
        <v>0</v>
      </c>
      <c r="P28" s="20">
        <f t="shared" si="4"/>
        <v>-5.1442307692307025</v>
      </c>
      <c r="Q28" s="21">
        <f t="shared" si="5"/>
        <v>0.95884615384615435</v>
      </c>
      <c r="R28" s="172"/>
      <c r="S28" s="28">
        <v>0.89583333333333337</v>
      </c>
      <c r="T28" s="28">
        <v>0.93194444444444446</v>
      </c>
      <c r="U28" s="4">
        <f t="shared" si="18"/>
        <v>56.999999999999957</v>
      </c>
      <c r="V28" s="22">
        <f t="shared" si="17"/>
        <v>51.999999999999972</v>
      </c>
      <c r="W28" s="23"/>
      <c r="X28" s="28"/>
      <c r="Y28" s="28"/>
      <c r="Z28" s="28"/>
      <c r="AA28" s="164"/>
      <c r="AB28" s="164"/>
      <c r="AC28" s="25"/>
      <c r="AD28" s="25"/>
      <c r="AE28" s="19">
        <f t="shared" si="7"/>
        <v>-82.307692307691241</v>
      </c>
      <c r="AF28" s="21">
        <f t="shared" si="8"/>
        <v>0.95884615384615435</v>
      </c>
      <c r="AG28" s="172"/>
    </row>
    <row r="29" spans="1:33" ht="15.75" customHeight="1">
      <c r="A29" s="195" t="s">
        <v>397</v>
      </c>
      <c r="B29" s="37" t="s">
        <v>398</v>
      </c>
      <c r="C29" s="177"/>
      <c r="D29" s="177"/>
      <c r="E29" s="38"/>
      <c r="F29" s="4"/>
      <c r="G29" s="4"/>
      <c r="H29" s="4"/>
      <c r="I29" s="30">
        <v>15.5</v>
      </c>
      <c r="J29" s="18">
        <v>1916.6666666666667</v>
      </c>
      <c r="K29" s="17">
        <f t="shared" si="0"/>
        <v>123.65591397849462</v>
      </c>
      <c r="L29" s="30">
        <v>15.5</v>
      </c>
      <c r="M29" s="18">
        <f>AVERAGE(M23:M28)</f>
        <v>1838.0511351350142</v>
      </c>
      <c r="N29" s="17">
        <f t="shared" si="2"/>
        <v>118.58394420225898</v>
      </c>
      <c r="O29" s="19">
        <f t="shared" si="3"/>
        <v>0</v>
      </c>
      <c r="P29" s="20">
        <f t="shared" si="4"/>
        <v>-5.0719697762356475</v>
      </c>
      <c r="Q29" s="21">
        <f t="shared" si="5"/>
        <v>0.95898320094000733</v>
      </c>
      <c r="R29" s="172"/>
      <c r="S29" s="28"/>
      <c r="T29" s="28"/>
      <c r="U29" s="17"/>
      <c r="V29" s="22"/>
      <c r="W29" s="17"/>
      <c r="X29" s="17"/>
      <c r="Y29" s="31">
        <f>SUM(Y23:Y28)</f>
        <v>0</v>
      </c>
      <c r="Z29" s="31">
        <f>SUM(Z23:Z28)</f>
        <v>0</v>
      </c>
      <c r="AA29" s="168"/>
      <c r="AB29" s="168"/>
      <c r="AC29" s="31">
        <v>6</v>
      </c>
      <c r="AD29" s="31">
        <f>SUM(AD23:AD28)</f>
        <v>0</v>
      </c>
      <c r="AE29" s="19">
        <f t="shared" si="7"/>
        <v>-78.61553153165255</v>
      </c>
      <c r="AF29" s="21">
        <f t="shared" si="8"/>
        <v>0.95898320094000733</v>
      </c>
      <c r="AG29" s="172"/>
    </row>
    <row r="30" spans="1:33" ht="15.75" customHeight="1">
      <c r="A30" s="193" t="s">
        <v>61</v>
      </c>
      <c r="B30" s="37" t="s">
        <v>100</v>
      </c>
      <c r="C30" s="190" t="s">
        <v>101</v>
      </c>
      <c r="D30" s="190"/>
      <c r="E30" s="37">
        <v>31.29</v>
      </c>
      <c r="F30" s="4">
        <v>8359</v>
      </c>
      <c r="G30" s="4">
        <v>261553.11</v>
      </c>
      <c r="H30" s="22" t="s">
        <v>139</v>
      </c>
      <c r="I30" s="16">
        <v>18</v>
      </c>
      <c r="J30" s="18">
        <v>2400</v>
      </c>
      <c r="K30" s="17">
        <f t="shared" si="0"/>
        <v>133.33333333333334</v>
      </c>
      <c r="L30" s="16">
        <v>18</v>
      </c>
      <c r="M30" s="18">
        <f t="shared" ref="M30:M35" si="19">F30/V30*60</f>
        <v>2290.1369863013692</v>
      </c>
      <c r="N30" s="17">
        <f t="shared" si="2"/>
        <v>127.22983257229829</v>
      </c>
      <c r="O30" s="19">
        <f t="shared" si="3"/>
        <v>0</v>
      </c>
      <c r="P30" s="20">
        <f t="shared" si="4"/>
        <v>-6.1035007610350505</v>
      </c>
      <c r="Q30" s="21">
        <f t="shared" si="5"/>
        <v>0.95422374429223711</v>
      </c>
      <c r="R30" s="172">
        <f>Q36</f>
        <v>0.95732215217153493</v>
      </c>
      <c r="S30" s="28">
        <v>8.3333333333333329E-2</v>
      </c>
      <c r="T30" s="28">
        <v>0.23541666666666666</v>
      </c>
      <c r="U30" s="4"/>
      <c r="V30" s="22">
        <f t="shared" ref="V30:V35" si="20">(T30-S30)*24*60</f>
        <v>219.00000000000003</v>
      </c>
      <c r="W30" s="23">
        <f>T30</f>
        <v>0.23541666666666666</v>
      </c>
      <c r="X30" s="23">
        <f>S31</f>
        <v>0.25416666666666665</v>
      </c>
      <c r="Y30" s="23"/>
      <c r="Z30" s="23"/>
      <c r="AA30" s="164"/>
      <c r="AB30" s="164"/>
      <c r="AC30" s="25">
        <v>6</v>
      </c>
      <c r="AD30" s="25"/>
      <c r="AE30" s="19">
        <f t="shared" si="7"/>
        <v>-109.86301369863077</v>
      </c>
      <c r="AF30" s="21">
        <f t="shared" si="8"/>
        <v>0.95422374429223722</v>
      </c>
      <c r="AG30" s="172">
        <f>AF36</f>
        <v>0.95732215217153505</v>
      </c>
    </row>
    <row r="31" spans="1:33" ht="15.75" customHeight="1">
      <c r="A31" s="193" t="s">
        <v>399</v>
      </c>
      <c r="B31" s="37" t="s">
        <v>100</v>
      </c>
      <c r="C31" s="190" t="s">
        <v>102</v>
      </c>
      <c r="D31" s="190"/>
      <c r="E31" s="37">
        <v>26.2</v>
      </c>
      <c r="F31" s="4">
        <v>2800</v>
      </c>
      <c r="G31" s="4">
        <v>73360</v>
      </c>
      <c r="H31" s="22">
        <v>2</v>
      </c>
      <c r="I31" s="16">
        <v>20</v>
      </c>
      <c r="J31" s="18">
        <v>2400</v>
      </c>
      <c r="K31" s="17">
        <f t="shared" si="0"/>
        <v>120</v>
      </c>
      <c r="L31" s="16">
        <v>20</v>
      </c>
      <c r="M31" s="18">
        <f t="shared" si="19"/>
        <v>2301.3698630136987</v>
      </c>
      <c r="N31" s="17">
        <f t="shared" si="2"/>
        <v>115.06849315068493</v>
      </c>
      <c r="O31" s="19">
        <f t="shared" si="3"/>
        <v>0</v>
      </c>
      <c r="P31" s="20">
        <f t="shared" si="4"/>
        <v>-4.9315068493150704</v>
      </c>
      <c r="Q31" s="21">
        <f t="shared" si="5"/>
        <v>0.95890410958904104</v>
      </c>
      <c r="R31" s="172"/>
      <c r="S31" s="28">
        <v>0.25416666666666665</v>
      </c>
      <c r="T31" s="28">
        <v>0.30486111111111108</v>
      </c>
      <c r="U31" s="4">
        <f t="shared" ref="U31:U35" si="21">(S31-T30)*24*60</f>
        <v>26.999999999999986</v>
      </c>
      <c r="V31" s="22">
        <f t="shared" si="20"/>
        <v>72.999999999999986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-98.630136986301295</v>
      </c>
      <c r="AF31" s="21">
        <f t="shared" si="8"/>
        <v>0.95890410958904115</v>
      </c>
      <c r="AG31" s="172"/>
    </row>
    <row r="32" spans="1:33" ht="15.75" customHeight="1">
      <c r="A32" s="193" t="s">
        <v>399</v>
      </c>
      <c r="B32" s="37" t="s">
        <v>100</v>
      </c>
      <c r="C32" s="190" t="s">
        <v>103</v>
      </c>
      <c r="D32" s="190"/>
      <c r="E32" s="37">
        <v>25.99</v>
      </c>
      <c r="F32" s="4">
        <v>3834</v>
      </c>
      <c r="G32" s="4">
        <v>99645.659999999989</v>
      </c>
      <c r="H32" s="22" t="s">
        <v>139</v>
      </c>
      <c r="I32" s="16">
        <v>14</v>
      </c>
      <c r="J32" s="18">
        <v>2400</v>
      </c>
      <c r="K32" s="17">
        <f t="shared" si="0"/>
        <v>171.42857142857142</v>
      </c>
      <c r="L32" s="16">
        <v>14</v>
      </c>
      <c r="M32" s="18">
        <f t="shared" si="19"/>
        <v>2300.3999999999987</v>
      </c>
      <c r="N32" s="17">
        <f t="shared" si="2"/>
        <v>164.31428571428563</v>
      </c>
      <c r="O32" s="19">
        <f t="shared" si="3"/>
        <v>0</v>
      </c>
      <c r="P32" s="20">
        <f t="shared" si="4"/>
        <v>-7.1142857142857849</v>
      </c>
      <c r="Q32" s="21">
        <f t="shared" si="5"/>
        <v>0.95849999999999957</v>
      </c>
      <c r="R32" s="172"/>
      <c r="S32" s="28">
        <v>0.31041666666666662</v>
      </c>
      <c r="T32" s="28">
        <v>0.37986111111111109</v>
      </c>
      <c r="U32" s="4">
        <f t="shared" si="21"/>
        <v>7.9999999999999716</v>
      </c>
      <c r="V32" s="22">
        <f t="shared" si="20"/>
        <v>100.00000000000004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-99.600000000001273</v>
      </c>
      <c r="AF32" s="21">
        <f t="shared" si="8"/>
        <v>0.95849999999999946</v>
      </c>
      <c r="AG32" s="172"/>
    </row>
    <row r="33" spans="1:33" ht="15.75" customHeight="1">
      <c r="A33" s="193" t="s">
        <v>399</v>
      </c>
      <c r="B33" s="37" t="s">
        <v>100</v>
      </c>
      <c r="C33" s="190" t="s">
        <v>104</v>
      </c>
      <c r="D33" s="190"/>
      <c r="E33" s="37">
        <v>20.52</v>
      </c>
      <c r="F33" s="4">
        <v>4092</v>
      </c>
      <c r="G33" s="4">
        <v>83967.84</v>
      </c>
      <c r="H33" s="22" t="s">
        <v>139</v>
      </c>
      <c r="I33" s="16">
        <v>18</v>
      </c>
      <c r="J33" s="18">
        <v>2400</v>
      </c>
      <c r="K33" s="17">
        <f t="shared" si="0"/>
        <v>133.33333333333334</v>
      </c>
      <c r="L33" s="16">
        <v>18</v>
      </c>
      <c r="M33" s="18">
        <f t="shared" si="19"/>
        <v>2294.5794392523358</v>
      </c>
      <c r="N33" s="17">
        <f t="shared" si="2"/>
        <v>127.47663551401865</v>
      </c>
      <c r="O33" s="19">
        <f t="shared" si="3"/>
        <v>0</v>
      </c>
      <c r="P33" s="20">
        <f t="shared" si="4"/>
        <v>-5.8566978193146895</v>
      </c>
      <c r="Q33" s="21">
        <f t="shared" si="5"/>
        <v>0.95607476635513988</v>
      </c>
      <c r="R33" s="172"/>
      <c r="S33" s="28">
        <v>0.38541666666666663</v>
      </c>
      <c r="T33" s="28">
        <v>0.4597222222222222</v>
      </c>
      <c r="U33" s="4">
        <f t="shared" si="21"/>
        <v>7.9999999999999716</v>
      </c>
      <c r="V33" s="22">
        <f t="shared" si="20"/>
        <v>107.00000000000001</v>
      </c>
      <c r="W33" s="23"/>
      <c r="X33" s="23"/>
      <c r="Y33" s="23"/>
      <c r="Z33" s="23"/>
      <c r="AA33" s="164"/>
      <c r="AB33" s="164"/>
      <c r="AC33" s="25"/>
      <c r="AD33" s="25"/>
      <c r="AE33" s="19">
        <f t="shared" si="7"/>
        <v>-105.42056074766424</v>
      </c>
      <c r="AF33" s="21">
        <f t="shared" si="8"/>
        <v>0.95607476635513988</v>
      </c>
      <c r="AG33" s="172"/>
    </row>
    <row r="34" spans="1:33" ht="15.75" customHeight="1">
      <c r="A34" s="193" t="s">
        <v>399</v>
      </c>
      <c r="B34" s="37" t="s">
        <v>100</v>
      </c>
      <c r="C34" s="190" t="s">
        <v>105</v>
      </c>
      <c r="D34" s="190"/>
      <c r="E34" s="37">
        <v>25.98</v>
      </c>
      <c r="F34" s="4">
        <v>2840</v>
      </c>
      <c r="G34" s="4">
        <v>73783.199999999997</v>
      </c>
      <c r="H34" s="22" t="s">
        <v>139</v>
      </c>
      <c r="I34" s="16">
        <v>21</v>
      </c>
      <c r="J34" s="18">
        <v>2400</v>
      </c>
      <c r="K34" s="17">
        <f t="shared" si="0"/>
        <v>114.28571428571429</v>
      </c>
      <c r="L34" s="16">
        <v>21</v>
      </c>
      <c r="M34" s="18">
        <f t="shared" si="19"/>
        <v>2302.7027027027034</v>
      </c>
      <c r="N34" s="17">
        <f t="shared" si="2"/>
        <v>109.65250965250968</v>
      </c>
      <c r="O34" s="19">
        <f t="shared" si="3"/>
        <v>0</v>
      </c>
      <c r="P34" s="20">
        <f t="shared" si="4"/>
        <v>-4.6332046332046133</v>
      </c>
      <c r="Q34" s="21">
        <f t="shared" si="5"/>
        <v>0.95945945945945965</v>
      </c>
      <c r="R34" s="172"/>
      <c r="S34" s="28">
        <v>0.46458333333333329</v>
      </c>
      <c r="T34" s="28">
        <v>0.51597222222222217</v>
      </c>
      <c r="U34" s="4">
        <f t="shared" si="21"/>
        <v>6.9999999999999751</v>
      </c>
      <c r="V34" s="22">
        <f t="shared" si="20"/>
        <v>73.999999999999972</v>
      </c>
      <c r="W34" s="23">
        <f>T34</f>
        <v>0.51597222222222217</v>
      </c>
      <c r="X34" s="23">
        <f>S35</f>
        <v>0.55486111111111103</v>
      </c>
      <c r="Y34" s="23"/>
      <c r="Z34" s="23"/>
      <c r="AA34" s="164"/>
      <c r="AB34" s="164"/>
      <c r="AC34" s="25"/>
      <c r="AD34" s="25"/>
      <c r="AE34" s="19">
        <f t="shared" si="7"/>
        <v>-97.297297297296609</v>
      </c>
      <c r="AF34" s="21">
        <f t="shared" si="8"/>
        <v>0.95945945945945976</v>
      </c>
      <c r="AG34" s="172"/>
    </row>
    <row r="35" spans="1:33" ht="15.75" customHeight="1">
      <c r="A35" s="193" t="s">
        <v>399</v>
      </c>
      <c r="B35" s="37" t="s">
        <v>100</v>
      </c>
      <c r="C35" s="190" t="s">
        <v>102</v>
      </c>
      <c r="D35" s="190"/>
      <c r="E35" s="37">
        <v>26.2</v>
      </c>
      <c r="F35" s="4">
        <v>1837</v>
      </c>
      <c r="G35" s="4">
        <v>48129.4</v>
      </c>
      <c r="H35" s="22" t="s">
        <v>139</v>
      </c>
      <c r="I35" s="16">
        <v>20</v>
      </c>
      <c r="J35" s="18">
        <v>2400</v>
      </c>
      <c r="K35" s="17">
        <f t="shared" si="0"/>
        <v>120</v>
      </c>
      <c r="L35" s="16">
        <v>20</v>
      </c>
      <c r="M35" s="18">
        <f t="shared" si="19"/>
        <v>2296.2500000000005</v>
      </c>
      <c r="N35" s="17">
        <f t="shared" si="2"/>
        <v>114.81250000000003</v>
      </c>
      <c r="O35" s="19">
        <f t="shared" si="3"/>
        <v>0</v>
      </c>
      <c r="P35" s="20">
        <f t="shared" si="4"/>
        <v>-5.1874999999999716</v>
      </c>
      <c r="Q35" s="21">
        <f t="shared" si="5"/>
        <v>0.95677083333333357</v>
      </c>
      <c r="R35" s="172"/>
      <c r="S35" s="28">
        <v>0.55486111111111103</v>
      </c>
      <c r="T35" s="28">
        <v>0.58819444444444435</v>
      </c>
      <c r="U35" s="4">
        <f t="shared" si="21"/>
        <v>55.999999999999957</v>
      </c>
      <c r="V35" s="22">
        <f t="shared" si="20"/>
        <v>47.999999999999986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7"/>
        <v>-103.74999999999955</v>
      </c>
      <c r="AF35" s="21">
        <f t="shared" si="8"/>
        <v>0.95677083333333357</v>
      </c>
      <c r="AG35" s="172"/>
    </row>
    <row r="36" spans="1:33" ht="15.75" customHeight="1">
      <c r="A36" s="193" t="s">
        <v>61</v>
      </c>
      <c r="B36" s="37" t="s">
        <v>400</v>
      </c>
      <c r="C36" s="177"/>
      <c r="D36" s="177"/>
      <c r="E36" s="38"/>
      <c r="F36" s="4"/>
      <c r="G36" s="4"/>
      <c r="H36" s="4"/>
      <c r="I36" s="30">
        <v>18.5</v>
      </c>
      <c r="J36" s="18">
        <v>2400</v>
      </c>
      <c r="K36" s="17">
        <f t="shared" si="0"/>
        <v>129.72972972972974</v>
      </c>
      <c r="L36" s="30">
        <v>18.5</v>
      </c>
      <c r="M36" s="18">
        <f>AVERAGE(M30:M35)</f>
        <v>2297.5731652116842</v>
      </c>
      <c r="N36" s="17">
        <f t="shared" si="2"/>
        <v>124.19314406549644</v>
      </c>
      <c r="O36" s="19">
        <f t="shared" si="3"/>
        <v>0</v>
      </c>
      <c r="P36" s="20">
        <f t="shared" si="4"/>
        <v>-5.5365856642333</v>
      </c>
      <c r="Q36" s="21">
        <f t="shared" si="5"/>
        <v>0.95732215217153493</v>
      </c>
      <c r="R36" s="172"/>
      <c r="S36" s="28"/>
      <c r="T36" s="28"/>
      <c r="U36" s="4"/>
      <c r="V36" s="22"/>
      <c r="W36" s="4"/>
      <c r="X36" s="4"/>
      <c r="Y36" s="31">
        <f>SUM(Y30:Y35)</f>
        <v>0</v>
      </c>
      <c r="Z36" s="31">
        <f>SUM(Z30:Z35)</f>
        <v>0</v>
      </c>
      <c r="AA36" s="168"/>
      <c r="AB36" s="168"/>
      <c r="AC36" s="31">
        <v>6</v>
      </c>
      <c r="AD36" s="31">
        <f>SUM(AD30:AD35)</f>
        <v>0</v>
      </c>
      <c r="AE36" s="19">
        <f t="shared" si="7"/>
        <v>-102.42683478831577</v>
      </c>
      <c r="AF36" s="21">
        <f t="shared" si="8"/>
        <v>0.95732215217153505</v>
      </c>
      <c r="AG36" s="172"/>
    </row>
    <row r="37" spans="1:33" ht="15.75" customHeight="1">
      <c r="A37" s="191" t="s">
        <v>401</v>
      </c>
      <c r="B37" s="37" t="s">
        <v>100</v>
      </c>
      <c r="C37" s="165" t="s">
        <v>106</v>
      </c>
      <c r="D37" s="165"/>
      <c r="E37" s="37">
        <v>26.2</v>
      </c>
      <c r="F37" s="4">
        <v>6029</v>
      </c>
      <c r="G37" s="4">
        <v>157959.79999999999</v>
      </c>
      <c r="H37" s="22" t="s">
        <v>139</v>
      </c>
      <c r="I37" s="16">
        <v>18</v>
      </c>
      <c r="J37" s="18">
        <v>2400</v>
      </c>
      <c r="K37" s="17">
        <f t="shared" si="0"/>
        <v>133.33333333333334</v>
      </c>
      <c r="L37" s="16">
        <v>18</v>
      </c>
      <c r="M37" s="18">
        <f t="shared" ref="M37:M42" si="22">F37/V37*60</f>
        <v>2289.493670886076</v>
      </c>
      <c r="N37" s="17">
        <f t="shared" si="2"/>
        <v>127.19409282700423</v>
      </c>
      <c r="O37" s="19">
        <f t="shared" si="3"/>
        <v>0</v>
      </c>
      <c r="P37" s="20">
        <f t="shared" si="4"/>
        <v>-6.1392405063291164</v>
      </c>
      <c r="Q37" s="21">
        <f t="shared" si="5"/>
        <v>0.95395569620253162</v>
      </c>
      <c r="R37" s="172">
        <f>Q43</f>
        <v>0.95611294687724846</v>
      </c>
      <c r="S37" s="28">
        <v>8.3333333333333329E-2</v>
      </c>
      <c r="T37" s="28">
        <v>0.19305555555555554</v>
      </c>
      <c r="U37" s="4"/>
      <c r="V37" s="22">
        <f t="shared" ref="V37:V42" si="23">(T37-S37)*24*60</f>
        <v>157.99999999999997</v>
      </c>
      <c r="W37" s="28">
        <f>T37</f>
        <v>0.19305555555555554</v>
      </c>
      <c r="X37" s="28">
        <f>S38</f>
        <v>0.21180555555555555</v>
      </c>
      <c r="Y37" s="28"/>
      <c r="Z37" s="28"/>
      <c r="AA37" s="164"/>
      <c r="AB37" s="164"/>
      <c r="AC37" s="25">
        <v>6</v>
      </c>
      <c r="AD37" s="25"/>
      <c r="AE37" s="19">
        <f t="shared" si="7"/>
        <v>-110.50632911392404</v>
      </c>
      <c r="AF37" s="21">
        <f t="shared" si="8"/>
        <v>0.95395569620253162</v>
      </c>
      <c r="AG37" s="172">
        <f>AF43</f>
        <v>0.95611294687724846</v>
      </c>
    </row>
    <row r="38" spans="1:33" ht="15.75" customHeight="1">
      <c r="A38" s="191" t="s">
        <v>401</v>
      </c>
      <c r="B38" s="37" t="s">
        <v>100</v>
      </c>
      <c r="C38" s="165" t="s">
        <v>107</v>
      </c>
      <c r="D38" s="165"/>
      <c r="E38" s="37">
        <v>26.18</v>
      </c>
      <c r="F38" s="4">
        <v>2216</v>
      </c>
      <c r="G38" s="4">
        <v>58014.879999999997</v>
      </c>
      <c r="H38" s="22" t="s">
        <v>139</v>
      </c>
      <c r="I38" s="16">
        <v>19</v>
      </c>
      <c r="J38" s="18">
        <v>2400</v>
      </c>
      <c r="K38" s="17">
        <f t="shared" si="0"/>
        <v>126.31578947368421</v>
      </c>
      <c r="L38" s="16">
        <v>19</v>
      </c>
      <c r="M38" s="18">
        <f t="shared" si="22"/>
        <v>2292.4137931034484</v>
      </c>
      <c r="N38" s="17">
        <f t="shared" si="2"/>
        <v>120.65335753176043</v>
      </c>
      <c r="O38" s="19">
        <f t="shared" si="3"/>
        <v>0</v>
      </c>
      <c r="P38" s="20">
        <f t="shared" si="4"/>
        <v>-5.6624319419237708</v>
      </c>
      <c r="Q38" s="21">
        <f t="shared" si="5"/>
        <v>0.95517241379310347</v>
      </c>
      <c r="R38" s="172"/>
      <c r="S38" s="28">
        <v>0.21180555555555555</v>
      </c>
      <c r="T38" s="28">
        <v>0.25208333333333333</v>
      </c>
      <c r="U38" s="4">
        <f t="shared" ref="U38:U42" si="24">(S38-T37)*24*60</f>
        <v>27.000000000000025</v>
      </c>
      <c r="V38" s="22">
        <f t="shared" si="23"/>
        <v>57.999999999999993</v>
      </c>
      <c r="W38" s="4"/>
      <c r="X38" s="4"/>
      <c r="Y38" s="4"/>
      <c r="Z38" s="4"/>
      <c r="AA38" s="164"/>
      <c r="AB38" s="164"/>
      <c r="AC38" s="25"/>
      <c r="AD38" s="25"/>
      <c r="AE38" s="19">
        <f t="shared" si="7"/>
        <v>-107.58620689655163</v>
      </c>
      <c r="AF38" s="21">
        <f t="shared" si="8"/>
        <v>0.95517241379310347</v>
      </c>
      <c r="AG38" s="172"/>
    </row>
    <row r="39" spans="1:33">
      <c r="A39" s="192" t="s">
        <v>401</v>
      </c>
      <c r="B39" s="37" t="s">
        <v>100</v>
      </c>
      <c r="C39" s="165" t="s">
        <v>108</v>
      </c>
      <c r="D39" s="165"/>
      <c r="E39" s="37">
        <v>26.39</v>
      </c>
      <c r="F39" s="4">
        <v>5568</v>
      </c>
      <c r="G39" s="4">
        <v>146939.51999999999</v>
      </c>
      <c r="H39" s="22" t="s">
        <v>139</v>
      </c>
      <c r="I39" s="16">
        <v>19</v>
      </c>
      <c r="J39" s="18">
        <v>2400</v>
      </c>
      <c r="K39" s="17">
        <f t="shared" si="0"/>
        <v>126.31578947368421</v>
      </c>
      <c r="L39" s="16">
        <v>19</v>
      </c>
      <c r="M39" s="18">
        <f t="shared" si="22"/>
        <v>2288.2191780821922</v>
      </c>
      <c r="N39" s="17">
        <f t="shared" si="2"/>
        <v>120.43258832011539</v>
      </c>
      <c r="O39" s="19">
        <f t="shared" si="3"/>
        <v>0</v>
      </c>
      <c r="P39" s="20">
        <f t="shared" si="4"/>
        <v>-5.8832011535688196</v>
      </c>
      <c r="Q39" s="21">
        <f t="shared" si="5"/>
        <v>0.95342465753424688</v>
      </c>
      <c r="R39" s="172"/>
      <c r="S39" s="28">
        <v>0.25555555555555554</v>
      </c>
      <c r="T39" s="28">
        <v>0.3569444444444444</v>
      </c>
      <c r="U39" s="4">
        <f t="shared" si="24"/>
        <v>4.9999999999999822</v>
      </c>
      <c r="V39" s="22">
        <f t="shared" si="23"/>
        <v>145.99999999999997</v>
      </c>
      <c r="W39" s="4"/>
      <c r="X39" s="4"/>
      <c r="Y39" s="4"/>
      <c r="Z39" s="4"/>
      <c r="AA39" s="164"/>
      <c r="AB39" s="164"/>
      <c r="AC39" s="25"/>
      <c r="AD39" s="25"/>
      <c r="AE39" s="19">
        <f t="shared" si="7"/>
        <v>-111.78082191780777</v>
      </c>
      <c r="AF39" s="21">
        <f t="shared" si="8"/>
        <v>0.95342465753424677</v>
      </c>
      <c r="AG39" s="172"/>
    </row>
    <row r="40" spans="1:33">
      <c r="A40" s="192" t="s">
        <v>401</v>
      </c>
      <c r="B40" s="37" t="s">
        <v>100</v>
      </c>
      <c r="C40" s="165" t="s">
        <v>109</v>
      </c>
      <c r="D40" s="165"/>
      <c r="E40" s="37">
        <v>24.45</v>
      </c>
      <c r="F40" s="4">
        <v>2414</v>
      </c>
      <c r="G40" s="4">
        <v>59022.299999999996</v>
      </c>
      <c r="H40" s="22" t="s">
        <v>139</v>
      </c>
      <c r="I40" s="16">
        <v>20</v>
      </c>
      <c r="J40" s="18">
        <v>2400</v>
      </c>
      <c r="K40" s="17">
        <f t="shared" si="0"/>
        <v>120</v>
      </c>
      <c r="L40" s="16">
        <v>20</v>
      </c>
      <c r="M40" s="18">
        <f t="shared" si="22"/>
        <v>2299.0476190476184</v>
      </c>
      <c r="N40" s="17">
        <f t="shared" si="2"/>
        <v>114.95238095238092</v>
      </c>
      <c r="O40" s="19">
        <f t="shared" si="3"/>
        <v>0</v>
      </c>
      <c r="P40" s="20">
        <f t="shared" si="4"/>
        <v>-5.0476190476190794</v>
      </c>
      <c r="Q40" s="21">
        <f t="shared" si="5"/>
        <v>0.95793650793650764</v>
      </c>
      <c r="R40" s="172"/>
      <c r="S40" s="28">
        <v>0.36041666666666661</v>
      </c>
      <c r="T40" s="28">
        <v>0.40416666666666662</v>
      </c>
      <c r="U40" s="4">
        <f t="shared" si="24"/>
        <v>4.9999999999999822</v>
      </c>
      <c r="V40" s="22">
        <f t="shared" si="23"/>
        <v>63.000000000000014</v>
      </c>
      <c r="W40" s="23"/>
      <c r="X40" s="23"/>
      <c r="Y40" s="23"/>
      <c r="Z40" s="23"/>
      <c r="AA40" s="164"/>
      <c r="AB40" s="164"/>
      <c r="AC40" s="25"/>
      <c r="AD40" s="25"/>
      <c r="AE40" s="19">
        <f t="shared" si="7"/>
        <v>-100.95238095238165</v>
      </c>
      <c r="AF40" s="21">
        <f t="shared" si="8"/>
        <v>0.95793650793650764</v>
      </c>
      <c r="AG40" s="172"/>
    </row>
    <row r="41" spans="1:33">
      <c r="A41" s="192" t="s">
        <v>401</v>
      </c>
      <c r="B41" s="37" t="s">
        <v>100</v>
      </c>
      <c r="C41" s="165" t="s">
        <v>110</v>
      </c>
      <c r="D41" s="165"/>
      <c r="E41" s="37">
        <v>22.69</v>
      </c>
      <c r="F41" s="4">
        <v>4400</v>
      </c>
      <c r="G41" s="4">
        <v>99836</v>
      </c>
      <c r="H41" s="22">
        <v>2</v>
      </c>
      <c r="I41" s="16">
        <v>16</v>
      </c>
      <c r="J41" s="18">
        <v>2400</v>
      </c>
      <c r="K41" s="17">
        <f t="shared" si="0"/>
        <v>150</v>
      </c>
      <c r="L41" s="16">
        <v>16</v>
      </c>
      <c r="M41" s="18">
        <f t="shared" si="22"/>
        <v>2295.652173913044</v>
      </c>
      <c r="N41" s="17">
        <f t="shared" si="2"/>
        <v>143.47826086956525</v>
      </c>
      <c r="O41" s="19">
        <f t="shared" si="3"/>
        <v>0</v>
      </c>
      <c r="P41" s="20">
        <f t="shared" si="4"/>
        <v>-6.521739130434753</v>
      </c>
      <c r="Q41" s="21">
        <f t="shared" si="5"/>
        <v>0.95652173913043503</v>
      </c>
      <c r="R41" s="172"/>
      <c r="S41" s="28">
        <v>0.40972222222222215</v>
      </c>
      <c r="T41" s="28">
        <v>0.48958333333333326</v>
      </c>
      <c r="U41" s="4">
        <f t="shared" si="24"/>
        <v>7.9999999999999716</v>
      </c>
      <c r="V41" s="22">
        <f t="shared" si="23"/>
        <v>114.99999999999999</v>
      </c>
      <c r="W41" s="23">
        <f>T41</f>
        <v>0.48958333333333326</v>
      </c>
      <c r="X41" s="23">
        <f>S42</f>
        <v>0.53124999999999989</v>
      </c>
      <c r="Y41" s="23"/>
      <c r="Z41" s="23"/>
      <c r="AA41" s="164"/>
      <c r="AB41" s="164"/>
      <c r="AC41" s="25"/>
      <c r="AD41" s="25"/>
      <c r="AE41" s="19">
        <f t="shared" si="7"/>
        <v>-104.34782608695605</v>
      </c>
      <c r="AF41" s="21">
        <f t="shared" si="8"/>
        <v>0.95652173913043503</v>
      </c>
      <c r="AG41" s="172"/>
    </row>
    <row r="42" spans="1:33">
      <c r="A42" s="192" t="s">
        <v>401</v>
      </c>
      <c r="B42" s="37" t="s">
        <v>100</v>
      </c>
      <c r="C42" s="165" t="s">
        <v>110</v>
      </c>
      <c r="D42" s="165"/>
      <c r="E42" s="37">
        <v>22.69</v>
      </c>
      <c r="F42" s="4">
        <v>2879</v>
      </c>
      <c r="G42" s="4">
        <v>65324.51</v>
      </c>
      <c r="H42" s="22" t="s">
        <v>139</v>
      </c>
      <c r="I42" s="16">
        <v>16</v>
      </c>
      <c r="J42" s="18">
        <v>2400</v>
      </c>
      <c r="K42" s="17">
        <f t="shared" si="0"/>
        <v>150</v>
      </c>
      <c r="L42" s="16">
        <v>16</v>
      </c>
      <c r="M42" s="18">
        <f t="shared" si="22"/>
        <v>2303.199999999998</v>
      </c>
      <c r="N42" s="17">
        <f t="shared" si="2"/>
        <v>143.94999999999987</v>
      </c>
      <c r="O42" s="19">
        <f t="shared" si="3"/>
        <v>0</v>
      </c>
      <c r="P42" s="20">
        <f t="shared" si="4"/>
        <v>-6.0500000000001251</v>
      </c>
      <c r="Q42" s="21">
        <f t="shared" si="5"/>
        <v>0.95966666666666578</v>
      </c>
      <c r="R42" s="172"/>
      <c r="S42" s="28">
        <v>0.53124999999999989</v>
      </c>
      <c r="T42" s="28">
        <v>0.58333333333333326</v>
      </c>
      <c r="U42" s="4">
        <f t="shared" si="24"/>
        <v>59.999999999999943</v>
      </c>
      <c r="V42" s="22">
        <f t="shared" si="23"/>
        <v>75.000000000000057</v>
      </c>
      <c r="W42" s="23"/>
      <c r="X42" s="23"/>
      <c r="Y42" s="23"/>
      <c r="Z42" s="23"/>
      <c r="AA42" s="164"/>
      <c r="AB42" s="164"/>
      <c r="AC42" s="25"/>
      <c r="AD42" s="25"/>
      <c r="AE42" s="19">
        <f t="shared" si="7"/>
        <v>-96.800000000002001</v>
      </c>
      <c r="AF42" s="21">
        <f t="shared" si="8"/>
        <v>0.95966666666666578</v>
      </c>
      <c r="AG42" s="172"/>
    </row>
    <row r="43" spans="1:33">
      <c r="A43" s="192" t="s">
        <v>401</v>
      </c>
      <c r="B43" s="17" t="s">
        <v>400</v>
      </c>
      <c r="C43" s="177"/>
      <c r="D43" s="177"/>
      <c r="E43" s="38"/>
      <c r="F43" s="17"/>
      <c r="G43" s="17"/>
      <c r="H43" s="4"/>
      <c r="I43" s="30">
        <v>18</v>
      </c>
      <c r="J43" s="18">
        <v>2400</v>
      </c>
      <c r="K43" s="17">
        <f t="shared" si="0"/>
        <v>133.33333333333334</v>
      </c>
      <c r="L43" s="30">
        <v>18</v>
      </c>
      <c r="M43" s="18">
        <f>AVERAGE(M37:M42)</f>
        <v>2294.6710725053963</v>
      </c>
      <c r="N43" s="17">
        <f t="shared" si="2"/>
        <v>127.4817262502998</v>
      </c>
      <c r="O43" s="19">
        <f t="shared" si="3"/>
        <v>0</v>
      </c>
      <c r="P43" s="20">
        <f t="shared" si="4"/>
        <v>-5.8516070830335423</v>
      </c>
      <c r="Q43" s="21">
        <f t="shared" si="5"/>
        <v>0.95611294687724846</v>
      </c>
      <c r="R43" s="172"/>
      <c r="S43" s="28"/>
      <c r="T43" s="28"/>
      <c r="U43" s="17"/>
      <c r="V43" s="22"/>
      <c r="W43" s="17"/>
      <c r="X43" s="17"/>
      <c r="Y43" s="31">
        <f>SUM(Y37:Y42)</f>
        <v>0</v>
      </c>
      <c r="Z43" s="31">
        <f>SUM(Z37:Z42)</f>
        <v>0</v>
      </c>
      <c r="AA43" s="168"/>
      <c r="AB43" s="168"/>
      <c r="AC43" s="31">
        <v>6</v>
      </c>
      <c r="AD43" s="31">
        <f>SUM(AD37:AD42)</f>
        <v>0</v>
      </c>
      <c r="AE43" s="19">
        <f t="shared" si="7"/>
        <v>-105.3289274946037</v>
      </c>
      <c r="AF43" s="21">
        <f t="shared" si="8"/>
        <v>0.95611294687724846</v>
      </c>
      <c r="AG43" s="172"/>
    </row>
    <row r="44" spans="1:33" ht="15.75" customHeight="1">
      <c r="A44" s="184" t="s">
        <v>402</v>
      </c>
      <c r="B44" s="37" t="s">
        <v>111</v>
      </c>
      <c r="C44" s="173" t="s">
        <v>403</v>
      </c>
      <c r="D44" s="174"/>
      <c r="E44" s="37">
        <v>32.83</v>
      </c>
      <c r="F44" s="4">
        <v>9114</v>
      </c>
      <c r="G44" s="4">
        <v>299212.62</v>
      </c>
      <c r="H44" s="22" t="s">
        <v>139</v>
      </c>
      <c r="I44" s="16">
        <v>10</v>
      </c>
      <c r="J44" s="18">
        <v>3000</v>
      </c>
      <c r="K44" s="17">
        <f t="shared" si="0"/>
        <v>300</v>
      </c>
      <c r="L44" s="16">
        <v>10</v>
      </c>
      <c r="M44" s="18">
        <f t="shared" ref="M44:M53" si="25">F44/V44*60</f>
        <v>2863.0366492146591</v>
      </c>
      <c r="N44" s="18">
        <f t="shared" si="2"/>
        <v>286.3036649214659</v>
      </c>
      <c r="O44" s="19">
        <f t="shared" si="3"/>
        <v>0</v>
      </c>
      <c r="P44" s="20">
        <f t="shared" si="4"/>
        <v>-13.696335078534105</v>
      </c>
      <c r="Q44" s="21">
        <f t="shared" si="5"/>
        <v>0.95434554973821961</v>
      </c>
      <c r="R44" s="187">
        <f>Q54</f>
        <v>0.96220095049459087</v>
      </c>
      <c r="S44" s="28">
        <v>8.3333333333333329E-2</v>
      </c>
      <c r="T44" s="28">
        <v>0.21597222222222223</v>
      </c>
      <c r="U44" s="28"/>
      <c r="V44" s="22">
        <f t="shared" ref="V44:V53" si="26">(T44-S44)*24*60</f>
        <v>191.00000000000003</v>
      </c>
      <c r="W44" s="23">
        <f>T44</f>
        <v>0.21597222222222223</v>
      </c>
      <c r="X44" s="23">
        <f>S45</f>
        <v>0.23402777777777778</v>
      </c>
      <c r="Y44" s="26"/>
      <c r="Z44" s="26"/>
      <c r="AA44" s="175"/>
      <c r="AB44" s="176"/>
      <c r="AC44" s="25">
        <v>10</v>
      </c>
      <c r="AD44" s="25"/>
      <c r="AE44" s="19">
        <f t="shared" si="7"/>
        <v>-136.96335078534094</v>
      </c>
      <c r="AF44" s="21">
        <f t="shared" si="8"/>
        <v>0.95434554973821972</v>
      </c>
      <c r="AG44" s="187">
        <f>AF54</f>
        <v>0.96220095049459087</v>
      </c>
    </row>
    <row r="45" spans="1:33" ht="15.75" customHeight="1">
      <c r="A45" s="185" t="s">
        <v>402</v>
      </c>
      <c r="B45" s="37" t="s">
        <v>111</v>
      </c>
      <c r="C45" s="173" t="s">
        <v>114</v>
      </c>
      <c r="D45" s="174"/>
      <c r="E45" s="37">
        <v>35.119999999999997</v>
      </c>
      <c r="F45" s="4">
        <v>2900</v>
      </c>
      <c r="G45" s="4">
        <v>101847.99999999999</v>
      </c>
      <c r="H45" s="22">
        <v>2</v>
      </c>
      <c r="I45" s="16">
        <v>10</v>
      </c>
      <c r="J45" s="18">
        <v>3000</v>
      </c>
      <c r="K45" s="17">
        <f t="shared" si="0"/>
        <v>300</v>
      </c>
      <c r="L45" s="16">
        <v>10</v>
      </c>
      <c r="M45" s="18">
        <f t="shared" si="25"/>
        <v>2899.9999999999986</v>
      </c>
      <c r="N45" s="18">
        <f t="shared" si="2"/>
        <v>289.99999999999989</v>
      </c>
      <c r="O45" s="19">
        <f t="shared" si="3"/>
        <v>0</v>
      </c>
      <c r="P45" s="20">
        <f t="shared" si="4"/>
        <v>-10.000000000000114</v>
      </c>
      <c r="Q45" s="21">
        <f t="shared" si="5"/>
        <v>0.96666666666666634</v>
      </c>
      <c r="R45" s="188"/>
      <c r="S45" s="28">
        <v>0.23402777777777778</v>
      </c>
      <c r="T45" s="28">
        <v>0.27569444444444446</v>
      </c>
      <c r="U45" s="4">
        <f t="shared" ref="U45:U53" si="27">(S45-T44)*24*60</f>
        <v>25.999999999999986</v>
      </c>
      <c r="V45" s="22">
        <f t="shared" si="26"/>
        <v>60.000000000000028</v>
      </c>
      <c r="W45" s="23"/>
      <c r="X45" s="23"/>
      <c r="Y45" s="26"/>
      <c r="Z45" s="26"/>
      <c r="AA45" s="175"/>
      <c r="AB45" s="176"/>
      <c r="AC45" s="25" t="s">
        <v>139</v>
      </c>
      <c r="AD45" s="25"/>
      <c r="AE45" s="19">
        <f t="shared" si="7"/>
        <v>-100.00000000000136</v>
      </c>
      <c r="AF45" s="21">
        <f t="shared" si="8"/>
        <v>0.96666666666666623</v>
      </c>
      <c r="AG45" s="188"/>
    </row>
    <row r="46" spans="1:33" ht="15.75" customHeight="1">
      <c r="A46" s="185" t="s">
        <v>402</v>
      </c>
      <c r="B46" s="37" t="s">
        <v>111</v>
      </c>
      <c r="C46" s="173" t="s">
        <v>115</v>
      </c>
      <c r="D46" s="174"/>
      <c r="E46" s="37">
        <v>26.78</v>
      </c>
      <c r="F46" s="4">
        <v>2582</v>
      </c>
      <c r="G46" s="4">
        <v>69145.960000000006</v>
      </c>
      <c r="H46" s="22" t="s">
        <v>139</v>
      </c>
      <c r="I46" s="16">
        <v>10</v>
      </c>
      <c r="J46" s="18">
        <v>3000</v>
      </c>
      <c r="K46" s="17">
        <f t="shared" si="0"/>
        <v>300</v>
      </c>
      <c r="L46" s="16">
        <v>10</v>
      </c>
      <c r="M46" s="18">
        <f t="shared" si="25"/>
        <v>2868.8888888888905</v>
      </c>
      <c r="N46" s="18">
        <f t="shared" si="2"/>
        <v>286.88888888888903</v>
      </c>
      <c r="O46" s="19">
        <f t="shared" si="3"/>
        <v>0</v>
      </c>
      <c r="P46" s="20">
        <f t="shared" si="4"/>
        <v>-13.111111111110972</v>
      </c>
      <c r="Q46" s="21">
        <f t="shared" si="5"/>
        <v>0.95629629629629676</v>
      </c>
      <c r="R46" s="188"/>
      <c r="S46" s="28">
        <v>0.27916666666666667</v>
      </c>
      <c r="T46" s="28">
        <v>0.31666666666666665</v>
      </c>
      <c r="U46" s="4">
        <f t="shared" si="27"/>
        <v>4.9999999999999822</v>
      </c>
      <c r="V46" s="22">
        <f t="shared" si="26"/>
        <v>53.999999999999972</v>
      </c>
      <c r="W46" s="23"/>
      <c r="X46" s="23"/>
      <c r="Y46" s="26"/>
      <c r="Z46" s="26"/>
      <c r="AA46" s="175"/>
      <c r="AB46" s="176"/>
      <c r="AC46" s="25" t="s">
        <v>139</v>
      </c>
      <c r="AD46" s="25"/>
      <c r="AE46" s="19">
        <f t="shared" si="7"/>
        <v>-131.11111111110949</v>
      </c>
      <c r="AF46" s="21">
        <f t="shared" si="8"/>
        <v>0.95629629629629687</v>
      </c>
      <c r="AG46" s="188"/>
    </row>
    <row r="47" spans="1:33" ht="15.75" customHeight="1">
      <c r="A47" s="185" t="s">
        <v>402</v>
      </c>
      <c r="B47" s="37" t="s">
        <v>111</v>
      </c>
      <c r="C47" s="173" t="s">
        <v>116</v>
      </c>
      <c r="D47" s="174"/>
      <c r="E47" s="37">
        <v>35.869999999999997</v>
      </c>
      <c r="F47" s="4">
        <v>3438</v>
      </c>
      <c r="G47" s="4">
        <v>123321.06</v>
      </c>
      <c r="H47" s="22" t="s">
        <v>139</v>
      </c>
      <c r="I47" s="16">
        <v>9</v>
      </c>
      <c r="J47" s="18">
        <v>3000</v>
      </c>
      <c r="K47" s="17">
        <f t="shared" si="0"/>
        <v>333.33333333333331</v>
      </c>
      <c r="L47" s="16">
        <v>9</v>
      </c>
      <c r="M47" s="18">
        <f t="shared" si="25"/>
        <v>2865.0000000000005</v>
      </c>
      <c r="N47" s="18">
        <f t="shared" si="2"/>
        <v>318.33333333333337</v>
      </c>
      <c r="O47" s="19">
        <f t="shared" si="3"/>
        <v>0</v>
      </c>
      <c r="P47" s="20">
        <f t="shared" si="4"/>
        <v>-14.999999999999943</v>
      </c>
      <c r="Q47" s="21">
        <f t="shared" si="5"/>
        <v>0.95500000000000018</v>
      </c>
      <c r="R47" s="188"/>
      <c r="S47" s="28">
        <v>0.32152777777777775</v>
      </c>
      <c r="T47" s="28">
        <v>0.37152777777777773</v>
      </c>
      <c r="U47" s="4">
        <f t="shared" si="27"/>
        <v>6.9999999999999751</v>
      </c>
      <c r="V47" s="22">
        <f t="shared" si="26"/>
        <v>71.999999999999986</v>
      </c>
      <c r="W47" s="23"/>
      <c r="X47" s="23"/>
      <c r="Y47" s="26"/>
      <c r="Z47" s="26"/>
      <c r="AA47" s="175"/>
      <c r="AB47" s="176"/>
      <c r="AC47" s="25" t="s">
        <v>139</v>
      </c>
      <c r="AD47" s="25"/>
      <c r="AE47" s="19">
        <f t="shared" si="7"/>
        <v>-134.99999999999955</v>
      </c>
      <c r="AF47" s="21">
        <f t="shared" si="8"/>
        <v>0.95500000000000018</v>
      </c>
      <c r="AG47" s="188"/>
    </row>
    <row r="48" spans="1:33" ht="15.75" customHeight="1">
      <c r="A48" s="185" t="s">
        <v>402</v>
      </c>
      <c r="B48" s="37" t="s">
        <v>111</v>
      </c>
      <c r="C48" s="173" t="s">
        <v>117</v>
      </c>
      <c r="D48" s="174"/>
      <c r="E48" s="37">
        <v>44.03</v>
      </c>
      <c r="F48" s="4">
        <v>1226</v>
      </c>
      <c r="G48" s="4">
        <v>53980.78</v>
      </c>
      <c r="H48" s="22" t="s">
        <v>139</v>
      </c>
      <c r="I48" s="16">
        <v>10</v>
      </c>
      <c r="J48" s="18">
        <v>3000</v>
      </c>
      <c r="K48" s="17">
        <f t="shared" si="0"/>
        <v>300</v>
      </c>
      <c r="L48" s="16">
        <v>10</v>
      </c>
      <c r="M48" s="18">
        <f t="shared" si="25"/>
        <v>2942.400000000001</v>
      </c>
      <c r="N48" s="18">
        <f t="shared" si="2"/>
        <v>294.24000000000012</v>
      </c>
      <c r="O48" s="19">
        <f t="shared" si="3"/>
        <v>0</v>
      </c>
      <c r="P48" s="20">
        <f t="shared" si="4"/>
        <v>-5.7599999999998772</v>
      </c>
      <c r="Q48" s="21">
        <f t="shared" si="5"/>
        <v>0.98080000000000045</v>
      </c>
      <c r="R48" s="188"/>
      <c r="S48" s="28">
        <v>0.37499999999999994</v>
      </c>
      <c r="T48" s="28">
        <v>0.39236111111111105</v>
      </c>
      <c r="U48" s="4">
        <f t="shared" si="27"/>
        <v>4.9999999999999822</v>
      </c>
      <c r="V48" s="22">
        <f t="shared" si="26"/>
        <v>24.999999999999993</v>
      </c>
      <c r="W48" s="23"/>
      <c r="X48" s="23"/>
      <c r="Y48" s="26"/>
      <c r="Z48" s="26"/>
      <c r="AA48" s="175"/>
      <c r="AB48" s="176"/>
      <c r="AC48" s="25" t="s">
        <v>139</v>
      </c>
      <c r="AD48" s="25"/>
      <c r="AE48" s="19">
        <f t="shared" si="7"/>
        <v>-57.599999999999</v>
      </c>
      <c r="AF48" s="21">
        <f t="shared" si="8"/>
        <v>0.98080000000000034</v>
      </c>
      <c r="AG48" s="188"/>
    </row>
    <row r="49" spans="1:33" ht="15.75" customHeight="1">
      <c r="A49" s="185" t="s">
        <v>402</v>
      </c>
      <c r="B49" s="37" t="s">
        <v>111</v>
      </c>
      <c r="C49" s="173" t="s">
        <v>113</v>
      </c>
      <c r="D49" s="174"/>
      <c r="E49" s="37">
        <v>27.17</v>
      </c>
      <c r="F49" s="4">
        <v>3700</v>
      </c>
      <c r="G49" s="4">
        <v>100529</v>
      </c>
      <c r="H49" s="22">
        <v>2</v>
      </c>
      <c r="I49" s="16">
        <v>10</v>
      </c>
      <c r="J49" s="18">
        <v>3000</v>
      </c>
      <c r="K49" s="17">
        <f t="shared" si="0"/>
        <v>300</v>
      </c>
      <c r="L49" s="16">
        <v>10</v>
      </c>
      <c r="M49" s="18">
        <f t="shared" si="25"/>
        <v>2883.1168831168816</v>
      </c>
      <c r="N49" s="18">
        <f t="shared" si="2"/>
        <v>288.31168831168816</v>
      </c>
      <c r="O49" s="19">
        <f t="shared" si="3"/>
        <v>0</v>
      </c>
      <c r="P49" s="20">
        <f t="shared" si="4"/>
        <v>-11.688311688311842</v>
      </c>
      <c r="Q49" s="21">
        <f t="shared" si="5"/>
        <v>0.96103896103896058</v>
      </c>
      <c r="R49" s="188"/>
      <c r="S49" s="28">
        <v>0.39583333333333326</v>
      </c>
      <c r="T49" s="28">
        <v>0.44930555555555551</v>
      </c>
      <c r="U49" s="4">
        <f t="shared" si="27"/>
        <v>4.9999999999999822</v>
      </c>
      <c r="V49" s="22">
        <f t="shared" si="26"/>
        <v>77.000000000000043</v>
      </c>
      <c r="W49" s="23"/>
      <c r="X49" s="23"/>
      <c r="Y49" s="26"/>
      <c r="Z49" s="26"/>
      <c r="AA49" s="175"/>
      <c r="AB49" s="176"/>
      <c r="AC49" s="25" t="s">
        <v>139</v>
      </c>
      <c r="AD49" s="25"/>
      <c r="AE49" s="19">
        <f t="shared" si="7"/>
        <v>-116.88311688311842</v>
      </c>
      <c r="AF49" s="21">
        <f t="shared" si="8"/>
        <v>0.96103896103896058</v>
      </c>
      <c r="AG49" s="188"/>
    </row>
    <row r="50" spans="1:33" ht="15.75" customHeight="1">
      <c r="A50" s="185" t="s">
        <v>402</v>
      </c>
      <c r="B50" s="37" t="s">
        <v>111</v>
      </c>
      <c r="C50" s="173" t="s">
        <v>112</v>
      </c>
      <c r="D50" s="174"/>
      <c r="E50" s="37">
        <v>21.13</v>
      </c>
      <c r="F50" s="4">
        <v>2900</v>
      </c>
      <c r="G50" s="4">
        <v>61277</v>
      </c>
      <c r="H50" s="22">
        <v>2</v>
      </c>
      <c r="I50" s="16">
        <v>10</v>
      </c>
      <c r="J50" s="18">
        <v>3000</v>
      </c>
      <c r="K50" s="17">
        <f t="shared" si="0"/>
        <v>300</v>
      </c>
      <c r="L50" s="16">
        <v>10</v>
      </c>
      <c r="M50" s="18">
        <f t="shared" si="25"/>
        <v>2852.4590163934417</v>
      </c>
      <c r="N50" s="18">
        <f t="shared" si="2"/>
        <v>285.2459016393442</v>
      </c>
      <c r="O50" s="19">
        <f t="shared" si="3"/>
        <v>0</v>
      </c>
      <c r="P50" s="20">
        <f t="shared" si="4"/>
        <v>-14.754098360655803</v>
      </c>
      <c r="Q50" s="21">
        <f t="shared" si="5"/>
        <v>0.95081967213114738</v>
      </c>
      <c r="R50" s="188"/>
      <c r="S50" s="28">
        <v>0.45277777777777772</v>
      </c>
      <c r="T50" s="28">
        <v>0.49513888888888885</v>
      </c>
      <c r="U50" s="4">
        <f t="shared" si="27"/>
        <v>4.9999999999999822</v>
      </c>
      <c r="V50" s="22">
        <f t="shared" si="26"/>
        <v>61.000000000000021</v>
      </c>
      <c r="W50" s="23">
        <f>T50</f>
        <v>0.49513888888888885</v>
      </c>
      <c r="X50" s="23">
        <f>S51</f>
        <v>0.53541666666666654</v>
      </c>
      <c r="Y50" s="26"/>
      <c r="Z50" s="26"/>
      <c r="AA50" s="175"/>
      <c r="AB50" s="176"/>
      <c r="AC50" s="25" t="s">
        <v>139</v>
      </c>
      <c r="AD50" s="25"/>
      <c r="AE50" s="19">
        <f t="shared" si="7"/>
        <v>-147.54098360655826</v>
      </c>
      <c r="AF50" s="21">
        <f t="shared" si="8"/>
        <v>0.95081967213114726</v>
      </c>
      <c r="AG50" s="188"/>
    </row>
    <row r="51" spans="1:33" ht="15.75" customHeight="1">
      <c r="A51" s="185" t="s">
        <v>402</v>
      </c>
      <c r="B51" s="37" t="s">
        <v>111</v>
      </c>
      <c r="C51" s="173" t="s">
        <v>112</v>
      </c>
      <c r="D51" s="174"/>
      <c r="E51" s="37">
        <v>21.13</v>
      </c>
      <c r="F51" s="4">
        <v>2135</v>
      </c>
      <c r="G51" s="4">
        <v>45112.549999999996</v>
      </c>
      <c r="H51" s="22" t="s">
        <v>139</v>
      </c>
      <c r="I51" s="16">
        <v>10</v>
      </c>
      <c r="J51" s="18">
        <v>3000</v>
      </c>
      <c r="K51" s="17">
        <f t="shared" si="0"/>
        <v>300</v>
      </c>
      <c r="L51" s="16">
        <v>10</v>
      </c>
      <c r="M51" s="18">
        <f t="shared" si="25"/>
        <v>2911.3636363636365</v>
      </c>
      <c r="N51" s="18">
        <f t="shared" si="2"/>
        <v>291.13636363636363</v>
      </c>
      <c r="O51" s="19">
        <f t="shared" si="3"/>
        <v>0</v>
      </c>
      <c r="P51" s="20">
        <f t="shared" si="4"/>
        <v>-8.863636363636374</v>
      </c>
      <c r="Q51" s="21">
        <f t="shared" si="5"/>
        <v>0.97045454545454546</v>
      </c>
      <c r="R51" s="188"/>
      <c r="S51" s="28">
        <v>0.53541666666666654</v>
      </c>
      <c r="T51" s="28">
        <v>0.5659722222222221</v>
      </c>
      <c r="U51" s="4">
        <f t="shared" si="27"/>
        <v>57.999999999999872</v>
      </c>
      <c r="V51" s="22">
        <f t="shared" si="26"/>
        <v>44</v>
      </c>
      <c r="W51" s="23"/>
      <c r="X51" s="23"/>
      <c r="Y51" s="26"/>
      <c r="Z51" s="26"/>
      <c r="AA51" s="175"/>
      <c r="AB51" s="176"/>
      <c r="AC51" s="25" t="s">
        <v>139</v>
      </c>
      <c r="AD51" s="25"/>
      <c r="AE51" s="19">
        <f t="shared" si="7"/>
        <v>-88.636363636363512</v>
      </c>
      <c r="AF51" s="21">
        <f t="shared" si="8"/>
        <v>0.97045454545454546</v>
      </c>
      <c r="AG51" s="188"/>
    </row>
    <row r="52" spans="1:33" ht="15.75" customHeight="1">
      <c r="A52" s="185" t="s">
        <v>402</v>
      </c>
      <c r="B52" s="37" t="s">
        <v>111</v>
      </c>
      <c r="C52" s="173" t="s">
        <v>113</v>
      </c>
      <c r="D52" s="174"/>
      <c r="E52" s="37">
        <v>27.17</v>
      </c>
      <c r="F52" s="4">
        <v>2973</v>
      </c>
      <c r="G52" s="4">
        <v>80776.41</v>
      </c>
      <c r="H52" s="22" t="s">
        <v>139</v>
      </c>
      <c r="I52" s="16">
        <v>10</v>
      </c>
      <c r="J52" s="18">
        <v>3000</v>
      </c>
      <c r="K52" s="17">
        <f t="shared" si="0"/>
        <v>300</v>
      </c>
      <c r="L52" s="16">
        <v>10</v>
      </c>
      <c r="M52" s="18">
        <f t="shared" si="25"/>
        <v>2877.096774193551</v>
      </c>
      <c r="N52" s="18">
        <f t="shared" si="2"/>
        <v>287.7096774193551</v>
      </c>
      <c r="O52" s="19">
        <f t="shared" si="3"/>
        <v>0</v>
      </c>
      <c r="P52" s="20">
        <f t="shared" si="4"/>
        <v>-12.290322580644897</v>
      </c>
      <c r="Q52" s="21">
        <f t="shared" si="5"/>
        <v>0.95903225806451697</v>
      </c>
      <c r="R52" s="188"/>
      <c r="S52" s="28">
        <v>0.57083333333333319</v>
      </c>
      <c r="T52" s="28">
        <v>0.61388888888888871</v>
      </c>
      <c r="U52" s="4">
        <f t="shared" si="27"/>
        <v>6.9999999999999751</v>
      </c>
      <c r="V52" s="22">
        <f t="shared" si="26"/>
        <v>61.999999999999943</v>
      </c>
      <c r="W52" s="23"/>
      <c r="X52" s="23"/>
      <c r="Y52" s="26"/>
      <c r="Z52" s="26"/>
      <c r="AA52" s="175"/>
      <c r="AB52" s="176"/>
      <c r="AC52" s="25" t="s">
        <v>139</v>
      </c>
      <c r="AD52" s="25"/>
      <c r="AE52" s="19">
        <f t="shared" si="7"/>
        <v>-122.90322580644897</v>
      </c>
      <c r="AF52" s="21">
        <f t="shared" si="8"/>
        <v>0.95903225806451697</v>
      </c>
      <c r="AG52" s="188"/>
    </row>
    <row r="53" spans="1:33" ht="15.75" customHeight="1">
      <c r="A53" s="185" t="s">
        <v>402</v>
      </c>
      <c r="B53" s="37" t="s">
        <v>111</v>
      </c>
      <c r="C53" s="173" t="s">
        <v>114</v>
      </c>
      <c r="D53" s="174"/>
      <c r="E53" s="37">
        <v>35.119999999999997</v>
      </c>
      <c r="F53" s="4">
        <v>2177</v>
      </c>
      <c r="G53" s="4">
        <v>76456.239999999991</v>
      </c>
      <c r="H53" s="22" t="s">
        <v>139</v>
      </c>
      <c r="I53" s="16">
        <v>10</v>
      </c>
      <c r="J53" s="18">
        <v>3000</v>
      </c>
      <c r="K53" s="17">
        <f t="shared" si="0"/>
        <v>300</v>
      </c>
      <c r="L53" s="16">
        <v>10</v>
      </c>
      <c r="M53" s="18">
        <f t="shared" si="25"/>
        <v>2902.666666666667</v>
      </c>
      <c r="N53" s="18">
        <f t="shared" si="2"/>
        <v>290.26666666666671</v>
      </c>
      <c r="O53" s="19">
        <f t="shared" si="3"/>
        <v>0</v>
      </c>
      <c r="P53" s="20">
        <f t="shared" si="4"/>
        <v>-9.7333333333332916</v>
      </c>
      <c r="Q53" s="21">
        <f t="shared" si="5"/>
        <v>0.96755555555555572</v>
      </c>
      <c r="R53" s="188"/>
      <c r="S53" s="28">
        <v>0.61944444444444424</v>
      </c>
      <c r="T53" s="28">
        <v>0.65069444444444424</v>
      </c>
      <c r="U53" s="4">
        <f t="shared" si="27"/>
        <v>7.9999999999999716</v>
      </c>
      <c r="V53" s="22">
        <f t="shared" si="26"/>
        <v>45</v>
      </c>
      <c r="W53" s="23"/>
      <c r="X53" s="23"/>
      <c r="Y53" s="26"/>
      <c r="Z53" s="26"/>
      <c r="AA53" s="175"/>
      <c r="AB53" s="176"/>
      <c r="AC53" s="25" t="s">
        <v>139</v>
      </c>
      <c r="AD53" s="25"/>
      <c r="AE53" s="19">
        <f t="shared" si="7"/>
        <v>-97.33333333333303</v>
      </c>
      <c r="AF53" s="21">
        <f t="shared" si="8"/>
        <v>0.96755555555555561</v>
      </c>
      <c r="AG53" s="188"/>
    </row>
    <row r="54" spans="1:33" ht="15.75" customHeight="1">
      <c r="A54" s="186" t="s">
        <v>402</v>
      </c>
      <c r="B54" s="37" t="s">
        <v>400</v>
      </c>
      <c r="C54" s="166"/>
      <c r="D54" s="167"/>
      <c r="E54" s="41"/>
      <c r="F54" s="4"/>
      <c r="G54" s="4"/>
      <c r="H54" s="4"/>
      <c r="I54" s="30">
        <v>9.9</v>
      </c>
      <c r="J54" s="18">
        <v>3000</v>
      </c>
      <c r="K54" s="17">
        <f t="shared" si="0"/>
        <v>303.030303030303</v>
      </c>
      <c r="L54" s="30">
        <v>9.9</v>
      </c>
      <c r="M54" s="18">
        <f>AVERAGE(M44:M53)</f>
        <v>2886.6028514837726</v>
      </c>
      <c r="N54" s="17">
        <f t="shared" si="2"/>
        <v>291.57604560442144</v>
      </c>
      <c r="O54" s="19">
        <f t="shared" si="3"/>
        <v>0</v>
      </c>
      <c r="P54" s="20">
        <f t="shared" si="4"/>
        <v>-11.454257425881565</v>
      </c>
      <c r="Q54" s="21">
        <f t="shared" si="5"/>
        <v>0.96220095049459087</v>
      </c>
      <c r="R54" s="189"/>
      <c r="S54" s="28"/>
      <c r="T54" s="28"/>
      <c r="U54" s="4"/>
      <c r="V54" s="22"/>
      <c r="W54" s="23"/>
      <c r="X54" s="23"/>
      <c r="Y54" s="31">
        <f>SUM(Y44:Y53)</f>
        <v>0</v>
      </c>
      <c r="Z54" s="31">
        <f>SUM(Z44:Z53)</f>
        <v>0</v>
      </c>
      <c r="AA54" s="180"/>
      <c r="AB54" s="181"/>
      <c r="AC54" s="31">
        <v>10</v>
      </c>
      <c r="AD54" s="31">
        <f>SUM(AD44:AD53)</f>
        <v>0</v>
      </c>
      <c r="AE54" s="19">
        <f t="shared" si="7"/>
        <v>-113.39714851622739</v>
      </c>
      <c r="AF54" s="21">
        <f t="shared" si="8"/>
        <v>0.96220095049459087</v>
      </c>
      <c r="AG54" s="189"/>
    </row>
    <row r="55" spans="1:33" ht="15.75" customHeight="1">
      <c r="A55" s="182" t="s">
        <v>404</v>
      </c>
      <c r="B55" s="37" t="s">
        <v>84</v>
      </c>
      <c r="C55" s="165" t="s">
        <v>118</v>
      </c>
      <c r="D55" s="165"/>
      <c r="E55" s="37">
        <v>46</v>
      </c>
      <c r="F55" s="42">
        <v>1605</v>
      </c>
      <c r="G55" s="4">
        <v>73830</v>
      </c>
      <c r="H55" s="22" t="s">
        <v>139</v>
      </c>
      <c r="I55" s="16">
        <v>17</v>
      </c>
      <c r="J55" s="18">
        <v>2000</v>
      </c>
      <c r="K55" s="17">
        <f t="shared" si="0"/>
        <v>117.64705882352941</v>
      </c>
      <c r="L55" s="16">
        <v>17</v>
      </c>
      <c r="M55" s="18">
        <f t="shared" ref="M55:M64" si="28">F55/V55*60</f>
        <v>1925.9999999999993</v>
      </c>
      <c r="N55" s="18">
        <f t="shared" si="2"/>
        <v>113.29411764705878</v>
      </c>
      <c r="O55" s="19">
        <f t="shared" si="3"/>
        <v>0</v>
      </c>
      <c r="P55" s="20">
        <f t="shared" si="4"/>
        <v>-4.3529411764706225</v>
      </c>
      <c r="Q55" s="21">
        <f t="shared" si="5"/>
        <v>0.96299999999999975</v>
      </c>
      <c r="R55" s="172">
        <f>Q65</f>
        <v>0.93854199315527254</v>
      </c>
      <c r="S55" s="28">
        <v>0.20833333333333334</v>
      </c>
      <c r="T55" s="28">
        <v>0.24305555555555558</v>
      </c>
      <c r="U55" s="28"/>
      <c r="V55" s="22">
        <f t="shared" ref="V55:V64" si="29">(T55-S55)*24*60</f>
        <v>50.000000000000021</v>
      </c>
      <c r="W55" s="28"/>
      <c r="X55" s="28"/>
      <c r="Y55" s="28"/>
      <c r="Z55" s="28"/>
      <c r="AA55" s="164"/>
      <c r="AB55" s="164"/>
      <c r="AC55" s="25">
        <v>10</v>
      </c>
      <c r="AD55" s="25"/>
      <c r="AE55" s="19">
        <f t="shared" si="7"/>
        <v>-74.000000000000682</v>
      </c>
      <c r="AF55" s="21">
        <f t="shared" si="8"/>
        <v>0.96299999999999963</v>
      </c>
      <c r="AG55" s="172">
        <f>AF65</f>
        <v>0.93854199315527254</v>
      </c>
    </row>
    <row r="56" spans="1:33" ht="15.75" customHeight="1">
      <c r="A56" s="182" t="s">
        <v>404</v>
      </c>
      <c r="B56" s="37" t="s">
        <v>84</v>
      </c>
      <c r="C56" s="165" t="s">
        <v>119</v>
      </c>
      <c r="D56" s="165"/>
      <c r="E56" s="37">
        <v>46</v>
      </c>
      <c r="F56" s="42">
        <v>1706</v>
      </c>
      <c r="G56" s="4">
        <v>78476</v>
      </c>
      <c r="H56" s="22" t="s">
        <v>139</v>
      </c>
      <c r="I56" s="16">
        <v>17</v>
      </c>
      <c r="J56" s="18">
        <v>2000</v>
      </c>
      <c r="K56" s="17">
        <f t="shared" si="0"/>
        <v>117.64705882352941</v>
      </c>
      <c r="L56" s="16">
        <v>17</v>
      </c>
      <c r="M56" s="18">
        <f t="shared" si="28"/>
        <v>1931.3207547169807</v>
      </c>
      <c r="N56" s="18">
        <f t="shared" si="2"/>
        <v>113.60710321864592</v>
      </c>
      <c r="O56" s="19">
        <f t="shared" si="3"/>
        <v>0</v>
      </c>
      <c r="P56" s="20">
        <f t="shared" si="4"/>
        <v>-4.0399556048834881</v>
      </c>
      <c r="Q56" s="21">
        <f t="shared" si="5"/>
        <v>0.96566037735849031</v>
      </c>
      <c r="R56" s="172"/>
      <c r="S56" s="28">
        <v>0.2479166666666667</v>
      </c>
      <c r="T56" s="28">
        <v>0.28472222222222227</v>
      </c>
      <c r="U56" s="4">
        <f t="shared" ref="U56:U64" si="30">IF(S56=TIME(17,0,0),"",(S56-T55)*24*60)</f>
        <v>7.0000000000000151</v>
      </c>
      <c r="V56" s="22">
        <f t="shared" si="29"/>
        <v>53.000000000000014</v>
      </c>
      <c r="W56" s="23"/>
      <c r="X56" s="23"/>
      <c r="Y56" s="23"/>
      <c r="Z56" s="23"/>
      <c r="AA56" s="164"/>
      <c r="AB56" s="164"/>
      <c r="AC56" s="25"/>
      <c r="AD56" s="25"/>
      <c r="AE56" s="19">
        <f t="shared" si="7"/>
        <v>-68.679245283019327</v>
      </c>
      <c r="AF56" s="21">
        <f t="shared" si="8"/>
        <v>0.96566037735849031</v>
      </c>
      <c r="AG56" s="172"/>
    </row>
    <row r="57" spans="1:33" ht="15.75" customHeight="1">
      <c r="A57" s="182" t="s">
        <v>404</v>
      </c>
      <c r="B57" s="37" t="s">
        <v>78</v>
      </c>
      <c r="C57" s="173" t="s">
        <v>120</v>
      </c>
      <c r="D57" s="174"/>
      <c r="E57" s="37">
        <v>56.43</v>
      </c>
      <c r="F57" s="42">
        <v>2017</v>
      </c>
      <c r="G57" s="4">
        <v>113819.31</v>
      </c>
      <c r="H57" s="22" t="s">
        <v>139</v>
      </c>
      <c r="I57" s="16">
        <v>22</v>
      </c>
      <c r="J57" s="18">
        <v>2000</v>
      </c>
      <c r="K57" s="17">
        <f t="shared" si="0"/>
        <v>90.909090909090907</v>
      </c>
      <c r="L57" s="16">
        <v>22</v>
      </c>
      <c r="M57" s="18">
        <f t="shared" si="28"/>
        <v>1753.913043478261</v>
      </c>
      <c r="N57" s="18">
        <f t="shared" si="2"/>
        <v>79.723320158102766</v>
      </c>
      <c r="O57" s="19">
        <f t="shared" si="3"/>
        <v>0</v>
      </c>
      <c r="P57" s="20">
        <f t="shared" si="4"/>
        <v>-11.185770750988141</v>
      </c>
      <c r="Q57" s="21">
        <f t="shared" si="5"/>
        <v>0.87695652173913041</v>
      </c>
      <c r="R57" s="172"/>
      <c r="S57" s="28">
        <v>0.28888888888888892</v>
      </c>
      <c r="T57" s="28">
        <v>0.33680555555555558</v>
      </c>
      <c r="U57" s="4">
        <f t="shared" si="30"/>
        <v>5.9999999999999787</v>
      </c>
      <c r="V57" s="22">
        <f t="shared" si="29"/>
        <v>69</v>
      </c>
      <c r="W57" s="23"/>
      <c r="X57" s="23"/>
      <c r="Y57" s="26"/>
      <c r="Z57" s="26"/>
      <c r="AA57" s="164"/>
      <c r="AB57" s="164"/>
      <c r="AC57" s="25"/>
      <c r="AD57" s="25"/>
      <c r="AE57" s="19">
        <f t="shared" si="7"/>
        <v>-246.08695652173901</v>
      </c>
      <c r="AF57" s="21">
        <f t="shared" si="8"/>
        <v>0.87695652173913052</v>
      </c>
      <c r="AG57" s="172"/>
    </row>
    <row r="58" spans="1:33" ht="15.75" customHeight="1">
      <c r="A58" s="182" t="s">
        <v>404</v>
      </c>
      <c r="B58" s="37" t="s">
        <v>78</v>
      </c>
      <c r="C58" s="43" t="s">
        <v>121</v>
      </c>
      <c r="D58" s="44"/>
      <c r="E58" s="37">
        <v>51.75</v>
      </c>
      <c r="F58" s="42">
        <v>1852</v>
      </c>
      <c r="G58" s="4">
        <v>95841</v>
      </c>
      <c r="H58" s="22" t="s">
        <v>139</v>
      </c>
      <c r="I58" s="16">
        <v>25</v>
      </c>
      <c r="J58" s="18">
        <v>2000</v>
      </c>
      <c r="K58" s="17">
        <f t="shared" si="0"/>
        <v>80</v>
      </c>
      <c r="L58" s="16">
        <v>25</v>
      </c>
      <c r="M58" s="18">
        <f t="shared" si="28"/>
        <v>1736.2499999999995</v>
      </c>
      <c r="N58" s="18">
        <f t="shared" si="2"/>
        <v>69.449999999999989</v>
      </c>
      <c r="O58" s="19">
        <f t="shared" si="3"/>
        <v>0</v>
      </c>
      <c r="P58" s="20">
        <f t="shared" si="4"/>
        <v>-10.550000000000011</v>
      </c>
      <c r="Q58" s="21">
        <f t="shared" si="5"/>
        <v>0.86812499999999981</v>
      </c>
      <c r="R58" s="172"/>
      <c r="S58" s="28">
        <v>0.34097222222222223</v>
      </c>
      <c r="T58" s="28">
        <v>0.38541666666666669</v>
      </c>
      <c r="U58" s="4">
        <f t="shared" si="30"/>
        <v>5.9999999999999787</v>
      </c>
      <c r="V58" s="22">
        <f t="shared" si="29"/>
        <v>64.000000000000014</v>
      </c>
      <c r="W58" s="23"/>
      <c r="X58" s="23"/>
      <c r="Y58" s="26"/>
      <c r="Z58" s="26"/>
      <c r="AA58" s="164"/>
      <c r="AB58" s="164"/>
      <c r="AC58" s="25"/>
      <c r="AD58" s="25"/>
      <c r="AE58" s="19">
        <f t="shared" si="7"/>
        <v>-263.75000000000045</v>
      </c>
      <c r="AF58" s="21">
        <f t="shared" si="8"/>
        <v>0.86812499999999981</v>
      </c>
      <c r="AG58" s="172"/>
    </row>
    <row r="59" spans="1:33" ht="15.75" customHeight="1">
      <c r="A59" s="182" t="s">
        <v>404</v>
      </c>
      <c r="B59" s="37" t="s">
        <v>78</v>
      </c>
      <c r="C59" s="43" t="s">
        <v>122</v>
      </c>
      <c r="D59" s="44"/>
      <c r="E59" s="37">
        <v>54.09</v>
      </c>
      <c r="F59" s="42">
        <v>1651</v>
      </c>
      <c r="G59" s="4">
        <v>89302.590000000011</v>
      </c>
      <c r="H59" s="22" t="s">
        <v>139</v>
      </c>
      <c r="I59" s="16">
        <v>19</v>
      </c>
      <c r="J59" s="18">
        <v>2000</v>
      </c>
      <c r="K59" s="17">
        <f t="shared" si="0"/>
        <v>105.26315789473684</v>
      </c>
      <c r="L59" s="16">
        <v>19</v>
      </c>
      <c r="M59" s="18">
        <f t="shared" si="28"/>
        <v>1834.4444444444455</v>
      </c>
      <c r="N59" s="18">
        <f t="shared" si="2"/>
        <v>96.54970760233924</v>
      </c>
      <c r="O59" s="19">
        <f t="shared" si="3"/>
        <v>0</v>
      </c>
      <c r="P59" s="20">
        <f t="shared" si="4"/>
        <v>-8.7134502923975958</v>
      </c>
      <c r="Q59" s="21">
        <f t="shared" si="5"/>
        <v>0.91722222222222283</v>
      </c>
      <c r="R59" s="172"/>
      <c r="S59" s="28">
        <v>0.39097222222222222</v>
      </c>
      <c r="T59" s="28">
        <v>0.4284722222222222</v>
      </c>
      <c r="U59" s="4">
        <f t="shared" si="30"/>
        <v>7.9999999999999716</v>
      </c>
      <c r="V59" s="22">
        <f t="shared" si="29"/>
        <v>53.999999999999972</v>
      </c>
      <c r="W59" s="23"/>
      <c r="X59" s="23"/>
      <c r="Y59" s="26"/>
      <c r="Z59" s="26"/>
      <c r="AA59" s="164"/>
      <c r="AB59" s="164"/>
      <c r="AC59" s="25"/>
      <c r="AD59" s="25"/>
      <c r="AE59" s="19">
        <f t="shared" si="7"/>
        <v>-165.55555555555452</v>
      </c>
      <c r="AF59" s="21">
        <f t="shared" si="8"/>
        <v>0.91722222222222272</v>
      </c>
      <c r="AG59" s="172"/>
    </row>
    <row r="60" spans="1:33" ht="15.75" customHeight="1">
      <c r="A60" s="182" t="s">
        <v>404</v>
      </c>
      <c r="B60" s="37" t="s">
        <v>78</v>
      </c>
      <c r="C60" s="173" t="s">
        <v>123</v>
      </c>
      <c r="D60" s="174"/>
      <c r="E60" s="37">
        <v>55.56</v>
      </c>
      <c r="F60" s="42">
        <v>2049</v>
      </c>
      <c r="G60" s="4">
        <v>113842.44</v>
      </c>
      <c r="H60" s="22" t="s">
        <v>139</v>
      </c>
      <c r="I60" s="16">
        <v>17</v>
      </c>
      <c r="J60" s="18">
        <v>2000</v>
      </c>
      <c r="K60" s="17">
        <f t="shared" si="0"/>
        <v>117.64705882352941</v>
      </c>
      <c r="L60" s="16">
        <v>17</v>
      </c>
      <c r="M60" s="18">
        <f t="shared" si="28"/>
        <v>1920.937500000002</v>
      </c>
      <c r="N60" s="18">
        <f t="shared" si="2"/>
        <v>112.99632352941188</v>
      </c>
      <c r="O60" s="19">
        <f t="shared" si="3"/>
        <v>0</v>
      </c>
      <c r="P60" s="20">
        <f t="shared" si="4"/>
        <v>-4.6507352941175242</v>
      </c>
      <c r="Q60" s="21">
        <f t="shared" si="5"/>
        <v>0.96046875000000109</v>
      </c>
      <c r="R60" s="172"/>
      <c r="S60" s="28">
        <v>0.70833333333333337</v>
      </c>
      <c r="T60" s="28">
        <v>0.75277777777777777</v>
      </c>
      <c r="U60" s="4" t="str">
        <f t="shared" si="30"/>
        <v/>
      </c>
      <c r="V60" s="22">
        <f t="shared" si="29"/>
        <v>63.999999999999929</v>
      </c>
      <c r="W60" s="23"/>
      <c r="X60" s="23"/>
      <c r="Y60" s="26"/>
      <c r="Z60" s="26"/>
      <c r="AA60" s="175"/>
      <c r="AB60" s="176"/>
      <c r="AC60" s="25"/>
      <c r="AD60" s="25"/>
      <c r="AE60" s="19">
        <f t="shared" si="7"/>
        <v>-79.062499999997954</v>
      </c>
      <c r="AF60" s="21">
        <f t="shared" si="8"/>
        <v>0.96046875000000098</v>
      </c>
      <c r="AG60" s="172"/>
    </row>
    <row r="61" spans="1:33" ht="15.75" customHeight="1">
      <c r="A61" s="182" t="s">
        <v>404</v>
      </c>
      <c r="B61" s="37" t="s">
        <v>78</v>
      </c>
      <c r="C61" s="173" t="s">
        <v>124</v>
      </c>
      <c r="D61" s="174"/>
      <c r="E61" s="37">
        <v>55.32</v>
      </c>
      <c r="F61" s="42">
        <v>1520</v>
      </c>
      <c r="G61" s="4">
        <v>84086.399999999994</v>
      </c>
      <c r="H61" s="22" t="s">
        <v>139</v>
      </c>
      <c r="I61" s="16">
        <v>15</v>
      </c>
      <c r="J61" s="18">
        <v>2000</v>
      </c>
      <c r="K61" s="17">
        <f t="shared" si="0"/>
        <v>133.33333333333334</v>
      </c>
      <c r="L61" s="16">
        <v>15</v>
      </c>
      <c r="M61" s="18">
        <f t="shared" si="28"/>
        <v>1940.4255319148938</v>
      </c>
      <c r="N61" s="18">
        <f t="shared" si="2"/>
        <v>129.36170212765958</v>
      </c>
      <c r="O61" s="19">
        <f t="shared" si="3"/>
        <v>0</v>
      </c>
      <c r="P61" s="20">
        <f t="shared" si="4"/>
        <v>-3.9716312056737593</v>
      </c>
      <c r="Q61" s="21">
        <f t="shared" si="5"/>
        <v>0.97021276595744677</v>
      </c>
      <c r="R61" s="172"/>
      <c r="S61" s="28">
        <v>0.7583333333333333</v>
      </c>
      <c r="T61" s="28">
        <v>0.79097222222222219</v>
      </c>
      <c r="U61" s="4">
        <f t="shared" si="30"/>
        <v>7.9999999999999716</v>
      </c>
      <c r="V61" s="22">
        <f t="shared" si="29"/>
        <v>46.999999999999993</v>
      </c>
      <c r="W61" s="23"/>
      <c r="X61" s="23"/>
      <c r="Y61" s="26"/>
      <c r="Z61" s="26"/>
      <c r="AA61" s="175"/>
      <c r="AB61" s="176"/>
      <c r="AC61" s="25"/>
      <c r="AD61" s="25"/>
      <c r="AE61" s="19">
        <f t="shared" si="7"/>
        <v>-59.574468085106218</v>
      </c>
      <c r="AF61" s="21">
        <f t="shared" si="8"/>
        <v>0.97021276595744688</v>
      </c>
      <c r="AG61" s="172"/>
    </row>
    <row r="62" spans="1:33" ht="15.75" customHeight="1">
      <c r="A62" s="182" t="s">
        <v>404</v>
      </c>
      <c r="B62" s="37" t="s">
        <v>78</v>
      </c>
      <c r="C62" s="173" t="s">
        <v>125</v>
      </c>
      <c r="D62" s="174"/>
      <c r="E62" s="37">
        <v>54.29</v>
      </c>
      <c r="F62" s="42">
        <v>500</v>
      </c>
      <c r="G62" s="4">
        <v>27145</v>
      </c>
      <c r="H62" s="22">
        <v>2</v>
      </c>
      <c r="I62" s="16">
        <v>20</v>
      </c>
      <c r="J62" s="18">
        <v>2000</v>
      </c>
      <c r="K62" s="17">
        <f t="shared" si="0"/>
        <v>100</v>
      </c>
      <c r="L62" s="16">
        <v>20</v>
      </c>
      <c r="M62" s="18">
        <f t="shared" si="28"/>
        <v>1874.9999999999879</v>
      </c>
      <c r="N62" s="18">
        <f t="shared" si="2"/>
        <v>93.749999999999403</v>
      </c>
      <c r="O62" s="19">
        <f t="shared" si="3"/>
        <v>0</v>
      </c>
      <c r="P62" s="20">
        <f t="shared" si="4"/>
        <v>-6.2500000000005969</v>
      </c>
      <c r="Q62" s="21">
        <f t="shared" si="5"/>
        <v>0.937499999999994</v>
      </c>
      <c r="R62" s="172"/>
      <c r="S62" s="28">
        <v>0.79652777777777772</v>
      </c>
      <c r="T62" s="28">
        <v>0.80763888888888891</v>
      </c>
      <c r="U62" s="4">
        <f t="shared" si="30"/>
        <v>7.9999999999999716</v>
      </c>
      <c r="V62" s="22">
        <f t="shared" si="29"/>
        <v>16.000000000000103</v>
      </c>
      <c r="W62" s="23"/>
      <c r="X62" s="23"/>
      <c r="Y62" s="26"/>
      <c r="Z62" s="26"/>
      <c r="AA62" s="175"/>
      <c r="AB62" s="176"/>
      <c r="AC62" s="25"/>
      <c r="AD62" s="25"/>
      <c r="AE62" s="19">
        <f t="shared" si="7"/>
        <v>-125.00000000001205</v>
      </c>
      <c r="AF62" s="21">
        <f t="shared" si="8"/>
        <v>0.937499999999994</v>
      </c>
      <c r="AG62" s="172"/>
    </row>
    <row r="63" spans="1:33">
      <c r="A63" s="182" t="s">
        <v>404</v>
      </c>
      <c r="B63" s="37" t="s">
        <v>78</v>
      </c>
      <c r="C63" s="173" t="s">
        <v>126</v>
      </c>
      <c r="D63" s="174"/>
      <c r="E63" s="37">
        <v>57.73</v>
      </c>
      <c r="F63" s="42">
        <v>1258</v>
      </c>
      <c r="G63" s="4">
        <v>72624.34</v>
      </c>
      <c r="H63" s="22" t="s">
        <v>139</v>
      </c>
      <c r="I63" s="16">
        <v>16</v>
      </c>
      <c r="J63" s="18">
        <v>1500</v>
      </c>
      <c r="K63" s="17">
        <f t="shared" si="0"/>
        <v>93.75</v>
      </c>
      <c r="L63" s="16">
        <v>16</v>
      </c>
      <c r="M63" s="18">
        <f t="shared" si="28"/>
        <v>1451.5384615384623</v>
      </c>
      <c r="N63" s="18">
        <f t="shared" si="2"/>
        <v>90.721153846153896</v>
      </c>
      <c r="O63" s="19">
        <f t="shared" si="3"/>
        <v>0</v>
      </c>
      <c r="P63" s="20">
        <f t="shared" si="4"/>
        <v>-3.0288461538461036</v>
      </c>
      <c r="Q63" s="21">
        <f t="shared" si="5"/>
        <v>0.96769230769230818</v>
      </c>
      <c r="R63" s="172"/>
      <c r="S63" s="28">
        <v>0.81041666666666656</v>
      </c>
      <c r="T63" s="28">
        <v>0.84652777777777766</v>
      </c>
      <c r="U63" s="4">
        <f t="shared" si="30"/>
        <v>3.9999999999998259</v>
      </c>
      <c r="V63" s="22">
        <f t="shared" si="29"/>
        <v>51.999999999999972</v>
      </c>
      <c r="W63" s="23">
        <f>T63</f>
        <v>0.84652777777777766</v>
      </c>
      <c r="X63" s="23">
        <f>S64</f>
        <v>0.88541666666666652</v>
      </c>
      <c r="Y63" s="26"/>
      <c r="Z63" s="26"/>
      <c r="AA63" s="175"/>
      <c r="AB63" s="176"/>
      <c r="AC63" s="25"/>
      <c r="AD63" s="25"/>
      <c r="AE63" s="19">
        <f t="shared" si="7"/>
        <v>-48.461538461537657</v>
      </c>
      <c r="AF63" s="21">
        <f t="shared" si="8"/>
        <v>0.96769230769230818</v>
      </c>
      <c r="AG63" s="172"/>
    </row>
    <row r="64" spans="1:33">
      <c r="A64" s="182" t="s">
        <v>404</v>
      </c>
      <c r="B64" s="37" t="s">
        <v>78</v>
      </c>
      <c r="C64" s="173" t="s">
        <v>125</v>
      </c>
      <c r="D64" s="174"/>
      <c r="E64" s="37">
        <v>54.29</v>
      </c>
      <c r="F64" s="42">
        <v>1481</v>
      </c>
      <c r="G64" s="4">
        <v>80403.490000000005</v>
      </c>
      <c r="H64" s="22" t="s">
        <v>139</v>
      </c>
      <c r="I64" s="16">
        <v>20</v>
      </c>
      <c r="J64" s="18">
        <v>2000</v>
      </c>
      <c r="K64" s="17">
        <f t="shared" si="0"/>
        <v>100</v>
      </c>
      <c r="L64" s="16">
        <v>20</v>
      </c>
      <c r="M64" s="18">
        <f t="shared" si="28"/>
        <v>1931.7391304347827</v>
      </c>
      <c r="N64" s="18">
        <f t="shared" si="2"/>
        <v>96.58695652173914</v>
      </c>
      <c r="O64" s="19">
        <f t="shared" si="3"/>
        <v>0</v>
      </c>
      <c r="P64" s="20">
        <f t="shared" si="4"/>
        <v>-3.4130434782608603</v>
      </c>
      <c r="Q64" s="21">
        <f t="shared" si="5"/>
        <v>0.96586956521739142</v>
      </c>
      <c r="R64" s="172"/>
      <c r="S64" s="28">
        <v>0.88541666666666652</v>
      </c>
      <c r="T64" s="28">
        <v>0.91736111111111096</v>
      </c>
      <c r="U64" s="4">
        <f t="shared" si="30"/>
        <v>55.999999999999957</v>
      </c>
      <c r="V64" s="22">
        <f t="shared" si="29"/>
        <v>46</v>
      </c>
      <c r="W64" s="23"/>
      <c r="X64" s="23"/>
      <c r="Y64" s="26"/>
      <c r="Z64" s="26"/>
      <c r="AA64" s="175"/>
      <c r="AB64" s="176"/>
      <c r="AC64" s="25"/>
      <c r="AD64" s="25"/>
      <c r="AE64" s="19">
        <f t="shared" si="7"/>
        <v>-68.260869565217263</v>
      </c>
      <c r="AF64" s="21">
        <f t="shared" si="8"/>
        <v>0.96586956521739142</v>
      </c>
      <c r="AG64" s="172"/>
    </row>
    <row r="65" spans="1:33">
      <c r="A65" s="183" t="s">
        <v>404</v>
      </c>
      <c r="B65" s="37" t="s">
        <v>400</v>
      </c>
      <c r="C65" s="177"/>
      <c r="D65" s="177"/>
      <c r="E65" s="38"/>
      <c r="F65" s="17"/>
      <c r="G65" s="17"/>
      <c r="H65" s="4"/>
      <c r="I65" s="30">
        <v>18.8</v>
      </c>
      <c r="J65" s="18">
        <v>1950</v>
      </c>
      <c r="K65" s="17">
        <f t="shared" si="0"/>
        <v>103.72340425531914</v>
      </c>
      <c r="L65" s="30">
        <v>18.8</v>
      </c>
      <c r="M65" s="18">
        <f>AVERAGE(M55:M64)</f>
        <v>1830.1568866527814</v>
      </c>
      <c r="N65" s="17">
        <f t="shared" si="2"/>
        <v>97.348770566637299</v>
      </c>
      <c r="O65" s="19">
        <f t="shared" si="3"/>
        <v>0</v>
      </c>
      <c r="P65" s="20">
        <f t="shared" si="4"/>
        <v>-6.3746336886818398</v>
      </c>
      <c r="Q65" s="21">
        <f t="shared" si="5"/>
        <v>0.93854199315527254</v>
      </c>
      <c r="R65" s="172"/>
      <c r="S65" s="28"/>
      <c r="T65" s="28"/>
      <c r="U65" s="4"/>
      <c r="V65" s="22"/>
      <c r="W65" s="17"/>
      <c r="X65" s="17"/>
      <c r="Y65" s="31">
        <f>SUM(Y55:Y64)</f>
        <v>0</v>
      </c>
      <c r="Z65" s="31">
        <f>SUM(Z55:Z64)</f>
        <v>0</v>
      </c>
      <c r="AA65" s="168"/>
      <c r="AB65" s="168"/>
      <c r="AC65" s="31">
        <v>10</v>
      </c>
      <c r="AD65" s="31">
        <f>SUM(AD55:AD64)</f>
        <v>0</v>
      </c>
      <c r="AE65" s="19">
        <f>M65-J65</f>
        <v>-119.8431133472186</v>
      </c>
      <c r="AF65" s="21">
        <f t="shared" si="8"/>
        <v>0.93854199315527254</v>
      </c>
      <c r="AG65" s="172"/>
    </row>
    <row r="66" spans="1:33" ht="15.75" customHeight="1">
      <c r="A66" s="178" t="s">
        <v>405</v>
      </c>
      <c r="B66" s="4" t="s">
        <v>84</v>
      </c>
      <c r="C66" s="165" t="s">
        <v>127</v>
      </c>
      <c r="D66" s="165"/>
      <c r="E66" s="37">
        <v>26.97</v>
      </c>
      <c r="F66" s="42">
        <v>2387</v>
      </c>
      <c r="G66" s="4">
        <v>64377.39</v>
      </c>
      <c r="H66" s="22" t="s">
        <v>139</v>
      </c>
      <c r="I66" s="16">
        <v>8</v>
      </c>
      <c r="J66" s="18">
        <v>1500</v>
      </c>
      <c r="K66" s="17">
        <f t="shared" si="0"/>
        <v>187.5</v>
      </c>
      <c r="L66" s="16">
        <v>8</v>
      </c>
      <c r="M66" s="18">
        <f t="shared" ref="M66:M71" si="31">F66/V66*60</f>
        <v>1432.2</v>
      </c>
      <c r="N66" s="17">
        <f t="shared" si="2"/>
        <v>179.02500000000001</v>
      </c>
      <c r="O66" s="19">
        <f t="shared" si="3"/>
        <v>0</v>
      </c>
      <c r="P66" s="20">
        <f t="shared" si="4"/>
        <v>-8.4749999999999943</v>
      </c>
      <c r="Q66" s="21">
        <f t="shared" si="5"/>
        <v>0.95479999999999998</v>
      </c>
      <c r="R66" s="172">
        <f>Q72</f>
        <v>0.95603972368777834</v>
      </c>
      <c r="S66" s="28">
        <v>0.20833333333333334</v>
      </c>
      <c r="T66" s="28">
        <v>0.27777777777777779</v>
      </c>
      <c r="U66" s="4"/>
      <c r="V66" s="22">
        <f t="shared" ref="V66:V71" si="32">(T66-S66)*24*60</f>
        <v>100</v>
      </c>
      <c r="W66" s="28"/>
      <c r="X66" s="28"/>
      <c r="Y66" s="28"/>
      <c r="Z66" s="28"/>
      <c r="AA66" s="164"/>
      <c r="AB66" s="164"/>
      <c r="AC66" s="25">
        <v>6</v>
      </c>
      <c r="AD66" s="25"/>
      <c r="AE66" s="19">
        <f t="shared" ref="AE66:AE80" si="33">M66-J66</f>
        <v>-67.799999999999955</v>
      </c>
      <c r="AF66" s="21">
        <f t="shared" si="8"/>
        <v>0.95479999999999998</v>
      </c>
      <c r="AG66" s="172">
        <f>AF72</f>
        <v>0.95603972368777834</v>
      </c>
    </row>
    <row r="67" spans="1:33" ht="15.75" customHeight="1">
      <c r="A67" s="178" t="s">
        <v>405</v>
      </c>
      <c r="B67" s="4" t="s">
        <v>84</v>
      </c>
      <c r="C67" s="165" t="s">
        <v>128</v>
      </c>
      <c r="D67" s="165"/>
      <c r="E67" s="37">
        <v>27.4</v>
      </c>
      <c r="F67" s="42">
        <v>1783</v>
      </c>
      <c r="G67" s="4">
        <v>48854.2</v>
      </c>
      <c r="H67" s="22" t="s">
        <v>139</v>
      </c>
      <c r="I67" s="16">
        <v>10</v>
      </c>
      <c r="J67" s="18">
        <v>1500</v>
      </c>
      <c r="K67" s="17">
        <f t="shared" si="0"/>
        <v>150</v>
      </c>
      <c r="L67" s="16">
        <v>10</v>
      </c>
      <c r="M67" s="18">
        <f t="shared" si="31"/>
        <v>1445.6756756756763</v>
      </c>
      <c r="N67" s="17">
        <f t="shared" si="2"/>
        <v>144.56756756756764</v>
      </c>
      <c r="O67" s="19">
        <f t="shared" si="3"/>
        <v>0</v>
      </c>
      <c r="P67" s="20">
        <f t="shared" si="4"/>
        <v>-5.4324324324323641</v>
      </c>
      <c r="Q67" s="21">
        <f t="shared" si="5"/>
        <v>0.96378378378378426</v>
      </c>
      <c r="R67" s="172"/>
      <c r="S67" s="28">
        <v>0.28333333333333333</v>
      </c>
      <c r="T67" s="28">
        <v>0.3347222222222222</v>
      </c>
      <c r="U67" s="4">
        <f t="shared" ref="U67:U71" si="34">(S67-T66)*24*60</f>
        <v>7.9999999999999716</v>
      </c>
      <c r="V67" s="22">
        <f t="shared" si="32"/>
        <v>73.999999999999972</v>
      </c>
      <c r="W67" s="4"/>
      <c r="X67" s="4"/>
      <c r="Y67" s="4"/>
      <c r="Z67" s="4"/>
      <c r="AA67" s="164"/>
      <c r="AB67" s="164"/>
      <c r="AC67" s="25"/>
      <c r="AD67" s="25"/>
      <c r="AE67" s="19">
        <f t="shared" si="33"/>
        <v>-54.324324324323698</v>
      </c>
      <c r="AF67" s="21">
        <f t="shared" si="8"/>
        <v>0.96378378378378415</v>
      </c>
      <c r="AG67" s="172"/>
    </row>
    <row r="68" spans="1:33" ht="15.75" customHeight="1">
      <c r="A68" s="178" t="s">
        <v>405</v>
      </c>
      <c r="B68" s="4" t="s">
        <v>111</v>
      </c>
      <c r="C68" s="165" t="s">
        <v>129</v>
      </c>
      <c r="D68" s="165"/>
      <c r="E68" s="37">
        <v>31</v>
      </c>
      <c r="F68" s="42">
        <v>731</v>
      </c>
      <c r="G68" s="4">
        <v>22661</v>
      </c>
      <c r="H68" s="22" t="s">
        <v>139</v>
      </c>
      <c r="I68" s="16">
        <v>13</v>
      </c>
      <c r="J68" s="18">
        <v>2000</v>
      </c>
      <c r="K68" s="17">
        <f t="shared" si="0"/>
        <v>153.84615384615384</v>
      </c>
      <c r="L68" s="16">
        <v>13</v>
      </c>
      <c r="M68" s="18">
        <f t="shared" si="31"/>
        <v>1906.9565217391305</v>
      </c>
      <c r="N68" s="17">
        <f t="shared" si="2"/>
        <v>146.68896321070235</v>
      </c>
      <c r="O68" s="19">
        <f t="shared" si="3"/>
        <v>0</v>
      </c>
      <c r="P68" s="20">
        <f t="shared" si="4"/>
        <v>-7.1571906354514852</v>
      </c>
      <c r="Q68" s="21">
        <f t="shared" si="5"/>
        <v>0.95347826086956533</v>
      </c>
      <c r="R68" s="172"/>
      <c r="S68" s="28">
        <v>0.34027777777777773</v>
      </c>
      <c r="T68" s="28">
        <v>0.35624999999999996</v>
      </c>
      <c r="U68" s="4">
        <f t="shared" si="34"/>
        <v>7.9999999999999716</v>
      </c>
      <c r="V68" s="22">
        <f t="shared" si="32"/>
        <v>23</v>
      </c>
      <c r="W68" s="4"/>
      <c r="X68" s="4"/>
      <c r="Y68" s="4"/>
      <c r="Z68" s="4"/>
      <c r="AA68" s="164"/>
      <c r="AB68" s="164"/>
      <c r="AC68" s="25" t="s">
        <v>139</v>
      </c>
      <c r="AD68" s="25"/>
      <c r="AE68" s="19">
        <f t="shared" si="33"/>
        <v>-93.043478260869506</v>
      </c>
      <c r="AF68" s="21">
        <f t="shared" si="8"/>
        <v>0.95347826086956522</v>
      </c>
      <c r="AG68" s="172"/>
    </row>
    <row r="69" spans="1:33" ht="15.75" customHeight="1">
      <c r="A69" s="178" t="s">
        <v>405</v>
      </c>
      <c r="B69" s="4" t="s">
        <v>111</v>
      </c>
      <c r="C69" s="165" t="s">
        <v>130</v>
      </c>
      <c r="D69" s="165"/>
      <c r="E69" s="37">
        <v>37.85</v>
      </c>
      <c r="F69" s="42">
        <v>2424</v>
      </c>
      <c r="G69" s="4">
        <v>91748.400000000009</v>
      </c>
      <c r="H69" s="22" t="s">
        <v>139</v>
      </c>
      <c r="I69" s="16">
        <v>12</v>
      </c>
      <c r="J69" s="18">
        <v>2000</v>
      </c>
      <c r="K69" s="17">
        <f t="shared" ref="K69:K80" si="35">J69/I69</f>
        <v>166.66666666666666</v>
      </c>
      <c r="L69" s="16">
        <v>12</v>
      </c>
      <c r="M69" s="18">
        <f t="shared" si="31"/>
        <v>1913.6842105263165</v>
      </c>
      <c r="N69" s="17">
        <f t="shared" ref="N69:N80" si="36">M69/L69</f>
        <v>159.47368421052639</v>
      </c>
      <c r="O69" s="19">
        <f t="shared" ref="O69:O80" si="37">L69-I69</f>
        <v>0</v>
      </c>
      <c r="P69" s="20">
        <f t="shared" ref="P69:P80" si="38">N69-K69</f>
        <v>-7.1929824561402711</v>
      </c>
      <c r="Q69" s="21">
        <f t="shared" ref="Q69:Q80" si="39">N69/K69</f>
        <v>0.95684210526315838</v>
      </c>
      <c r="R69" s="172"/>
      <c r="S69" s="28">
        <v>0.36041666666666661</v>
      </c>
      <c r="T69" s="28">
        <v>0.41319444444444436</v>
      </c>
      <c r="U69" s="4">
        <f t="shared" si="34"/>
        <v>5.9999999999999787</v>
      </c>
      <c r="V69" s="22">
        <f t="shared" si="32"/>
        <v>75.999999999999972</v>
      </c>
      <c r="W69" s="4"/>
      <c r="X69" s="4"/>
      <c r="Y69" s="4"/>
      <c r="Z69" s="4"/>
      <c r="AA69" s="164"/>
      <c r="AB69" s="164"/>
      <c r="AC69" s="25" t="s">
        <v>139</v>
      </c>
      <c r="AD69" s="25"/>
      <c r="AE69" s="19">
        <f t="shared" si="33"/>
        <v>-86.315789473683481</v>
      </c>
      <c r="AF69" s="21">
        <f t="shared" ref="AF69:AF80" si="40">M69/J69</f>
        <v>0.95684210526315827</v>
      </c>
      <c r="AG69" s="172"/>
    </row>
    <row r="70" spans="1:33">
      <c r="A70" s="179" t="s">
        <v>405</v>
      </c>
      <c r="B70" s="4" t="s">
        <v>111</v>
      </c>
      <c r="C70" s="165" t="s">
        <v>131</v>
      </c>
      <c r="D70" s="165"/>
      <c r="E70" s="37">
        <v>34.36</v>
      </c>
      <c r="F70" s="42">
        <v>1714</v>
      </c>
      <c r="G70" s="4">
        <v>58893.04</v>
      </c>
      <c r="H70" s="22" t="s">
        <v>139</v>
      </c>
      <c r="I70" s="16">
        <v>10</v>
      </c>
      <c r="J70" s="18">
        <v>3000</v>
      </c>
      <c r="K70" s="17">
        <f t="shared" si="35"/>
        <v>300</v>
      </c>
      <c r="L70" s="16">
        <v>10</v>
      </c>
      <c r="M70" s="18">
        <f t="shared" si="31"/>
        <v>2856.6666666666642</v>
      </c>
      <c r="N70" s="17">
        <f t="shared" si="36"/>
        <v>285.6666666666664</v>
      </c>
      <c r="O70" s="19">
        <f t="shared" si="37"/>
        <v>0</v>
      </c>
      <c r="P70" s="20">
        <f t="shared" si="38"/>
        <v>-14.333333333333599</v>
      </c>
      <c r="Q70" s="21">
        <f t="shared" si="39"/>
        <v>0.9522222222222213</v>
      </c>
      <c r="R70" s="172"/>
      <c r="S70" s="28">
        <v>0.41805555555555546</v>
      </c>
      <c r="T70" s="28">
        <v>0.44305555555555548</v>
      </c>
      <c r="U70" s="4">
        <f t="shared" si="34"/>
        <v>6.9999999999999751</v>
      </c>
      <c r="V70" s="22">
        <f t="shared" si="32"/>
        <v>36.000000000000028</v>
      </c>
      <c r="W70" s="23"/>
      <c r="X70" s="23"/>
      <c r="Y70" s="23"/>
      <c r="Z70" s="23"/>
      <c r="AA70" s="164"/>
      <c r="AB70" s="164"/>
      <c r="AC70" s="25" t="s">
        <v>139</v>
      </c>
      <c r="AD70" s="25"/>
      <c r="AE70" s="19">
        <f t="shared" si="33"/>
        <v>-143.33333333333576</v>
      </c>
      <c r="AF70" s="21">
        <f t="shared" si="40"/>
        <v>0.95222222222222141</v>
      </c>
      <c r="AG70" s="172"/>
    </row>
    <row r="71" spans="1:33" ht="15" customHeight="1">
      <c r="A71" s="179" t="s">
        <v>405</v>
      </c>
      <c r="B71" s="4" t="s">
        <v>111</v>
      </c>
      <c r="C71" s="173" t="s">
        <v>132</v>
      </c>
      <c r="D71" s="174"/>
      <c r="E71" s="37">
        <v>32.020000000000003</v>
      </c>
      <c r="F71" s="42">
        <v>1724</v>
      </c>
      <c r="G71" s="4">
        <v>55202.48</v>
      </c>
      <c r="H71" s="22" t="s">
        <v>139</v>
      </c>
      <c r="I71" s="16">
        <v>11</v>
      </c>
      <c r="J71" s="18">
        <v>3000</v>
      </c>
      <c r="K71" s="17">
        <f t="shared" si="35"/>
        <v>272.72727272727275</v>
      </c>
      <c r="L71" s="16">
        <v>11</v>
      </c>
      <c r="M71" s="18">
        <f t="shared" si="31"/>
        <v>2873.3333333333312</v>
      </c>
      <c r="N71" s="17">
        <f t="shared" si="36"/>
        <v>261.21212121212102</v>
      </c>
      <c r="O71" s="19">
        <f t="shared" si="37"/>
        <v>0</v>
      </c>
      <c r="P71" s="20">
        <f t="shared" si="38"/>
        <v>-11.515151515151729</v>
      </c>
      <c r="Q71" s="21">
        <f t="shared" si="39"/>
        <v>0.95777777777777695</v>
      </c>
      <c r="R71" s="172"/>
      <c r="S71" s="28">
        <v>0.44722222222222213</v>
      </c>
      <c r="T71" s="28">
        <v>0.47222222222222215</v>
      </c>
      <c r="U71" s="4">
        <f t="shared" si="34"/>
        <v>5.9999999999999787</v>
      </c>
      <c r="V71" s="22">
        <f t="shared" si="32"/>
        <v>36.000000000000028</v>
      </c>
      <c r="W71" s="4"/>
      <c r="X71" s="4"/>
      <c r="Y71" s="32"/>
      <c r="Z71" s="32"/>
      <c r="AA71" s="175"/>
      <c r="AB71" s="176"/>
      <c r="AC71" s="25" t="s">
        <v>139</v>
      </c>
      <c r="AD71" s="25"/>
      <c r="AE71" s="19">
        <f t="shared" si="33"/>
        <v>-126.66666666666879</v>
      </c>
      <c r="AF71" s="21">
        <f t="shared" si="40"/>
        <v>0.95777777777777706</v>
      </c>
      <c r="AG71" s="172"/>
    </row>
    <row r="72" spans="1:33">
      <c r="A72" s="179" t="s">
        <v>405</v>
      </c>
      <c r="B72" s="37" t="s">
        <v>400</v>
      </c>
      <c r="C72" s="177"/>
      <c r="D72" s="177"/>
      <c r="E72" s="38"/>
      <c r="F72" s="17"/>
      <c r="G72" s="17"/>
      <c r="H72" s="4"/>
      <c r="I72" s="30">
        <v>10.666666666666666</v>
      </c>
      <c r="J72" s="18">
        <v>2166.6666666666665</v>
      </c>
      <c r="K72" s="17">
        <f t="shared" si="35"/>
        <v>203.125</v>
      </c>
      <c r="L72" s="30">
        <v>10.666666666666666</v>
      </c>
      <c r="M72" s="18">
        <f>AVERAGE(M66:M71)</f>
        <v>2071.4194013235197</v>
      </c>
      <c r="N72" s="17">
        <f t="shared" si="36"/>
        <v>194.19556887407998</v>
      </c>
      <c r="O72" s="19">
        <f t="shared" si="37"/>
        <v>0</v>
      </c>
      <c r="P72" s="20">
        <f t="shared" si="38"/>
        <v>-8.9294311259200185</v>
      </c>
      <c r="Q72" s="21">
        <f t="shared" si="39"/>
        <v>0.95603972368777834</v>
      </c>
      <c r="R72" s="172"/>
      <c r="S72" s="28"/>
      <c r="T72" s="28"/>
      <c r="U72" s="17"/>
      <c r="V72" s="22"/>
      <c r="W72" s="17"/>
      <c r="X72" s="17"/>
      <c r="Y72" s="31">
        <f>SUM(Y66:Y71)</f>
        <v>0</v>
      </c>
      <c r="Z72" s="31">
        <f>SUM(Z66:Z71)</f>
        <v>0</v>
      </c>
      <c r="AA72" s="168"/>
      <c r="AB72" s="168"/>
      <c r="AC72" s="31">
        <v>6</v>
      </c>
      <c r="AD72" s="31">
        <f>SUM(AD66:AD71)</f>
        <v>0</v>
      </c>
      <c r="AE72" s="19">
        <f t="shared" si="33"/>
        <v>-95.247265343146864</v>
      </c>
      <c r="AF72" s="21">
        <f t="shared" si="40"/>
        <v>0.95603972368777834</v>
      </c>
      <c r="AG72" s="172"/>
    </row>
    <row r="73" spans="1:33" ht="15.75" customHeight="1">
      <c r="A73" s="169" t="s">
        <v>406</v>
      </c>
      <c r="B73" s="4" t="s">
        <v>100</v>
      </c>
      <c r="C73" s="165" t="s">
        <v>133</v>
      </c>
      <c r="D73" s="165"/>
      <c r="E73" s="37">
        <v>20.2</v>
      </c>
      <c r="F73" s="4">
        <v>2129</v>
      </c>
      <c r="G73" s="4">
        <v>43005.799999999996</v>
      </c>
      <c r="H73" s="22" t="s">
        <v>139</v>
      </c>
      <c r="I73" s="16">
        <v>19</v>
      </c>
      <c r="J73" s="18">
        <v>2400</v>
      </c>
      <c r="K73" s="17">
        <f t="shared" si="35"/>
        <v>126.31578947368421</v>
      </c>
      <c r="L73" s="16">
        <v>19</v>
      </c>
      <c r="M73" s="18">
        <f t="shared" ref="M73:M79" si="41">F73/V73*60</f>
        <v>2281.0714285714289</v>
      </c>
      <c r="N73" s="17">
        <f t="shared" si="36"/>
        <v>120.05639097744363</v>
      </c>
      <c r="O73" s="19">
        <f t="shared" si="37"/>
        <v>0</v>
      </c>
      <c r="P73" s="20">
        <f t="shared" si="38"/>
        <v>-6.2593984962405784</v>
      </c>
      <c r="Q73" s="21">
        <f t="shared" si="39"/>
        <v>0.9504464285714288</v>
      </c>
      <c r="R73" s="172">
        <f>Q80</f>
        <v>0.95450484767890709</v>
      </c>
      <c r="S73" s="28">
        <v>8.3333333333333329E-2</v>
      </c>
      <c r="T73" s="28">
        <v>0.12222222222222222</v>
      </c>
      <c r="U73" s="28"/>
      <c r="V73" s="22">
        <f t="shared" ref="V73:V79" si="42">(T73-S73)*24*60</f>
        <v>56</v>
      </c>
      <c r="W73" s="23">
        <f>T73</f>
        <v>0.12222222222222222</v>
      </c>
      <c r="X73" s="23">
        <f>S74</f>
        <v>0.14027777777777778</v>
      </c>
      <c r="Y73" s="23"/>
      <c r="Z73" s="23"/>
      <c r="AA73" s="164"/>
      <c r="AB73" s="164"/>
      <c r="AC73" s="25">
        <v>7</v>
      </c>
      <c r="AD73" s="25"/>
      <c r="AE73" s="19">
        <f t="shared" si="33"/>
        <v>-118.9285714285711</v>
      </c>
      <c r="AF73" s="21">
        <f t="shared" si="40"/>
        <v>0.95044642857142869</v>
      </c>
      <c r="AG73" s="172">
        <f>AF80</f>
        <v>0.95450484767890709</v>
      </c>
    </row>
    <row r="74" spans="1:33" ht="15.75" customHeight="1">
      <c r="A74" s="170" t="s">
        <v>406</v>
      </c>
      <c r="B74" s="4" t="s">
        <v>100</v>
      </c>
      <c r="C74" s="165" t="s">
        <v>134</v>
      </c>
      <c r="D74" s="165"/>
      <c r="E74" s="37">
        <v>20.52</v>
      </c>
      <c r="F74" s="4">
        <v>2897</v>
      </c>
      <c r="G74" s="4">
        <v>59446.44</v>
      </c>
      <c r="H74" s="22" t="s">
        <v>139</v>
      </c>
      <c r="I74" s="16">
        <v>18</v>
      </c>
      <c r="J74" s="18">
        <v>2400</v>
      </c>
      <c r="K74" s="17">
        <f t="shared" si="35"/>
        <v>133.33333333333334</v>
      </c>
      <c r="L74" s="16">
        <v>18</v>
      </c>
      <c r="M74" s="18">
        <f t="shared" si="41"/>
        <v>2287.1052631578946</v>
      </c>
      <c r="N74" s="17">
        <f t="shared" si="36"/>
        <v>127.06140350877192</v>
      </c>
      <c r="O74" s="19">
        <f t="shared" si="37"/>
        <v>0</v>
      </c>
      <c r="P74" s="20">
        <f t="shared" si="38"/>
        <v>-6.2719298245614254</v>
      </c>
      <c r="Q74" s="21">
        <f t="shared" si="39"/>
        <v>0.95296052631578931</v>
      </c>
      <c r="R74" s="172"/>
      <c r="S74" s="28">
        <v>0.14027777777777778</v>
      </c>
      <c r="T74" s="28">
        <v>0.19305555555555556</v>
      </c>
      <c r="U74" s="4">
        <f t="shared" ref="U74:U79" si="43">(S74-T73)*24*60</f>
        <v>26.000000000000007</v>
      </c>
      <c r="V74" s="22">
        <f t="shared" si="42"/>
        <v>76.000000000000014</v>
      </c>
      <c r="W74" s="23"/>
      <c r="X74" s="23"/>
      <c r="Y74" s="23"/>
      <c r="Z74" s="23"/>
      <c r="AA74" s="164"/>
      <c r="AB74" s="164"/>
      <c r="AC74" s="25"/>
      <c r="AD74" s="25"/>
      <c r="AE74" s="19">
        <f t="shared" si="33"/>
        <v>-112.89473684210543</v>
      </c>
      <c r="AF74" s="21">
        <f t="shared" si="40"/>
        <v>0.95296052631578942</v>
      </c>
      <c r="AG74" s="172"/>
    </row>
    <row r="75" spans="1:33" ht="15.75" customHeight="1">
      <c r="A75" s="170" t="s">
        <v>406</v>
      </c>
      <c r="B75" s="4" t="s">
        <v>100</v>
      </c>
      <c r="C75" s="165" t="s">
        <v>135</v>
      </c>
      <c r="D75" s="165"/>
      <c r="E75" s="37">
        <v>19.02</v>
      </c>
      <c r="F75" s="4">
        <v>4800</v>
      </c>
      <c r="G75" s="4">
        <v>91296</v>
      </c>
      <c r="H75" s="22">
        <v>2</v>
      </c>
      <c r="I75" s="16">
        <v>15</v>
      </c>
      <c r="J75" s="18">
        <v>2400</v>
      </c>
      <c r="K75" s="17">
        <f t="shared" si="35"/>
        <v>160</v>
      </c>
      <c r="L75" s="16">
        <v>15</v>
      </c>
      <c r="M75" s="18">
        <f t="shared" si="41"/>
        <v>2285.7142857142853</v>
      </c>
      <c r="N75" s="17">
        <f t="shared" si="36"/>
        <v>152.38095238095235</v>
      </c>
      <c r="O75" s="19">
        <f t="shared" si="37"/>
        <v>0</v>
      </c>
      <c r="P75" s="20">
        <f t="shared" si="38"/>
        <v>-7.6190476190476488</v>
      </c>
      <c r="Q75" s="21">
        <f t="shared" si="39"/>
        <v>0.95238095238095222</v>
      </c>
      <c r="R75" s="172"/>
      <c r="S75" s="28">
        <v>0.19791666666666669</v>
      </c>
      <c r="T75" s="28">
        <v>0.28541666666666671</v>
      </c>
      <c r="U75" s="4">
        <f t="shared" si="43"/>
        <v>7.0000000000000151</v>
      </c>
      <c r="V75" s="22">
        <f t="shared" si="42"/>
        <v>126.00000000000003</v>
      </c>
      <c r="W75" s="23"/>
      <c r="X75" s="23"/>
      <c r="Y75" s="23"/>
      <c r="Z75" s="23"/>
      <c r="AA75" s="164"/>
      <c r="AB75" s="164"/>
      <c r="AC75" s="25"/>
      <c r="AD75" s="25"/>
      <c r="AE75" s="19">
        <f t="shared" si="33"/>
        <v>-114.28571428571468</v>
      </c>
      <c r="AF75" s="21">
        <f t="shared" si="40"/>
        <v>0.95238095238095222</v>
      </c>
      <c r="AG75" s="172"/>
    </row>
    <row r="76" spans="1:33" ht="15.75" customHeight="1">
      <c r="A76" s="170" t="s">
        <v>406</v>
      </c>
      <c r="B76" s="4" t="s">
        <v>100</v>
      </c>
      <c r="C76" s="165" t="s">
        <v>136</v>
      </c>
      <c r="D76" s="165"/>
      <c r="E76" s="37">
        <v>24.43</v>
      </c>
      <c r="F76" s="4">
        <v>5840</v>
      </c>
      <c r="G76" s="4">
        <v>142671.20000000001</v>
      </c>
      <c r="H76" s="22" t="s">
        <v>139</v>
      </c>
      <c r="I76" s="16">
        <v>14</v>
      </c>
      <c r="J76" s="18">
        <v>2400</v>
      </c>
      <c r="K76" s="17">
        <f t="shared" si="35"/>
        <v>171.42857142857142</v>
      </c>
      <c r="L76" s="16">
        <v>14</v>
      </c>
      <c r="M76" s="18">
        <f t="shared" si="41"/>
        <v>2290.1960784313719</v>
      </c>
      <c r="N76" s="17">
        <f t="shared" si="36"/>
        <v>163.58543417366943</v>
      </c>
      <c r="O76" s="19">
        <f t="shared" si="37"/>
        <v>0</v>
      </c>
      <c r="P76" s="20">
        <f t="shared" si="38"/>
        <v>-7.8431372549019898</v>
      </c>
      <c r="Q76" s="21">
        <f t="shared" si="39"/>
        <v>0.95424836601307172</v>
      </c>
      <c r="R76" s="172"/>
      <c r="S76" s="28">
        <v>0.29097222222222224</v>
      </c>
      <c r="T76" s="28">
        <v>0.39722222222222225</v>
      </c>
      <c r="U76" s="4">
        <f t="shared" si="43"/>
        <v>7.9999999999999716</v>
      </c>
      <c r="V76" s="22">
        <f t="shared" si="42"/>
        <v>153.00000000000003</v>
      </c>
      <c r="W76" s="23"/>
      <c r="X76" s="23"/>
      <c r="Y76" s="23"/>
      <c r="Z76" s="23"/>
      <c r="AA76" s="164"/>
      <c r="AB76" s="164"/>
      <c r="AC76" s="25"/>
      <c r="AD76" s="25"/>
      <c r="AE76" s="19">
        <f t="shared" si="33"/>
        <v>-109.80392156862808</v>
      </c>
      <c r="AF76" s="21">
        <f t="shared" si="40"/>
        <v>0.95424836601307161</v>
      </c>
      <c r="AG76" s="172"/>
    </row>
    <row r="77" spans="1:33" ht="15.75" customHeight="1">
      <c r="A77" s="170" t="s">
        <v>406</v>
      </c>
      <c r="B77" s="4" t="s">
        <v>100</v>
      </c>
      <c r="C77" s="165" t="s">
        <v>137</v>
      </c>
      <c r="D77" s="165"/>
      <c r="E77" s="37">
        <v>20.21</v>
      </c>
      <c r="F77" s="4">
        <v>3175</v>
      </c>
      <c r="G77" s="4">
        <v>64166.75</v>
      </c>
      <c r="H77" s="22" t="s">
        <v>139</v>
      </c>
      <c r="I77" s="16">
        <v>16</v>
      </c>
      <c r="J77" s="18">
        <v>2400</v>
      </c>
      <c r="K77" s="17">
        <f t="shared" si="35"/>
        <v>150</v>
      </c>
      <c r="L77" s="16">
        <v>16</v>
      </c>
      <c r="M77" s="18">
        <f t="shared" si="41"/>
        <v>2295.1807228915654</v>
      </c>
      <c r="N77" s="17">
        <f t="shared" si="36"/>
        <v>143.44879518072284</v>
      </c>
      <c r="O77" s="19">
        <f t="shared" si="37"/>
        <v>0</v>
      </c>
      <c r="P77" s="20">
        <f t="shared" si="38"/>
        <v>-6.5512048192771601</v>
      </c>
      <c r="Q77" s="21">
        <f t="shared" si="39"/>
        <v>0.95632530120481896</v>
      </c>
      <c r="R77" s="172"/>
      <c r="S77" s="28">
        <v>0.40138888888888891</v>
      </c>
      <c r="T77" s="28">
        <v>0.45902777777777781</v>
      </c>
      <c r="U77" s="4">
        <f t="shared" si="43"/>
        <v>5.9999999999999787</v>
      </c>
      <c r="V77" s="22">
        <f t="shared" si="42"/>
        <v>83.000000000000028</v>
      </c>
      <c r="W77" s="23"/>
      <c r="X77" s="23"/>
      <c r="Y77" s="23"/>
      <c r="Z77" s="23"/>
      <c r="AA77" s="164"/>
      <c r="AB77" s="164"/>
      <c r="AC77" s="25"/>
      <c r="AD77" s="25"/>
      <c r="AE77" s="19">
        <f t="shared" si="33"/>
        <v>-104.81927710843456</v>
      </c>
      <c r="AF77" s="21">
        <f t="shared" si="40"/>
        <v>0.95632530120481896</v>
      </c>
      <c r="AG77" s="172"/>
    </row>
    <row r="78" spans="1:33" ht="15.75" customHeight="1">
      <c r="A78" s="170" t="s">
        <v>406</v>
      </c>
      <c r="B78" s="4" t="s">
        <v>100</v>
      </c>
      <c r="C78" s="165" t="s">
        <v>138</v>
      </c>
      <c r="D78" s="165"/>
      <c r="E78" s="37">
        <v>22.69</v>
      </c>
      <c r="F78" s="4">
        <v>1188</v>
      </c>
      <c r="G78" s="4">
        <v>26955.72</v>
      </c>
      <c r="H78" s="22" t="s">
        <v>139</v>
      </c>
      <c r="I78" s="16">
        <v>15</v>
      </c>
      <c r="J78" s="18">
        <v>2400</v>
      </c>
      <c r="K78" s="17">
        <f t="shared" si="35"/>
        <v>160</v>
      </c>
      <c r="L78" s="16">
        <v>15</v>
      </c>
      <c r="M78" s="18">
        <f t="shared" si="41"/>
        <v>2299.3548387096794</v>
      </c>
      <c r="N78" s="17">
        <f t="shared" si="36"/>
        <v>153.2903225806453</v>
      </c>
      <c r="O78" s="19">
        <f t="shared" si="37"/>
        <v>0</v>
      </c>
      <c r="P78" s="20">
        <f t="shared" si="38"/>
        <v>-6.7096774193547049</v>
      </c>
      <c r="Q78" s="21">
        <f t="shared" si="39"/>
        <v>0.95806451612903309</v>
      </c>
      <c r="R78" s="172"/>
      <c r="S78" s="28">
        <v>0.46250000000000002</v>
      </c>
      <c r="T78" s="28">
        <v>0.48402777777777778</v>
      </c>
      <c r="U78" s="4">
        <f t="shared" si="43"/>
        <v>4.9999999999999822</v>
      </c>
      <c r="V78" s="22">
        <f t="shared" si="42"/>
        <v>30.999999999999972</v>
      </c>
      <c r="W78" s="23">
        <f>T78</f>
        <v>0.48402777777777778</v>
      </c>
      <c r="X78" s="23">
        <f>S79</f>
        <v>0.52569444444444446</v>
      </c>
      <c r="Y78" s="23"/>
      <c r="Z78" s="23"/>
      <c r="AA78" s="164"/>
      <c r="AB78" s="164"/>
      <c r="AC78" s="25"/>
      <c r="AD78" s="25"/>
      <c r="AE78" s="19">
        <f t="shared" si="33"/>
        <v>-100.64516129032063</v>
      </c>
      <c r="AF78" s="21">
        <f t="shared" si="40"/>
        <v>0.95806451612903309</v>
      </c>
      <c r="AG78" s="172"/>
    </row>
    <row r="79" spans="1:33" ht="15.75" customHeight="1">
      <c r="A79" s="170" t="s">
        <v>406</v>
      </c>
      <c r="B79" s="4" t="s">
        <v>100</v>
      </c>
      <c r="C79" s="165" t="s">
        <v>135</v>
      </c>
      <c r="D79" s="165"/>
      <c r="E79" s="37">
        <v>19.02</v>
      </c>
      <c r="F79" s="4">
        <v>3905</v>
      </c>
      <c r="G79" s="4">
        <v>74273.099999999991</v>
      </c>
      <c r="H79" s="22" t="s">
        <v>139</v>
      </c>
      <c r="I79" s="16">
        <v>15</v>
      </c>
      <c r="J79" s="18">
        <v>2400</v>
      </c>
      <c r="K79" s="17">
        <f t="shared" si="35"/>
        <v>160</v>
      </c>
      <c r="L79" s="16">
        <v>15</v>
      </c>
      <c r="M79" s="18">
        <f t="shared" si="41"/>
        <v>2297.0588235294131</v>
      </c>
      <c r="N79" s="17">
        <f t="shared" si="36"/>
        <v>153.13725490196086</v>
      </c>
      <c r="O79" s="19">
        <f t="shared" si="37"/>
        <v>0</v>
      </c>
      <c r="P79" s="20">
        <f t="shared" si="38"/>
        <v>-6.8627450980391416</v>
      </c>
      <c r="Q79" s="21">
        <f t="shared" si="39"/>
        <v>0.95710784313725539</v>
      </c>
      <c r="R79" s="172"/>
      <c r="S79" s="28">
        <v>0.52569444444444446</v>
      </c>
      <c r="T79" s="28">
        <v>0.59652777777777777</v>
      </c>
      <c r="U79" s="4">
        <f t="shared" si="43"/>
        <v>60.000000000000028</v>
      </c>
      <c r="V79" s="22">
        <f t="shared" si="42"/>
        <v>101.99999999999996</v>
      </c>
      <c r="W79" s="23"/>
      <c r="X79" s="23"/>
      <c r="Y79" s="26"/>
      <c r="Z79" s="26"/>
      <c r="AA79" s="175"/>
      <c r="AB79" s="176"/>
      <c r="AC79" s="25"/>
      <c r="AD79" s="25"/>
      <c r="AE79" s="19">
        <f t="shared" si="33"/>
        <v>-102.94117647058692</v>
      </c>
      <c r="AF79" s="21">
        <f t="shared" si="40"/>
        <v>0.9571078431372555</v>
      </c>
      <c r="AG79" s="172"/>
    </row>
    <row r="80" spans="1:33" ht="16.5" customHeight="1">
      <c r="A80" s="171" t="s">
        <v>406</v>
      </c>
      <c r="B80" s="37" t="s">
        <v>407</v>
      </c>
      <c r="C80" s="166"/>
      <c r="D80" s="167"/>
      <c r="E80" s="38"/>
      <c r="F80" s="17"/>
      <c r="G80" s="17"/>
      <c r="H80" s="4"/>
      <c r="I80" s="30">
        <v>16</v>
      </c>
      <c r="J80" s="18">
        <v>2400</v>
      </c>
      <c r="K80" s="17">
        <f t="shared" si="35"/>
        <v>150</v>
      </c>
      <c r="L80" s="30">
        <v>16</v>
      </c>
      <c r="M80" s="18">
        <f>AVERAGE(M73:M79)</f>
        <v>2290.8116344293771</v>
      </c>
      <c r="N80" s="17">
        <f t="shared" si="36"/>
        <v>143.17572715183607</v>
      </c>
      <c r="O80" s="19">
        <f t="shared" si="37"/>
        <v>0</v>
      </c>
      <c r="P80" s="20">
        <f t="shared" si="38"/>
        <v>-6.824272848163929</v>
      </c>
      <c r="Q80" s="21">
        <f t="shared" si="39"/>
        <v>0.95450484767890709</v>
      </c>
      <c r="R80" s="172"/>
      <c r="S80" s="28"/>
      <c r="T80" s="28"/>
      <c r="U80" s="17"/>
      <c r="V80" s="22"/>
      <c r="W80" s="17"/>
      <c r="X80" s="17"/>
      <c r="Y80" s="31">
        <f>SUM(Y73:Y79)</f>
        <v>0</v>
      </c>
      <c r="Z80" s="31">
        <f>SUM(Z73:Z79)</f>
        <v>0</v>
      </c>
      <c r="AA80" s="168"/>
      <c r="AB80" s="168"/>
      <c r="AC80" s="31">
        <v>7</v>
      </c>
      <c r="AD80" s="31">
        <f>SUM(AD73:AD79)</f>
        <v>0</v>
      </c>
      <c r="AE80" s="19">
        <f t="shared" si="33"/>
        <v>-109.18836557062286</v>
      </c>
      <c r="AF80" s="21">
        <f t="shared" si="40"/>
        <v>0.95450484767890709</v>
      </c>
      <c r="AG80" s="172"/>
    </row>
    <row r="81" spans="4:5">
      <c r="D81" s="33"/>
      <c r="E81" s="33"/>
    </row>
  </sheetData>
  <mergeCells count="212">
    <mergeCell ref="AG73:AG80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73:A80"/>
    <mergeCell ref="C73:D73"/>
    <mergeCell ref="R73:R80"/>
    <mergeCell ref="AA73:AB73"/>
    <mergeCell ref="AA78:AB78"/>
    <mergeCell ref="C79:D79"/>
    <mergeCell ref="AA79:AB79"/>
    <mergeCell ref="C80:D80"/>
    <mergeCell ref="AA80:AB80"/>
    <mergeCell ref="A66:A72"/>
    <mergeCell ref="C66:D66"/>
    <mergeCell ref="R66:R72"/>
    <mergeCell ref="AA66:AB66"/>
    <mergeCell ref="AA71:AB71"/>
    <mergeCell ref="AG66:AG72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C72:D72"/>
    <mergeCell ref="AA72:AB72"/>
    <mergeCell ref="AG55:AG65"/>
    <mergeCell ref="C56:D56"/>
    <mergeCell ref="AA56:AB56"/>
    <mergeCell ref="C57:D57"/>
    <mergeCell ref="AA57:AB57"/>
    <mergeCell ref="AA58:AB58"/>
    <mergeCell ref="AA59:AB59"/>
    <mergeCell ref="C60:D60"/>
    <mergeCell ref="AA60:AB60"/>
    <mergeCell ref="C61:D61"/>
    <mergeCell ref="AA63:AB63"/>
    <mergeCell ref="C64:D64"/>
    <mergeCell ref="AA64:AB64"/>
    <mergeCell ref="C65:D65"/>
    <mergeCell ref="AA65:AB65"/>
    <mergeCell ref="C50:D50"/>
    <mergeCell ref="AA50:AB50"/>
    <mergeCell ref="R44:R54"/>
    <mergeCell ref="AA44:AB44"/>
    <mergeCell ref="C54:D54"/>
    <mergeCell ref="AA54:AB54"/>
    <mergeCell ref="A55:A65"/>
    <mergeCell ref="C55:D55"/>
    <mergeCell ref="R55:R65"/>
    <mergeCell ref="AA55:AB55"/>
    <mergeCell ref="AA61:AB61"/>
    <mergeCell ref="C62:D62"/>
    <mergeCell ref="AA62:AB62"/>
    <mergeCell ref="C63:D63"/>
    <mergeCell ref="A44:A54"/>
    <mergeCell ref="C44:D44"/>
    <mergeCell ref="AG44:AG54"/>
    <mergeCell ref="C45:D45"/>
    <mergeCell ref="AA45:AB45"/>
    <mergeCell ref="C46:D46"/>
    <mergeCell ref="AA46:AB46"/>
    <mergeCell ref="C47:D47"/>
    <mergeCell ref="AA40:AB40"/>
    <mergeCell ref="C41:D41"/>
    <mergeCell ref="AA41:AB41"/>
    <mergeCell ref="C42:D42"/>
    <mergeCell ref="AA42:AB42"/>
    <mergeCell ref="C43:D43"/>
    <mergeCell ref="AA43:AB43"/>
    <mergeCell ref="C51:D51"/>
    <mergeCell ref="AA51:AB51"/>
    <mergeCell ref="C52:D52"/>
    <mergeCell ref="AA52:AB52"/>
    <mergeCell ref="C53:D53"/>
    <mergeCell ref="AA53:AB53"/>
    <mergeCell ref="AA47:AB47"/>
    <mergeCell ref="C48:D48"/>
    <mergeCell ref="AA48:AB48"/>
    <mergeCell ref="C49:D49"/>
    <mergeCell ref="AA49:AB49"/>
    <mergeCell ref="AG37:AG43"/>
    <mergeCell ref="C38:D38"/>
    <mergeCell ref="AA38:AB38"/>
    <mergeCell ref="C39:D39"/>
    <mergeCell ref="AA39:AB39"/>
    <mergeCell ref="C40:D40"/>
    <mergeCell ref="AG30:AG36"/>
    <mergeCell ref="C31:D31"/>
    <mergeCell ref="AA31:AB31"/>
    <mergeCell ref="C32:D32"/>
    <mergeCell ref="AA32:AB32"/>
    <mergeCell ref="C33:D33"/>
    <mergeCell ref="C35:D35"/>
    <mergeCell ref="AA35:AB35"/>
    <mergeCell ref="C36:D36"/>
    <mergeCell ref="AA36:AB36"/>
    <mergeCell ref="AA33:AB33"/>
    <mergeCell ref="C34:D34"/>
    <mergeCell ref="AA34:AB34"/>
    <mergeCell ref="A30:A36"/>
    <mergeCell ref="C30:D30"/>
    <mergeCell ref="R30:R36"/>
    <mergeCell ref="AA30:AB30"/>
    <mergeCell ref="A37:A43"/>
    <mergeCell ref="C37:D37"/>
    <mergeCell ref="R37:R43"/>
    <mergeCell ref="AA37:AB37"/>
    <mergeCell ref="A23:A29"/>
    <mergeCell ref="C23:D23"/>
    <mergeCell ref="R23:R29"/>
    <mergeCell ref="AA23:AB23"/>
    <mergeCell ref="AG23:AG29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AG12:AG14"/>
    <mergeCell ref="C13:D13"/>
    <mergeCell ref="AA13:AB13"/>
    <mergeCell ref="C14:D14"/>
    <mergeCell ref="AA14:AB14"/>
    <mergeCell ref="A15:A22"/>
    <mergeCell ref="C15:D15"/>
    <mergeCell ref="R15:R22"/>
    <mergeCell ref="AA15:AB15"/>
    <mergeCell ref="AG15:AG22"/>
    <mergeCell ref="C19:D19"/>
    <mergeCell ref="AA19:AB19"/>
    <mergeCell ref="C20:D20"/>
    <mergeCell ref="AA20:AB20"/>
    <mergeCell ref="AA21:AB21"/>
    <mergeCell ref="C22:D22"/>
    <mergeCell ref="AA22:AB22"/>
    <mergeCell ref="C16:D16"/>
    <mergeCell ref="AA16:AB16"/>
    <mergeCell ref="C17:D17"/>
    <mergeCell ref="AA17:AB17"/>
    <mergeCell ref="C18:D18"/>
    <mergeCell ref="AA18:AB18"/>
    <mergeCell ref="A12:A14"/>
    <mergeCell ref="C12:D12"/>
    <mergeCell ref="R12:R14"/>
    <mergeCell ref="AA12:AB12"/>
    <mergeCell ref="C7:D7"/>
    <mergeCell ref="AA7:AB7"/>
    <mergeCell ref="C8:D8"/>
    <mergeCell ref="AA8:AB8"/>
    <mergeCell ref="C9:D9"/>
    <mergeCell ref="AA9:AB9"/>
    <mergeCell ref="AA11:AB11"/>
    <mergeCell ref="A5:A11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C11:D11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80">
    <cfRule type="cellIs" dxfId="28" priority="1" operator="greaterThan">
      <formula>0</formula>
    </cfRule>
  </conditionalFormatting>
  <conditionalFormatting sqref="P5:P80">
    <cfRule type="cellIs" dxfId="27" priority="4" operator="lessThan">
      <formula>0</formula>
    </cfRule>
  </conditionalFormatting>
  <conditionalFormatting sqref="Q5:Q80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R5:R12 AG5:AG12">
    <cfRule type="cellIs" dxfId="24" priority="91" operator="lessThan">
      <formula>0.8</formula>
    </cfRule>
  </conditionalFormatting>
  <conditionalFormatting sqref="AE5:AE80">
    <cfRule type="cellIs" dxfId="23" priority="22" operator="lessThan">
      <formula>0</formula>
    </cfRule>
  </conditionalFormatting>
  <conditionalFormatting sqref="AF5:AF80">
    <cfRule type="cellIs" dxfId="22" priority="21" operator="lessThan">
      <formula>0.8</formula>
    </cfRule>
    <cfRule type="cellIs" dxfId="21" priority="20" operator="greaterThan">
      <formula>1</formula>
    </cfRule>
  </conditionalFormatting>
  <conditionalFormatting sqref="AG15:AG69 R15:R80">
    <cfRule type="cellIs" dxfId="20" priority="5" operator="lessThan">
      <formula>0.8</formula>
    </cfRule>
  </conditionalFormatting>
  <dataValidations count="1">
    <dataValidation type="list" allowBlank="1" showInputMessage="1" showErrorMessage="1" sqref="AA5:AB9 AB10:AB11 AB70:AB71 AA10:AA71 AB13:AB66 AA72:AB80" xr:uid="{00000000-0002-0000-3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Q32"/>
  <sheetViews>
    <sheetView zoomScale="85" zoomScaleNormal="85" workbookViewId="0">
      <selection activeCell="J9" sqref="J9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140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203</v>
      </c>
      <c r="C3" s="153" t="str">
        <f>TEXT('0202 4度C'!A2,"yyyy.mm.ddaaaa")</f>
        <v>2026.02.02星期一</v>
      </c>
      <c r="D3" s="154"/>
      <c r="E3" s="47" t="s">
        <v>204</v>
      </c>
      <c r="F3" s="155">
        <f>'0202 4度C'!D1</f>
        <v>162802</v>
      </c>
      <c r="G3" s="156"/>
      <c r="H3" s="47" t="s">
        <v>205</v>
      </c>
      <c r="I3" s="157">
        <f>'0202 4度C'!F1</f>
        <v>5605629.0600000015</v>
      </c>
      <c r="J3" s="158"/>
      <c r="K3" s="48"/>
      <c r="L3" s="49"/>
      <c r="M3" s="49"/>
      <c r="N3" s="49"/>
    </row>
    <row r="4" spans="2:17" ht="28.5" customHeight="1">
      <c r="B4" s="159" t="s">
        <v>206</v>
      </c>
      <c r="C4" s="145" t="s">
        <v>207</v>
      </c>
      <c r="D4" s="146"/>
      <c r="E4" s="162" t="s">
        <v>208</v>
      </c>
      <c r="F4" s="163"/>
      <c r="G4" s="162" t="s">
        <v>209</v>
      </c>
      <c r="H4" s="163"/>
      <c r="I4" s="162" t="s">
        <v>210</v>
      </c>
      <c r="J4" s="163"/>
      <c r="K4" s="143" t="s">
        <v>211</v>
      </c>
      <c r="L4" s="144"/>
      <c r="M4" s="144" t="s">
        <v>212</v>
      </c>
      <c r="N4" s="144"/>
    </row>
    <row r="5" spans="2:17" ht="28.5" customHeight="1">
      <c r="B5" s="160"/>
      <c r="C5" s="145" t="s">
        <v>213</v>
      </c>
      <c r="D5" s="146"/>
      <c r="E5" s="145" t="s">
        <v>214</v>
      </c>
      <c r="F5" s="146"/>
      <c r="G5" s="147" t="s">
        <v>215</v>
      </c>
      <c r="H5" s="148"/>
      <c r="I5" s="149" t="s">
        <v>216</v>
      </c>
      <c r="J5" s="150"/>
      <c r="K5" s="50" t="s">
        <v>217</v>
      </c>
      <c r="L5" s="51" t="s">
        <v>218</v>
      </c>
      <c r="M5" s="50" t="s">
        <v>217</v>
      </c>
      <c r="N5" s="51" t="s">
        <v>219</v>
      </c>
    </row>
    <row r="6" spans="2:17" ht="28.5" customHeight="1">
      <c r="B6" s="160"/>
      <c r="C6" s="145" t="s">
        <v>158</v>
      </c>
      <c r="D6" s="146"/>
      <c r="E6" s="137">
        <f>AVERAGE(D13:M13)</f>
        <v>145.98296278321772</v>
      </c>
      <c r="F6" s="138">
        <f>AVERAGE(D31:O31,D13:J13)</f>
        <v>149.12611199690809</v>
      </c>
      <c r="G6" s="139">
        <f>AVERAGE(D13:J13)</f>
        <v>149.12611199690809</v>
      </c>
      <c r="H6" s="140"/>
      <c r="I6" s="139">
        <f>AVERAGE(K13:M13)</f>
        <v>138.64894795127353</v>
      </c>
      <c r="J6" s="140"/>
      <c r="K6" s="141">
        <f>'0202 4度C'!Y2</f>
        <v>0</v>
      </c>
      <c r="L6" s="126">
        <f>'0202 4度C'!Z2</f>
        <v>0</v>
      </c>
      <c r="M6" s="142">
        <f>'0202 4度C'!AC2</f>
        <v>37</v>
      </c>
      <c r="N6" s="126">
        <f>'0202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140.006848981118</v>
      </c>
      <c r="F7" s="130">
        <f>AVERAGE(D32:O32,D14:J14)</f>
        <v>143.134778127168</v>
      </c>
      <c r="G7" s="131">
        <f>AVERAGE(D14:J14)</f>
        <v>143.134778127168</v>
      </c>
      <c r="H7" s="132"/>
      <c r="I7" s="131">
        <f>AVERAGE(K14:M14)</f>
        <v>132.70834764033455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0.95780813860913239</v>
      </c>
      <c r="F8" s="134">
        <f>AVERAGE(D15:J15,D33:O33)</f>
        <v>0.95812576467420085</v>
      </c>
      <c r="G8" s="135">
        <f>AVERAGE(D15:J15)</f>
        <v>0.95812576467420085</v>
      </c>
      <c r="H8" s="136"/>
      <c r="I8" s="135">
        <f>AVERAGE(K15:M15)</f>
        <v>0.95706701112397241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220</v>
      </c>
      <c r="N9" s="49"/>
      <c r="O9" s="49"/>
      <c r="P9" s="49"/>
      <c r="Q9" s="49"/>
    </row>
    <row r="10" spans="2:17" ht="30" customHeight="1">
      <c r="B10" s="109" t="s">
        <v>221</v>
      </c>
      <c r="C10" s="110"/>
      <c r="D10" s="111" t="s">
        <v>222</v>
      </c>
      <c r="E10" s="112"/>
      <c r="F10" s="112"/>
      <c r="G10" s="112"/>
      <c r="H10" s="112"/>
      <c r="I10" s="112"/>
      <c r="J10" s="113"/>
      <c r="K10" s="114" t="s">
        <v>223</v>
      </c>
      <c r="L10" s="115"/>
      <c r="M10" s="116"/>
      <c r="P10" s="55"/>
      <c r="Q10" s="55"/>
    </row>
    <row r="11" spans="2:17" ht="17.25" customHeight="1">
      <c r="B11" s="117" t="s">
        <v>224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225</v>
      </c>
      <c r="C13" s="62" t="s">
        <v>226</v>
      </c>
      <c r="D13" s="63">
        <f>SUMIFS('0202 4度C'!$K:$K,'0202 4度C'!$A:$A,"新豐6線",'0202 4度C'!$B:$B,"平均")</f>
        <v>116.50485436893203</v>
      </c>
      <c r="E13" s="64">
        <f>SUMIFS('0202 4度C'!$K:$K,'0202 4度C'!$A:$A,"新豐2線",'0202 4度C'!$B:$B,"平均")</f>
        <v>83.333333333333329</v>
      </c>
      <c r="F13" s="65">
        <f>SUMIFS('0202 4度C'!$K:$K,'0202 4度C'!$A:$A,"新豐5線",'0202 4度C'!$B:$B,"平均")</f>
        <v>110.16949152542372</v>
      </c>
      <c r="G13" s="65">
        <f>SUMIFS('0202 4度C'!$K:$K,'0202 4度C'!$A:$A,"新豐7線",'0202 4度C'!$B:$B,"平均")</f>
        <v>123.65591397849462</v>
      </c>
      <c r="H13" s="65">
        <f>SUMIFS('0202 4度C'!$K:$K,'0202 4度C'!$A:$A,"新豐3線",'0202 4度C'!$B:$B,"平均")</f>
        <v>303.37078651685391</v>
      </c>
      <c r="I13" s="65">
        <f>SUMIFS('0202 4度C'!$K:$K,'0202 4度C'!$A:$A,"新豐1線",'0202 4度C'!$B:$B,"平均")</f>
        <v>103.72340425531914</v>
      </c>
      <c r="J13" s="66">
        <f>SUMIFS('0202 4度C'!$K:$K,'0202 4度C'!$A:$A,"新豐10線",'0202 4度C'!$B:$B,"平均")</f>
        <v>203.125</v>
      </c>
      <c r="K13" s="67">
        <f>SUMIFS('0202 4度C'!$K:$K,'0202 4度C'!$A:$A,"新豐8線",'0202 4度C'!$B:$B,"平均")</f>
        <v>130.23255813953489</v>
      </c>
      <c r="L13" s="68">
        <f>SUMIFS('0202 4度C'!$K:$K,'0202 4度C'!$A:$A,"新豐9線",'0202 4度C'!$B:$B,"平均")</f>
        <v>133.33333333333334</v>
      </c>
      <c r="M13" s="66">
        <f>SUMIFS('0202 4度C'!$K:$K,'0202 4度C'!$A:$A,"新豐4線",'0202 4度C'!$B:$B,"平均")</f>
        <v>152.38095238095238</v>
      </c>
    </row>
    <row r="14" spans="2:17" ht="39.6" customHeight="1">
      <c r="B14" s="122"/>
      <c r="C14" s="69" t="s">
        <v>227</v>
      </c>
      <c r="D14" s="70">
        <f>SUMIFS('0202 4度C'!$N:$N,'0202 4度C'!$A:$A,"新豐6線",'0202 4度C'!$B:$B,"平均")</f>
        <v>112.82209053082835</v>
      </c>
      <c r="E14" s="71">
        <f>SUMIFS('0202 4度C'!$N:$N,'0202 4度C'!$A:$A,"新豐2線",'0202 4度C'!$B:$B,"平均")</f>
        <v>79.492152961980537</v>
      </c>
      <c r="F14" s="71">
        <f>SUMIFS('0202 4度C'!$N:$N,'0202 4度C'!$A:$A,"新豐5線",'0202 4度C'!$B:$B,"平均")</f>
        <v>105.604855752237</v>
      </c>
      <c r="G14" s="71">
        <f>SUMIFS('0202 4度C'!$N:$N,'0202 4度C'!$A:$A,"新豐7線",'0202 4度C'!$B:$B,"平均")</f>
        <v>119.36928484839518</v>
      </c>
      <c r="H14" s="71">
        <f>SUMIFS('0202 4度C'!$N:$N,'0202 4度C'!$A:$A,"新豐3線",'0202 4度C'!$B:$B,"平均")</f>
        <v>291.18675609049154</v>
      </c>
      <c r="I14" s="71">
        <f>SUMIFS('0202 4度C'!$N:$N,'0202 4度C'!$A:$A,"新豐1線",'0202 4度C'!$B:$B,"平均")</f>
        <v>96.668847248525623</v>
      </c>
      <c r="J14" s="72">
        <f>SUMIFS('0202 4度C'!$N:$N,'0202 4度C'!$A:$A,"新豐10線",'0202 4度C'!$B:$B,"平均")</f>
        <v>196.799459457718</v>
      </c>
      <c r="K14" s="73">
        <f>SUMIFS('0202 4度C'!$N:$N,'0202 4度C'!$A:$A,"新豐8線",'0202 4度C'!$B:$B,"平均")</f>
        <v>124.58772477414641</v>
      </c>
      <c r="L14" s="74">
        <f>SUMIFS('0202 4度C'!$N:$N,'0202 4度C'!$A:$A,"新豐9線",'0202 4度C'!$B:$B,"平均")</f>
        <v>127.42041518046423</v>
      </c>
      <c r="M14" s="72">
        <f>SUMIFS('0202 4度C'!$N:$N,'0202 4度C'!$A:$A,"新豐4線",'0202 4度C'!$B:$B,"平均")</f>
        <v>146.11690296639307</v>
      </c>
    </row>
    <row r="15" spans="2:17" ht="40.15" customHeight="1">
      <c r="B15" s="123"/>
      <c r="C15" s="75" t="s">
        <v>228</v>
      </c>
      <c r="D15" s="76">
        <f t="shared" ref="D15:M15" si="0">D14/D13</f>
        <v>0.96838961038961002</v>
      </c>
      <c r="E15" s="77">
        <f t="shared" si="0"/>
        <v>0.95390583554376651</v>
      </c>
      <c r="F15" s="77">
        <f t="shared" si="0"/>
        <v>0.95856715221261279</v>
      </c>
      <c r="G15" s="77">
        <f t="shared" si="0"/>
        <v>0.96533421660006535</v>
      </c>
      <c r="H15" s="77">
        <f t="shared" si="0"/>
        <v>0.95983782563162034</v>
      </c>
      <c r="I15" s="77">
        <f t="shared" si="0"/>
        <v>0.93198683501142665</v>
      </c>
      <c r="J15" s="78">
        <f t="shared" si="0"/>
        <v>0.96885887733030396</v>
      </c>
      <c r="K15" s="76">
        <f t="shared" si="0"/>
        <v>0.95665574380148133</v>
      </c>
      <c r="L15" s="77">
        <f t="shared" si="0"/>
        <v>0.95565311385348173</v>
      </c>
      <c r="M15" s="78">
        <f t="shared" si="0"/>
        <v>0.95889217571695451</v>
      </c>
    </row>
    <row r="16" spans="2:17" ht="17.25" customHeight="1">
      <c r="B16" s="124" t="s">
        <v>229</v>
      </c>
      <c r="C16" s="79" t="s">
        <v>230</v>
      </c>
      <c r="D16" s="80">
        <f>VLOOKUP("新豐6線",'0202 4度C'!$A:$T,19,0)</f>
        <v>0.70833333333333337</v>
      </c>
      <c r="E16" s="81">
        <f>VLOOKUP("新豐2線",'0202 4度C'!$A:$T,19,0)</f>
        <v>0.20833333333333334</v>
      </c>
      <c r="F16" s="81">
        <f>VLOOKUP("新豐5線",'0202 4度C'!$A:$T,19,0)</f>
        <v>0.20833333333333334</v>
      </c>
      <c r="G16" s="81">
        <f>VLOOKUP("新豐7線",'0202 4度C'!$A:$T,19,0)</f>
        <v>0.20833333333333334</v>
      </c>
      <c r="H16" s="81">
        <f>VLOOKUP("新豐3線",'0202 4度C'!$A:$T,19,0)</f>
        <v>0.20833333333333334</v>
      </c>
      <c r="I16" s="81">
        <f>VLOOKUP("新豐1線",'0202 4度C'!$A:$T,19,0)</f>
        <v>0.20833333333333334</v>
      </c>
      <c r="J16" s="82">
        <f>VLOOKUP("新豐10線",'0202 4度C'!$A:$T,19,0)</f>
        <v>0.20833333333333334</v>
      </c>
      <c r="K16" s="83">
        <f>VLOOKUP("新豐8線",'0202 4度C'!$A:$T,19,0)</f>
        <v>0.125</v>
      </c>
      <c r="L16" s="84">
        <f>VLOOKUP("新豐9線",'0202 4度C'!$A:$T,19,0)</f>
        <v>0.125</v>
      </c>
      <c r="M16" s="85">
        <f>VLOOKUP("新豐4線",'0202 4度C'!$A:$T,19,0)</f>
        <v>0.125</v>
      </c>
    </row>
    <row r="17" spans="2:13" ht="17.25" customHeight="1">
      <c r="B17" s="125"/>
      <c r="C17" s="79" t="s">
        <v>231</v>
      </c>
      <c r="D17" s="83">
        <f>LOOKUP(2,1/(('0202 4度C'!$A:$A="新豐6線")*('0202 4度C'!$T:$T&lt;&gt;"")),'0202 4度C'!$T:$T)</f>
        <v>0.90555555555555556</v>
      </c>
      <c r="E17" s="81">
        <f>LOOKUP(2,1/(('0202 4度C'!$A:$A="新豐2線")*('0202 4度C'!$T:$T&lt;&gt;"")),'0202 4度C'!$T:$T)</f>
        <v>0.47222222222222221</v>
      </c>
      <c r="F17" s="81">
        <f>LOOKUP(2,1/(('0202 4度C'!$A:$A="新豐5線")*('0202 4度C'!$T:$T&lt;&gt;"")),'0202 4度C'!$T:$T)</f>
        <v>0.92569444444444438</v>
      </c>
      <c r="G17" s="81">
        <f>LOOKUP(2,1/(('0202 4度C'!$A:$A="新豐7線")*('0202 4度C'!$T:$T&lt;&gt;"")),'0202 4度C'!$T:$T)</f>
        <v>0.92152777777777783</v>
      </c>
      <c r="H17" s="81">
        <f>LOOKUP(2,1/(('0202 4度C'!$A:$A="新豐3線")*('0202 4度C'!$T:$T&lt;&gt;"")),'0202 4度C'!$T:$T)</f>
        <v>0.64791666666666647</v>
      </c>
      <c r="I17" s="81">
        <f>LOOKUP(2,1/(('0202 4度C'!$A:$A="新豐1線")*('0202 4度C'!$T:$T&lt;&gt;"")),'0202 4度C'!$T:$T)</f>
        <v>0.91388888888888875</v>
      </c>
      <c r="J17" s="82">
        <f>LOOKUP(2,1/(('0202 4度C'!$A:$A="新豐10線")*('0202 4度C'!$T:$T&lt;&gt;"")),'0202 4度C'!$T:$T)</f>
        <v>0.49722222222222218</v>
      </c>
      <c r="K17" s="80">
        <f>LOOKUP(2,1/(('0202 4度C'!$A:$A="新豐8線")*('0202 4度C'!$T:$T&lt;&gt;"")),'0202 4度C'!$T:$T)</f>
        <v>0.63611111111111107</v>
      </c>
      <c r="L17" s="81">
        <f>LOOKUP(2,1/(('0202 4度C'!$A:$A="新豐9線")*('0202 4度C'!$T:$T&lt;&gt;"")),'0202 4度C'!$T:$T)</f>
        <v>0.62708333333333321</v>
      </c>
      <c r="M17" s="82">
        <f>LOOKUP(2,1/(('0202 4度C'!$A:$A="新豐4線")*('0202 4度C'!$T:$T&lt;&gt;"")),'0202 4度C'!$T:$T)</f>
        <v>0.63958333333333317</v>
      </c>
    </row>
    <row r="18" spans="2:13" ht="17.25" customHeight="1">
      <c r="B18" s="103" t="s">
        <v>232</v>
      </c>
      <c r="C18" s="86" t="s">
        <v>233</v>
      </c>
      <c r="D18" s="87">
        <f>SUMIFS('0202 4度C'!$Y:$Y,'0202 4度C'!$A:$A,"新豐6線",'0202 4度C'!$B:$B,"平均")</f>
        <v>0</v>
      </c>
      <c r="E18" s="88">
        <f>SUMIFS('0202 4度C'!$Y:$Y,'0202 4度C'!$A:$A,"新豐2線",'0202 4度C'!$B:$B,"平均")</f>
        <v>0</v>
      </c>
      <c r="F18" s="88">
        <f>SUMIFS('0202 4度C'!$Y:$Y,'0202 4度C'!$A:$A,"新豐5線",'0202 4度C'!$B:$B,"平均")</f>
        <v>0</v>
      </c>
      <c r="G18" s="88">
        <f>SUMIFS('0202 4度C'!$Y:$Y,'0202 4度C'!$A:$A,"新豐7線",'0202 4度C'!$B:$B,"平均")</f>
        <v>0</v>
      </c>
      <c r="H18" s="88">
        <f>SUMIFS('0202 4度C'!$Y:$Y,'0202 4度C'!$A:$A,"新豐3線",'0202 4度C'!$B:$B,"平均")</f>
        <v>0</v>
      </c>
      <c r="I18" s="88">
        <f>SUMIFS('0202 4度C'!$Y:$Y,'0202 4度C'!$A:$A,"新豐1線",'0202 4度C'!$B:$B,"平均")</f>
        <v>0</v>
      </c>
      <c r="J18" s="89">
        <f>SUMIFS('0202 4度C'!$Y:$Y,'0202 4度C'!$A:$A,"新豐10線",'0202 4度C'!$B:$B,"平均")</f>
        <v>0</v>
      </c>
      <c r="K18" s="90">
        <f>SUMIFS('0202 4度C'!$Y:$Y,'0202 4度C'!$A:$A,"新豐8線",'0202 4度C'!$B:$B,"平均")</f>
        <v>0</v>
      </c>
      <c r="L18" s="88">
        <f>SUMIFS('0202 4度C'!$Y:$Y,'0202 4度C'!$A:$A,"新豐9線",'0202 4度C'!$B:$B,"平均")</f>
        <v>0</v>
      </c>
      <c r="M18" s="89">
        <f>SUMIFS('0202 4度C'!$Y:$Y,'0202 4度C'!$A:$A,"新豐4線",'0202 4度C'!$B:$B,"平均")</f>
        <v>0</v>
      </c>
    </row>
    <row r="19" spans="2:13" ht="17.25" customHeight="1">
      <c r="B19" s="104"/>
      <c r="C19" s="86" t="s">
        <v>234</v>
      </c>
      <c r="D19" s="87">
        <f>SUMIFS('0202 4度C'!$Z:$Z,'0202 4度C'!$A:$A,"新豐6線",'0202 4度C'!$B:$B,"平均")</f>
        <v>0</v>
      </c>
      <c r="E19" s="88">
        <f>SUMIFS('0202 4度C'!$Z:$Z,'0202 4度C'!$A:$A,"新豐2線",'0202 4度C'!$B:$B,"平均")</f>
        <v>0</v>
      </c>
      <c r="F19" s="88">
        <f>SUMIFS('0202 4度C'!$Z:$Z,'0202 4度C'!$A:$A,"新豐5線",'0202 4度C'!$B:$B,"平均")</f>
        <v>0</v>
      </c>
      <c r="G19" s="88">
        <f>SUMIFS('0202 4度C'!$Z:$Z,'0202 4度C'!$A:$A,"新豐7線",'0202 4度C'!$B:$B,"平均")</f>
        <v>0</v>
      </c>
      <c r="H19" s="88">
        <f>SUMIFS('0202 4度C'!$Z:$Z,'0202 4度C'!$A:$A,"新豐3線",'0202 4度C'!$B:$B,"平均")</f>
        <v>0</v>
      </c>
      <c r="I19" s="88">
        <f>SUMIFS('0202 4度C'!$Z:$Z,'0202 4度C'!$A:$A,"新豐1線",'0202 4度C'!$B:$B,"平均")</f>
        <v>0</v>
      </c>
      <c r="J19" s="89">
        <f>SUMIFS('0202 4度C'!$Z:$Z,'0202 4度C'!$A:$A,"新豐10線",'0202 4度C'!$B:$B,"平均")</f>
        <v>0</v>
      </c>
      <c r="K19" s="90">
        <f>SUMIFS('0202 4度C'!$Z:$Z,'0202 4度C'!$A:$A,"新豐8線",'0202 4度C'!$B:$B,"平均")</f>
        <v>0</v>
      </c>
      <c r="L19" s="88">
        <f>SUMIFS('0202 4度C'!$Z:$Z,'0202 4度C'!$A:$A,"新豐9線",'0202 4度C'!$B:$B,"平均")</f>
        <v>0</v>
      </c>
      <c r="M19" s="89">
        <f>SUMIFS('0202 4度C'!$Z:$Z,'0202 4度C'!$A:$A,"新豐4線",'0202 4度C'!$B:$B,"平均")</f>
        <v>0</v>
      </c>
    </row>
    <row r="20" spans="2:13" ht="17.25" customHeight="1">
      <c r="B20" s="103" t="s">
        <v>235</v>
      </c>
      <c r="C20" s="86" t="s">
        <v>233</v>
      </c>
      <c r="D20" s="87">
        <f>SUMIFS('0202 4度C'!$AC:$AC,'0202 4度C'!$A:$A,"新豐6線",'0202 4度C'!$B:$B,"平均")</f>
        <v>2</v>
      </c>
      <c r="E20" s="88">
        <f>SUMIFS('0202 4度C'!$AC:$AC,'0202 4度C'!$A:$A,"新豐2線",'0202 4度C'!$B:$B,"平均")</f>
        <v>2</v>
      </c>
      <c r="F20" s="88">
        <f>SUMIFS('0202 4度C'!$AC:$AC,'0202 4度C'!$A:$A,"新豐5線",'0202 4度C'!$B:$B,"平均")</f>
        <v>3</v>
      </c>
      <c r="G20" s="88">
        <f>SUMIFS('0202 4度C'!$AC:$AC,'0202 4度C'!$A:$A,"新豐7線",'0202 4度C'!$B:$B,"平均")</f>
        <v>3</v>
      </c>
      <c r="H20" s="88">
        <f>SUMIFS('0202 4度C'!$AC:$AC,'0202 4度C'!$A:$A,"新豐3線",'0202 4度C'!$B:$B,"平均")</f>
        <v>0</v>
      </c>
      <c r="I20" s="88">
        <f>SUMIFS('0202 4度C'!$AC:$AC,'0202 4度C'!$A:$A,"新豐1線",'0202 4度C'!$B:$B,"平均")</f>
        <v>5</v>
      </c>
      <c r="J20" s="89">
        <f>SUMIFS('0202 4度C'!$AC:$AC,'0202 4度C'!$A:$A,"新豐10線",'0202 4度C'!$B:$B,"平均")</f>
        <v>1</v>
      </c>
      <c r="K20" s="90">
        <f>SUMIFS('0202 4度C'!$AC:$AC,'0202 4度C'!$A:$A,"新豐8線",'0202 4度C'!$B:$B,"平均")</f>
        <v>7</v>
      </c>
      <c r="L20" s="88">
        <f>SUMIFS('0202 4度C'!$AC:$AC,'0202 4度C'!$A:$A,"新豐9線",'0202 4度C'!$B:$B,"平均")</f>
        <v>7</v>
      </c>
      <c r="M20" s="89">
        <f>SUMIFS('0202 4度C'!$AC:$AC,'0202 4度C'!$A:$A,"新豐4線",'0202 4度C'!$B:$B,"平均")</f>
        <v>7</v>
      </c>
    </row>
    <row r="21" spans="2:13" ht="17.25" customHeight="1">
      <c r="B21" s="104"/>
      <c r="C21" s="86" t="s">
        <v>236</v>
      </c>
      <c r="D21" s="87">
        <f>SUMIFS('0202 4度C'!$AD:$AD,'0202 4度C'!$A:$A,"新豐6線",'0202 4度C'!$B:$B,"平均")</f>
        <v>0</v>
      </c>
      <c r="E21" s="88">
        <f>SUMIFS('0202 4度C'!$AD:$AD,'0202 4度C'!$A:$A,"新豐2線",'0202 4度C'!$B:$B,"平均")</f>
        <v>0</v>
      </c>
      <c r="F21" s="88">
        <f>SUMIFS('0202 4度C'!$AD:$AD,'0202 4度C'!$A:$A,"新豐5線",'0202 4度C'!$B:$B,"平均")</f>
        <v>0</v>
      </c>
      <c r="G21" s="88">
        <f>SUMIFS('0202 4度C'!$AD:$AD,'0202 4度C'!$A:$A,"新豐7線",'0202 4度C'!$B:$B,"平均")</f>
        <v>0</v>
      </c>
      <c r="H21" s="88">
        <f>SUMIFS('0202 4度C'!$AD:$AD,'0202 4度C'!$A:$A,"新豐3線",'0202 4度C'!$B:$B,"平均")</f>
        <v>0</v>
      </c>
      <c r="I21" s="88">
        <f>SUMIFS('0202 4度C'!$AD:$AD,'0202 4度C'!$A:$A,"新豐1線",'0202 4度C'!$B:$B,"平均")</f>
        <v>0</v>
      </c>
      <c r="J21" s="89">
        <f>SUMIFS('0202 4度C'!$AD:$AD,'0202 4度C'!$A:$A,"新豐10線",'0202 4度C'!$B:$B,"平均")</f>
        <v>0</v>
      </c>
      <c r="K21" s="90">
        <f>SUMIFS('0202 4度C'!$AD:$AD,'0202 4度C'!$A:$A,"新豐8線",'0202 4度C'!$B:$B,"平均")</f>
        <v>0</v>
      </c>
      <c r="L21" s="88">
        <f>SUMIFS('0202 4度C'!$AD:$AD,'0202 4度C'!$A:$A,"新豐9線",'0202 4度C'!$B:$B,"平均")</f>
        <v>0</v>
      </c>
      <c r="M21" s="89">
        <f>SUMIFS('0202 4度C'!$AD:$AD,'0202 4度C'!$A:$A,"新豐4線",'0202 4度C'!$B:$B,"平均")</f>
        <v>0</v>
      </c>
    </row>
    <row r="22" spans="2:13" ht="17.25" customHeight="1">
      <c r="B22" s="105" t="s">
        <v>237</v>
      </c>
      <c r="C22" s="106"/>
      <c r="D22" s="91">
        <f>SUMIFS('0202 4度C'!$I:$I,'0202 4度C'!$A:$A,"新豐6線",'0202 4度C'!$B:$B,"平均")</f>
        <v>17.166666666666668</v>
      </c>
      <c r="E22" s="92">
        <f>SUMIFS('0202 4度C'!$I:$I,'0202 4度C'!$A:$A,"新豐2線",'0202 4度C'!$B:$B,"平均")</f>
        <v>18</v>
      </c>
      <c r="F22" s="92">
        <f>SUMIFS('0202 4度C'!$I:$I,'0202 4度C'!$A:$A,"新豐5線",'0202 4度C'!$B:$B,"平均")</f>
        <v>16.857142857142858</v>
      </c>
      <c r="G22" s="92">
        <f>SUMIFS('0202 4度C'!$I:$I,'0202 4度C'!$A:$A,"新豐7線",'0202 4度C'!$B:$B,"平均")</f>
        <v>15.5</v>
      </c>
      <c r="H22" s="92">
        <f>SUMIFS('0202 4度C'!$I:$I,'0202 4度C'!$A:$A,"新豐3線",'0202 4度C'!$B:$B,"平均")</f>
        <v>9.8888888888888893</v>
      </c>
      <c r="I22" s="92">
        <f>SUMIFS('0202 4度C'!$I:$I,'0202 4度C'!$A:$A,"新豐1線",'0202 4度C'!$B:$B,"平均")</f>
        <v>18.8</v>
      </c>
      <c r="J22" s="93">
        <f>SUMIFS('0202 4度C'!$I:$I,'0202 4度C'!$A:$A,"新豐10線",'0202 4度C'!$B:$B,"平均")</f>
        <v>10.666666666666666</v>
      </c>
      <c r="K22" s="91">
        <f>SUMIFS('0202 4度C'!$I:$I,'0202 4度C'!$A:$A,"新豐8線",'0202 4度C'!$B:$B,"平均")</f>
        <v>18.428571428571427</v>
      </c>
      <c r="L22" s="92">
        <f>SUMIFS('0202 4度C'!$I:$I,'0202 4度C'!$A:$A,"新豐9線",'0202 4度C'!$B:$B,"平均")</f>
        <v>18</v>
      </c>
      <c r="M22" s="93">
        <f>SUMIFS('0202 4度C'!$I:$I,'0202 4度C'!$A:$A,"新豐4線",'0202 4度C'!$B:$B,"平均")</f>
        <v>15.75</v>
      </c>
    </row>
    <row r="23" spans="2:13" ht="17.25" customHeight="1">
      <c r="B23" s="105" t="s">
        <v>190</v>
      </c>
      <c r="C23" s="106"/>
      <c r="D23" s="94" t="s">
        <v>191</v>
      </c>
      <c r="E23" s="95" t="s">
        <v>192</v>
      </c>
      <c r="F23" s="95" t="s">
        <v>238</v>
      </c>
      <c r="G23" s="95" t="s">
        <v>238</v>
      </c>
      <c r="H23" s="95" t="s">
        <v>194</v>
      </c>
      <c r="I23" s="95" t="s">
        <v>191</v>
      </c>
      <c r="J23" s="96" t="s">
        <v>194</v>
      </c>
      <c r="K23" s="94" t="s">
        <v>239</v>
      </c>
      <c r="L23" s="95" t="s">
        <v>195</v>
      </c>
      <c r="M23" s="96" t="s">
        <v>239</v>
      </c>
    </row>
    <row r="24" spans="2:13" ht="17.25" customHeight="1">
      <c r="B24" s="105" t="s">
        <v>240</v>
      </c>
      <c r="C24" s="106"/>
      <c r="D24" s="94"/>
      <c r="E24" s="95"/>
      <c r="F24" s="95" t="s">
        <v>197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241</v>
      </c>
      <c r="C25" s="108"/>
      <c r="D25" s="97"/>
      <c r="E25" s="98" t="s">
        <v>242</v>
      </c>
      <c r="F25" s="101" t="s">
        <v>243</v>
      </c>
      <c r="G25" s="102"/>
      <c r="H25" s="98" t="s">
        <v>244</v>
      </c>
      <c r="I25" s="98" t="s">
        <v>245</v>
      </c>
      <c r="J25" s="99" t="s">
        <v>201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G90"/>
  <sheetViews>
    <sheetView topLeftCell="H1" zoomScale="82" zoomScaleNormal="82" workbookViewId="0">
      <pane ySplit="4" topLeftCell="A5" activePane="bottomLeft" state="frozen"/>
      <selection activeCell="J9" sqref="J9"/>
      <selection pane="bottomLeft" activeCell="AC2" sqref="AC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246</v>
      </c>
      <c r="B1" s="1"/>
      <c r="C1" s="2" t="s">
        <v>1</v>
      </c>
      <c r="D1" s="3">
        <f>SUM(F5:F82)</f>
        <v>162802</v>
      </c>
      <c r="E1" s="4" t="s">
        <v>247</v>
      </c>
      <c r="F1" s="1">
        <f>SUM(G5:G82)</f>
        <v>5605629.0600000015</v>
      </c>
      <c r="G1" s="1" t="s">
        <v>3</v>
      </c>
      <c r="H1" s="5">
        <f>L11+L14+L55+L66+L22+L73+L37+L45+L29+L82</f>
        <v>159.05793650793652</v>
      </c>
      <c r="I1" s="214" t="s">
        <v>4</v>
      </c>
      <c r="J1" s="214"/>
      <c r="K1" s="214"/>
      <c r="L1" s="214" t="s">
        <v>248</v>
      </c>
      <c r="M1" s="214"/>
      <c r="N1" s="214"/>
      <c r="O1" s="214" t="s">
        <v>249</v>
      </c>
      <c r="P1" s="214"/>
      <c r="Q1" s="214"/>
      <c r="R1" s="214"/>
      <c r="S1" s="214" t="s">
        <v>250</v>
      </c>
      <c r="T1" s="214"/>
      <c r="U1" s="214"/>
      <c r="V1" s="214"/>
      <c r="W1" s="214"/>
      <c r="X1" s="214"/>
      <c r="Y1" s="6" t="s">
        <v>251</v>
      </c>
      <c r="Z1" s="7" t="s">
        <v>252</v>
      </c>
      <c r="AA1" s="215" t="s">
        <v>10</v>
      </c>
      <c r="AB1" s="215"/>
      <c r="AC1" s="8" t="s">
        <v>8</v>
      </c>
      <c r="AD1" s="7" t="s">
        <v>11</v>
      </c>
      <c r="AE1" s="214" t="s">
        <v>253</v>
      </c>
      <c r="AF1" s="216"/>
      <c r="AG1" s="216"/>
    </row>
    <row r="2" spans="1:33" ht="26.25" customHeight="1">
      <c r="A2" s="35">
        <v>46055</v>
      </c>
      <c r="B2" s="36" t="s">
        <v>254</v>
      </c>
      <c r="C2" s="2" t="s">
        <v>255</v>
      </c>
      <c r="D2" s="10">
        <f>AVERAGE(N11,N14,N55,N66,N22,N73,N29,N37,N45,N82)</f>
        <v>140.006848981118</v>
      </c>
      <c r="E2" s="11" t="s">
        <v>14</v>
      </c>
      <c r="F2" s="12">
        <f>F1/D1</f>
        <v>34.432187933809175</v>
      </c>
      <c r="G2" s="1" t="s">
        <v>256</v>
      </c>
      <c r="H2" s="13">
        <f>COUNT(H5:H82)</f>
        <v>13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SUM(Y11+Y14+Y22+Y29+Y37+Y45+Y55+Y66+Y73+Y82)</f>
        <v>0</v>
      </c>
      <c r="Z2" s="14">
        <f>SUM(Z11+Z14+Z22+Z29+Z37+Z45+Z55+Z66+Z73+Z82)</f>
        <v>0</v>
      </c>
      <c r="AA2" s="215"/>
      <c r="AB2" s="215"/>
      <c r="AC2" s="14">
        <v>37</v>
      </c>
      <c r="AD2" s="14">
        <f>SUM(AD11+AD14+AD22+AD29+AD37+AD45+AD55+AD66+AD73+AD82)</f>
        <v>0</v>
      </c>
      <c r="AE2" s="216"/>
      <c r="AF2" s="216"/>
      <c r="AG2" s="216"/>
    </row>
    <row r="3" spans="1:33" ht="40.5" customHeight="1">
      <c r="A3" s="164" t="s">
        <v>16</v>
      </c>
      <c r="B3" s="164" t="s">
        <v>257</v>
      </c>
      <c r="C3" s="164" t="s">
        <v>18</v>
      </c>
      <c r="D3" s="164"/>
      <c r="E3" s="212" t="s">
        <v>258</v>
      </c>
      <c r="F3" s="164" t="s">
        <v>259</v>
      </c>
      <c r="G3" s="212" t="s">
        <v>260</v>
      </c>
      <c r="H3" s="206" t="s">
        <v>261</v>
      </c>
      <c r="I3" s="204" t="s">
        <v>262</v>
      </c>
      <c r="J3" s="201" t="s">
        <v>24</v>
      </c>
      <c r="K3" s="211" t="s">
        <v>13</v>
      </c>
      <c r="L3" s="204" t="s">
        <v>262</v>
      </c>
      <c r="M3" s="201" t="s">
        <v>24</v>
      </c>
      <c r="N3" s="211" t="s">
        <v>13</v>
      </c>
      <c r="O3" s="204" t="s">
        <v>262</v>
      </c>
      <c r="P3" s="211" t="s">
        <v>13</v>
      </c>
      <c r="Q3" s="202" t="s">
        <v>263</v>
      </c>
      <c r="R3" s="182" t="s">
        <v>29</v>
      </c>
      <c r="S3" s="164" t="s">
        <v>30</v>
      </c>
      <c r="T3" s="164"/>
      <c r="U3" s="206" t="s">
        <v>31</v>
      </c>
      <c r="V3" s="206" t="s">
        <v>264</v>
      </c>
      <c r="W3" s="164" t="s">
        <v>265</v>
      </c>
      <c r="X3" s="164"/>
      <c r="Y3" s="207" t="s">
        <v>266</v>
      </c>
      <c r="Z3" s="168"/>
      <c r="AA3" s="208" t="s">
        <v>267</v>
      </c>
      <c r="AB3" s="209"/>
      <c r="AC3" s="207" t="s">
        <v>268</v>
      </c>
      <c r="AD3" s="168"/>
      <c r="AE3" s="201" t="s">
        <v>24</v>
      </c>
      <c r="AF3" s="202" t="s">
        <v>269</v>
      </c>
      <c r="AG3" s="182" t="s">
        <v>29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40</v>
      </c>
      <c r="X4" s="4" t="s">
        <v>270</v>
      </c>
      <c r="Y4" s="15" t="s">
        <v>42</v>
      </c>
      <c r="Z4" s="15" t="s">
        <v>43</v>
      </c>
      <c r="AA4" s="210"/>
      <c r="AB4" s="209"/>
      <c r="AC4" s="15" t="s">
        <v>271</v>
      </c>
      <c r="AD4" s="15" t="s">
        <v>272</v>
      </c>
      <c r="AE4" s="201"/>
      <c r="AF4" s="202"/>
      <c r="AG4" s="182"/>
    </row>
    <row r="5" spans="1:33">
      <c r="A5" s="203" t="s">
        <v>46</v>
      </c>
      <c r="B5" s="37" t="s">
        <v>78</v>
      </c>
      <c r="C5" s="205" t="s">
        <v>79</v>
      </c>
      <c r="D5" s="205"/>
      <c r="E5" s="37">
        <v>50.67</v>
      </c>
      <c r="F5" s="4">
        <v>1408</v>
      </c>
      <c r="G5" s="4">
        <v>71343.360000000001</v>
      </c>
      <c r="H5" s="22" t="s">
        <v>139</v>
      </c>
      <c r="I5" s="16">
        <v>17</v>
      </c>
      <c r="J5" s="18">
        <v>2000</v>
      </c>
      <c r="K5" s="17">
        <f t="shared" ref="K5:K68" si="0">J5/I5</f>
        <v>117.64705882352941</v>
      </c>
      <c r="L5" s="16">
        <v>17</v>
      </c>
      <c r="M5" s="18">
        <f t="shared" ref="M5:M10" si="1">F5/V5*60</f>
        <v>1920</v>
      </c>
      <c r="N5" s="17">
        <f t="shared" ref="N5:N68" si="2">M5/L5</f>
        <v>112.94117647058823</v>
      </c>
      <c r="O5" s="19">
        <f t="shared" ref="O5:O68" si="3">L5-I5</f>
        <v>0</v>
      </c>
      <c r="P5" s="20">
        <f t="shared" ref="P5:P68" si="4">N5-K5</f>
        <v>-4.705882352941174</v>
      </c>
      <c r="Q5" s="21">
        <f t="shared" ref="Q5:Q68" si="5">N5/K5</f>
        <v>0.96</v>
      </c>
      <c r="R5" s="172">
        <f>Q11</f>
        <v>0.96838961038961002</v>
      </c>
      <c r="S5" s="28">
        <v>0.70833333333333337</v>
      </c>
      <c r="T5" s="28">
        <v>0.73888888888888893</v>
      </c>
      <c r="U5" s="4"/>
      <c r="V5" s="22">
        <f t="shared" ref="V5:V10" si="6">(T5-S5)*24*60</f>
        <v>44</v>
      </c>
      <c r="W5" s="23"/>
      <c r="X5" s="24"/>
      <c r="Y5" s="24"/>
      <c r="Z5" s="24"/>
      <c r="AA5" s="164"/>
      <c r="AB5" s="164"/>
      <c r="AC5" s="25">
        <v>2</v>
      </c>
      <c r="AD5" s="25"/>
      <c r="AE5" s="19">
        <f t="shared" ref="AE5:AE65" si="7">M5-J5</f>
        <v>-80</v>
      </c>
      <c r="AF5" s="21">
        <f t="shared" ref="AF5:AF68" si="8">M5/J5</f>
        <v>0.96</v>
      </c>
      <c r="AG5" s="172">
        <f>AF11</f>
        <v>0.96838961038961013</v>
      </c>
    </row>
    <row r="6" spans="1:33">
      <c r="A6" s="204" t="s">
        <v>46</v>
      </c>
      <c r="B6" s="37" t="s">
        <v>78</v>
      </c>
      <c r="C6" s="205" t="s">
        <v>80</v>
      </c>
      <c r="D6" s="205"/>
      <c r="E6" s="37">
        <v>54.09</v>
      </c>
      <c r="F6" s="4">
        <v>1347</v>
      </c>
      <c r="G6" s="4">
        <v>72859.23000000001</v>
      </c>
      <c r="H6" s="22" t="s">
        <v>139</v>
      </c>
      <c r="I6" s="16">
        <v>19</v>
      </c>
      <c r="J6" s="18">
        <v>2000</v>
      </c>
      <c r="K6" s="17">
        <f t="shared" si="0"/>
        <v>105.26315789473684</v>
      </c>
      <c r="L6" s="16">
        <v>19</v>
      </c>
      <c r="M6" s="18">
        <f t="shared" si="1"/>
        <v>1924.2857142857138</v>
      </c>
      <c r="N6" s="17">
        <f t="shared" si="2"/>
        <v>101.27819548872178</v>
      </c>
      <c r="O6" s="19">
        <f t="shared" si="3"/>
        <v>0</v>
      </c>
      <c r="P6" s="20">
        <f t="shared" si="4"/>
        <v>-3.9849624060150575</v>
      </c>
      <c r="Q6" s="21">
        <f t="shared" si="5"/>
        <v>0.96214285714285697</v>
      </c>
      <c r="R6" s="172"/>
      <c r="S6" s="28">
        <v>0.74236111111111114</v>
      </c>
      <c r="T6" s="28">
        <v>0.77152777777777781</v>
      </c>
      <c r="U6" s="4">
        <f t="shared" ref="U6:U10" si="9">IF(S6=TIME(17,0,0),"",(S6-T5)*24*60)</f>
        <v>4.9999999999999822</v>
      </c>
      <c r="V6" s="22">
        <f t="shared" si="6"/>
        <v>42.000000000000014</v>
      </c>
      <c r="W6" s="23"/>
      <c r="X6" s="23"/>
      <c r="Y6" s="23"/>
      <c r="Z6" s="23"/>
      <c r="AA6" s="164"/>
      <c r="AB6" s="164"/>
      <c r="AC6" s="25"/>
      <c r="AD6" s="25"/>
      <c r="AE6" s="19">
        <f t="shared" si="7"/>
        <v>-75.714285714286234</v>
      </c>
      <c r="AF6" s="21">
        <f t="shared" si="8"/>
        <v>0.96214285714285686</v>
      </c>
      <c r="AG6" s="172"/>
    </row>
    <row r="7" spans="1:33">
      <c r="A7" s="204" t="s">
        <v>273</v>
      </c>
      <c r="B7" s="37" t="s">
        <v>78</v>
      </c>
      <c r="C7" s="196" t="s">
        <v>81</v>
      </c>
      <c r="D7" s="197"/>
      <c r="E7" s="37">
        <v>50.29</v>
      </c>
      <c r="F7" s="4">
        <v>918</v>
      </c>
      <c r="G7" s="4">
        <v>46166.22</v>
      </c>
      <c r="H7" s="22" t="s">
        <v>139</v>
      </c>
      <c r="I7" s="16">
        <v>16</v>
      </c>
      <c r="J7" s="18">
        <v>2000</v>
      </c>
      <c r="K7" s="17">
        <f t="shared" si="0"/>
        <v>125</v>
      </c>
      <c r="L7" s="16">
        <v>16</v>
      </c>
      <c r="M7" s="18">
        <f t="shared" si="1"/>
        <v>1967.1428571428528</v>
      </c>
      <c r="N7" s="17">
        <f t="shared" si="2"/>
        <v>122.9464285714283</v>
      </c>
      <c r="O7" s="19">
        <f t="shared" si="3"/>
        <v>0</v>
      </c>
      <c r="P7" s="20">
        <f t="shared" si="4"/>
        <v>-2.0535714285717006</v>
      </c>
      <c r="Q7" s="21">
        <f t="shared" si="5"/>
        <v>0.98357142857142643</v>
      </c>
      <c r="R7" s="172"/>
      <c r="S7" s="28">
        <v>0.77500000000000002</v>
      </c>
      <c r="T7" s="28">
        <v>0.79444444444444451</v>
      </c>
      <c r="U7" s="4">
        <f t="shared" si="9"/>
        <v>4.9999999999999822</v>
      </c>
      <c r="V7" s="22">
        <f t="shared" si="6"/>
        <v>28.00000000000006</v>
      </c>
      <c r="W7" s="23"/>
      <c r="X7" s="23"/>
      <c r="Y7" s="26"/>
      <c r="Z7" s="26"/>
      <c r="AA7" s="175"/>
      <c r="AB7" s="176"/>
      <c r="AC7" s="27"/>
      <c r="AD7" s="27"/>
      <c r="AE7" s="19">
        <f t="shared" si="7"/>
        <v>-32.85714285714721</v>
      </c>
      <c r="AF7" s="21">
        <f t="shared" si="8"/>
        <v>0.98357142857142643</v>
      </c>
      <c r="AG7" s="172"/>
    </row>
    <row r="8" spans="1:33">
      <c r="A8" s="204" t="s">
        <v>274</v>
      </c>
      <c r="B8" s="37" t="s">
        <v>78</v>
      </c>
      <c r="C8" s="196" t="s">
        <v>82</v>
      </c>
      <c r="D8" s="197"/>
      <c r="E8" s="37">
        <v>57.3</v>
      </c>
      <c r="F8" s="4">
        <v>700</v>
      </c>
      <c r="G8" s="4">
        <v>40110</v>
      </c>
      <c r="H8" s="22">
        <v>2</v>
      </c>
      <c r="I8" s="16">
        <v>15</v>
      </c>
      <c r="J8" s="18">
        <v>2000</v>
      </c>
      <c r="K8" s="17">
        <f t="shared" si="0"/>
        <v>133.33333333333334</v>
      </c>
      <c r="L8" s="16">
        <v>15</v>
      </c>
      <c r="M8" s="18">
        <f t="shared" si="1"/>
        <v>1909.0909090909158</v>
      </c>
      <c r="N8" s="17">
        <f t="shared" si="2"/>
        <v>127.27272727272772</v>
      </c>
      <c r="O8" s="19">
        <f t="shared" si="3"/>
        <v>0</v>
      </c>
      <c r="P8" s="20">
        <f t="shared" si="4"/>
        <v>-6.0606060606056218</v>
      </c>
      <c r="Q8" s="21">
        <f t="shared" si="5"/>
        <v>0.95454545454545781</v>
      </c>
      <c r="R8" s="172"/>
      <c r="S8" s="28">
        <v>0.7993055555555556</v>
      </c>
      <c r="T8" s="28">
        <v>0.81458333333333333</v>
      </c>
      <c r="U8" s="4">
        <f t="shared" si="9"/>
        <v>6.9999999999999751</v>
      </c>
      <c r="V8" s="22">
        <f t="shared" si="6"/>
        <v>21.999999999999922</v>
      </c>
      <c r="W8" s="28"/>
      <c r="X8" s="28"/>
      <c r="Y8" s="29"/>
      <c r="Z8" s="29"/>
      <c r="AA8" s="175"/>
      <c r="AB8" s="176"/>
      <c r="AC8" s="27"/>
      <c r="AD8" s="27"/>
      <c r="AE8" s="19">
        <f t="shared" si="7"/>
        <v>-90.909090909084171</v>
      </c>
      <c r="AF8" s="21">
        <f t="shared" si="8"/>
        <v>0.95454545454545792</v>
      </c>
      <c r="AG8" s="172"/>
    </row>
    <row r="9" spans="1:33">
      <c r="A9" s="204" t="s">
        <v>46</v>
      </c>
      <c r="B9" s="37" t="s">
        <v>78</v>
      </c>
      <c r="C9" s="196" t="s">
        <v>83</v>
      </c>
      <c r="D9" s="197"/>
      <c r="E9" s="37">
        <v>50.67</v>
      </c>
      <c r="F9" s="4">
        <v>1074</v>
      </c>
      <c r="G9" s="4">
        <v>54419.58</v>
      </c>
      <c r="H9" s="22" t="s">
        <v>139</v>
      </c>
      <c r="I9" s="16">
        <v>21</v>
      </c>
      <c r="J9" s="18">
        <v>2000</v>
      </c>
      <c r="K9" s="17">
        <f t="shared" si="0"/>
        <v>95.238095238095241</v>
      </c>
      <c r="L9" s="16">
        <v>21</v>
      </c>
      <c r="M9" s="18">
        <f t="shared" si="1"/>
        <v>1952.7272727272702</v>
      </c>
      <c r="N9" s="17">
        <f t="shared" si="2"/>
        <v>92.987012987012875</v>
      </c>
      <c r="O9" s="19">
        <f t="shared" si="3"/>
        <v>0</v>
      </c>
      <c r="P9" s="20">
        <f t="shared" si="4"/>
        <v>-2.2510822510823658</v>
      </c>
      <c r="Q9" s="21">
        <f t="shared" si="5"/>
        <v>0.97636363636363521</v>
      </c>
      <c r="R9" s="172"/>
      <c r="S9" s="28">
        <v>0.81874999999999998</v>
      </c>
      <c r="T9" s="28">
        <v>0.84166666666666667</v>
      </c>
      <c r="U9" s="4">
        <f t="shared" si="9"/>
        <v>5.9999999999999787</v>
      </c>
      <c r="V9" s="22">
        <f t="shared" si="6"/>
        <v>33.000000000000043</v>
      </c>
      <c r="W9" s="23">
        <f>T9</f>
        <v>0.84166666666666667</v>
      </c>
      <c r="X9" s="23">
        <f>S10</f>
        <v>0.88124999999999998</v>
      </c>
      <c r="Y9" s="26"/>
      <c r="Z9" s="26"/>
      <c r="AA9" s="175"/>
      <c r="AB9" s="176"/>
      <c r="AC9" s="27"/>
      <c r="AD9" s="27"/>
      <c r="AE9" s="19">
        <f t="shared" si="7"/>
        <v>-47.272727272729753</v>
      </c>
      <c r="AF9" s="21">
        <f t="shared" si="8"/>
        <v>0.9763636363636351</v>
      </c>
      <c r="AG9" s="172"/>
    </row>
    <row r="10" spans="1:33">
      <c r="A10" s="204" t="s">
        <v>275</v>
      </c>
      <c r="B10" s="37" t="s">
        <v>78</v>
      </c>
      <c r="C10" s="196" t="s">
        <v>82</v>
      </c>
      <c r="D10" s="197"/>
      <c r="E10" s="37">
        <v>57.3</v>
      </c>
      <c r="F10" s="4">
        <v>1136</v>
      </c>
      <c r="G10" s="4">
        <v>65092.799999999996</v>
      </c>
      <c r="H10" s="22" t="s">
        <v>139</v>
      </c>
      <c r="I10" s="16">
        <v>15</v>
      </c>
      <c r="J10" s="18">
        <v>2000</v>
      </c>
      <c r="K10" s="17">
        <f t="shared" si="0"/>
        <v>133.33333333333334</v>
      </c>
      <c r="L10" s="16">
        <v>15</v>
      </c>
      <c r="M10" s="18">
        <f t="shared" si="1"/>
        <v>1947.4285714285697</v>
      </c>
      <c r="N10" s="17">
        <f t="shared" si="2"/>
        <v>129.82857142857131</v>
      </c>
      <c r="O10" s="19">
        <f t="shared" si="3"/>
        <v>0</v>
      </c>
      <c r="P10" s="20">
        <f t="shared" si="4"/>
        <v>-3.5047619047620344</v>
      </c>
      <c r="Q10" s="21">
        <f t="shared" si="5"/>
        <v>0.97371428571428476</v>
      </c>
      <c r="R10" s="172"/>
      <c r="S10" s="28">
        <v>0.88124999999999998</v>
      </c>
      <c r="T10" s="28">
        <v>0.90555555555555556</v>
      </c>
      <c r="U10" s="4">
        <f t="shared" si="9"/>
        <v>56.999999999999957</v>
      </c>
      <c r="V10" s="22">
        <f t="shared" si="6"/>
        <v>35.000000000000036</v>
      </c>
      <c r="W10" s="23"/>
      <c r="X10" s="23"/>
      <c r="Y10" s="26"/>
      <c r="Z10" s="26"/>
      <c r="AA10" s="175"/>
      <c r="AB10" s="176"/>
      <c r="AC10" s="27"/>
      <c r="AD10" s="27"/>
      <c r="AE10" s="19">
        <f t="shared" si="7"/>
        <v>-52.57142857143026</v>
      </c>
      <c r="AF10" s="21">
        <f t="shared" si="8"/>
        <v>0.97371428571428487</v>
      </c>
      <c r="AG10" s="172"/>
    </row>
    <row r="11" spans="1:33">
      <c r="A11" s="204" t="s">
        <v>275</v>
      </c>
      <c r="B11" s="37" t="s">
        <v>276</v>
      </c>
      <c r="C11" s="177"/>
      <c r="D11" s="177"/>
      <c r="E11" s="38"/>
      <c r="F11" s="17"/>
      <c r="G11" s="17"/>
      <c r="H11" s="4"/>
      <c r="I11" s="30">
        <v>17.166666666666668</v>
      </c>
      <c r="J11" s="18">
        <v>2000</v>
      </c>
      <c r="K11" s="17">
        <f t="shared" si="0"/>
        <v>116.50485436893203</v>
      </c>
      <c r="L11" s="30">
        <v>17.166666666666668</v>
      </c>
      <c r="M11" s="18">
        <f>AVERAGE(M5:M10)</f>
        <v>1936.7792207792202</v>
      </c>
      <c r="N11" s="17">
        <f t="shared" si="2"/>
        <v>112.82209053082835</v>
      </c>
      <c r="O11" s="19">
        <f t="shared" si="3"/>
        <v>0</v>
      </c>
      <c r="P11" s="20">
        <f t="shared" si="4"/>
        <v>-3.682763838103682</v>
      </c>
      <c r="Q11" s="21">
        <f t="shared" si="5"/>
        <v>0.96838961038961002</v>
      </c>
      <c r="R11" s="172"/>
      <c r="S11" s="28"/>
      <c r="T11" s="28"/>
      <c r="U11" s="4"/>
      <c r="V11" s="22"/>
      <c r="W11" s="17"/>
      <c r="X11" s="17"/>
      <c r="Y11" s="31">
        <f>SUM(Y5:Y10)</f>
        <v>0</v>
      </c>
      <c r="Z11" s="31">
        <f>SUM(Z5:Z10)</f>
        <v>0</v>
      </c>
      <c r="AA11" s="168"/>
      <c r="AB11" s="168"/>
      <c r="AC11" s="31">
        <v>2</v>
      </c>
      <c r="AD11" s="31">
        <f>SUM(AD5:AD10)</f>
        <v>0</v>
      </c>
      <c r="AE11" s="19">
        <f t="shared" si="7"/>
        <v>-63.220779220779832</v>
      </c>
      <c r="AF11" s="21">
        <f t="shared" si="8"/>
        <v>0.96838961038961013</v>
      </c>
      <c r="AG11" s="172"/>
    </row>
    <row r="12" spans="1:33" ht="15.75" customHeight="1">
      <c r="A12" s="200" t="s">
        <v>277</v>
      </c>
      <c r="B12" s="37" t="s">
        <v>84</v>
      </c>
      <c r="C12" s="196" t="s">
        <v>85</v>
      </c>
      <c r="D12" s="197"/>
      <c r="E12" s="37">
        <v>39.619999999999997</v>
      </c>
      <c r="F12" s="4">
        <v>3410</v>
      </c>
      <c r="G12" s="4">
        <v>135104.19999999998</v>
      </c>
      <c r="H12" s="22" t="s">
        <v>139</v>
      </c>
      <c r="I12" s="16">
        <v>19</v>
      </c>
      <c r="J12" s="18">
        <v>1500</v>
      </c>
      <c r="K12" s="17">
        <f t="shared" si="0"/>
        <v>78.94736842105263</v>
      </c>
      <c r="L12" s="16">
        <v>19</v>
      </c>
      <c r="M12" s="18">
        <f t="shared" ref="M12:M13" si="10">F12/V12*60</f>
        <v>1430.7692307692305</v>
      </c>
      <c r="N12" s="17">
        <f t="shared" si="2"/>
        <v>75.303643724696343</v>
      </c>
      <c r="O12" s="19">
        <f t="shared" si="3"/>
        <v>0</v>
      </c>
      <c r="P12" s="20">
        <f t="shared" si="4"/>
        <v>-3.643724696356287</v>
      </c>
      <c r="Q12" s="21">
        <f t="shared" si="5"/>
        <v>0.95384615384615368</v>
      </c>
      <c r="R12" s="172">
        <f>Q14</f>
        <v>0.95390583554376651</v>
      </c>
      <c r="S12" s="28">
        <v>0.20833333333333334</v>
      </c>
      <c r="T12" s="28">
        <v>0.30763888888888891</v>
      </c>
      <c r="U12" s="4"/>
      <c r="V12" s="22">
        <f t="shared" ref="V12:V13" si="11">(T12-S12)*24*60</f>
        <v>143.00000000000003</v>
      </c>
      <c r="W12" s="23"/>
      <c r="X12" s="23"/>
      <c r="Y12" s="23"/>
      <c r="Z12" s="23"/>
      <c r="AA12" s="164"/>
      <c r="AB12" s="164"/>
      <c r="AC12" s="25">
        <v>2</v>
      </c>
      <c r="AD12" s="25"/>
      <c r="AE12" s="19">
        <f t="shared" si="7"/>
        <v>-69.230769230769511</v>
      </c>
      <c r="AF12" s="21">
        <f t="shared" si="8"/>
        <v>0.95384615384615368</v>
      </c>
      <c r="AG12" s="172">
        <f>AF14</f>
        <v>0.9539058355437664</v>
      </c>
    </row>
    <row r="13" spans="1:33" ht="15.75" customHeight="1">
      <c r="A13" s="200" t="s">
        <v>278</v>
      </c>
      <c r="B13" s="37" t="s">
        <v>84</v>
      </c>
      <c r="C13" s="196" t="s">
        <v>86</v>
      </c>
      <c r="D13" s="197"/>
      <c r="E13" s="37">
        <v>39.799999999999997</v>
      </c>
      <c r="F13" s="4">
        <v>5533</v>
      </c>
      <c r="G13" s="4">
        <v>220213.4</v>
      </c>
      <c r="H13" s="22" t="s">
        <v>139</v>
      </c>
      <c r="I13" s="16">
        <v>17</v>
      </c>
      <c r="J13" s="18">
        <v>1500</v>
      </c>
      <c r="K13" s="17">
        <f t="shared" si="0"/>
        <v>88.235294117647058</v>
      </c>
      <c r="L13" s="16">
        <v>17</v>
      </c>
      <c r="M13" s="18">
        <f t="shared" si="10"/>
        <v>1430.9482758620691</v>
      </c>
      <c r="N13" s="17">
        <f t="shared" si="2"/>
        <v>84.173427991886413</v>
      </c>
      <c r="O13" s="19">
        <f t="shared" si="3"/>
        <v>0</v>
      </c>
      <c r="P13" s="20">
        <f t="shared" si="4"/>
        <v>-4.0618661257606448</v>
      </c>
      <c r="Q13" s="21">
        <f t="shared" si="5"/>
        <v>0.95396551724137935</v>
      </c>
      <c r="R13" s="172"/>
      <c r="S13" s="28">
        <v>0.31111111111111112</v>
      </c>
      <c r="T13" s="28">
        <v>0.47222222222222221</v>
      </c>
      <c r="U13" s="4">
        <f t="shared" ref="U13" si="12">IF(S13=TIME(17,0,0),"",(S13-T12)*24*60)</f>
        <v>4.9999999999999822</v>
      </c>
      <c r="V13" s="22">
        <f t="shared" si="11"/>
        <v>231.99999999999997</v>
      </c>
      <c r="W13" s="23"/>
      <c r="X13" s="23"/>
      <c r="Y13" s="23"/>
      <c r="Z13" s="23"/>
      <c r="AA13" s="164"/>
      <c r="AB13" s="164"/>
      <c r="AC13" s="25"/>
      <c r="AD13" s="25"/>
      <c r="AE13" s="19">
        <f t="shared" si="7"/>
        <v>-69.051724137930933</v>
      </c>
      <c r="AF13" s="21">
        <f t="shared" si="8"/>
        <v>0.95396551724137935</v>
      </c>
      <c r="AG13" s="172"/>
    </row>
    <row r="14" spans="1:33" ht="16.5" customHeight="1">
      <c r="A14" s="200" t="s">
        <v>278</v>
      </c>
      <c r="B14" s="37" t="s">
        <v>279</v>
      </c>
      <c r="C14" s="177"/>
      <c r="D14" s="177"/>
      <c r="E14" s="38"/>
      <c r="F14" s="18"/>
      <c r="G14" s="18"/>
      <c r="H14" s="4"/>
      <c r="I14" s="30">
        <v>18</v>
      </c>
      <c r="J14" s="18">
        <v>1500</v>
      </c>
      <c r="K14" s="17">
        <f t="shared" si="0"/>
        <v>83.333333333333329</v>
      </c>
      <c r="L14" s="30">
        <v>18</v>
      </c>
      <c r="M14" s="18">
        <f>AVERAGE(M12:M13)</f>
        <v>1430.8587533156497</v>
      </c>
      <c r="N14" s="17">
        <f t="shared" si="2"/>
        <v>79.492152961980537</v>
      </c>
      <c r="O14" s="19">
        <f t="shared" si="3"/>
        <v>0</v>
      </c>
      <c r="P14" s="20">
        <f t="shared" si="4"/>
        <v>-3.8411803713527917</v>
      </c>
      <c r="Q14" s="21">
        <f t="shared" si="5"/>
        <v>0.95390583554376651</v>
      </c>
      <c r="R14" s="172"/>
      <c r="S14" s="28"/>
      <c r="T14" s="28"/>
      <c r="U14" s="17"/>
      <c r="V14" s="22"/>
      <c r="W14" s="17"/>
      <c r="X14" s="17"/>
      <c r="Y14" s="31">
        <f>SUM(Y12:Y13)</f>
        <v>0</v>
      </c>
      <c r="Z14" s="31">
        <f>SUM(Z12:Z13)</f>
        <v>0</v>
      </c>
      <c r="AA14" s="168"/>
      <c r="AB14" s="168"/>
      <c r="AC14" s="31">
        <v>2</v>
      </c>
      <c r="AD14" s="31">
        <f>SUM(AD12:AD13)</f>
        <v>0</v>
      </c>
      <c r="AE14" s="19">
        <f t="shared" si="7"/>
        <v>-69.141246684350335</v>
      </c>
      <c r="AF14" s="21">
        <f t="shared" si="8"/>
        <v>0.9539058355437664</v>
      </c>
      <c r="AG14" s="172"/>
    </row>
    <row r="15" spans="1:33" ht="16.5" customHeight="1">
      <c r="A15" s="198" t="s">
        <v>280</v>
      </c>
      <c r="B15" s="4" t="s">
        <v>87</v>
      </c>
      <c r="C15" s="190" t="s">
        <v>88</v>
      </c>
      <c r="D15" s="190"/>
      <c r="E15" s="37">
        <v>41</v>
      </c>
      <c r="F15" s="4">
        <v>2434</v>
      </c>
      <c r="G15" s="4">
        <v>99794</v>
      </c>
      <c r="H15" s="22" t="s">
        <v>139</v>
      </c>
      <c r="I15" s="16">
        <v>26</v>
      </c>
      <c r="J15" s="18">
        <v>1500</v>
      </c>
      <c r="K15" s="17">
        <f t="shared" si="0"/>
        <v>57.692307692307693</v>
      </c>
      <c r="L15" s="16">
        <v>26</v>
      </c>
      <c r="M15" s="18">
        <f t="shared" ref="M15:M21" si="13">F15/V15*60</f>
        <v>1431.7647058823529</v>
      </c>
      <c r="N15" s="17">
        <f t="shared" si="2"/>
        <v>55.067873303167417</v>
      </c>
      <c r="O15" s="19">
        <f t="shared" si="3"/>
        <v>0</v>
      </c>
      <c r="P15" s="20">
        <f t="shared" si="4"/>
        <v>-2.6244343891402764</v>
      </c>
      <c r="Q15" s="21">
        <f t="shared" si="5"/>
        <v>0.95450980392156859</v>
      </c>
      <c r="R15" s="172">
        <f>Q22</f>
        <v>0.95856715221261279</v>
      </c>
      <c r="S15" s="28">
        <v>0.20833333333333334</v>
      </c>
      <c r="T15" s="28">
        <v>0.27916666666666667</v>
      </c>
      <c r="U15" s="4"/>
      <c r="V15" s="22">
        <f t="shared" ref="V15:V21" si="14">(T15-S15)*24*60</f>
        <v>102</v>
      </c>
      <c r="W15" s="28"/>
      <c r="X15" s="28"/>
      <c r="Y15" s="28"/>
      <c r="Z15" s="28"/>
      <c r="AA15" s="164"/>
      <c r="AB15" s="164"/>
      <c r="AC15" s="25">
        <v>3</v>
      </c>
      <c r="AD15" s="25"/>
      <c r="AE15" s="19">
        <f t="shared" si="7"/>
        <v>-68.235294117647072</v>
      </c>
      <c r="AF15" s="21">
        <f t="shared" si="8"/>
        <v>0.95450980392156859</v>
      </c>
      <c r="AG15" s="172">
        <f>AF22</f>
        <v>0.95856715221261279</v>
      </c>
    </row>
    <row r="16" spans="1:33" ht="16.5" customHeight="1">
      <c r="A16" s="199" t="s">
        <v>280</v>
      </c>
      <c r="B16" s="4" t="s">
        <v>89</v>
      </c>
      <c r="C16" s="190" t="s">
        <v>90</v>
      </c>
      <c r="D16" s="190"/>
      <c r="E16" s="37">
        <v>72.400000000000006</v>
      </c>
      <c r="F16" s="4">
        <v>910</v>
      </c>
      <c r="G16" s="4">
        <v>65884</v>
      </c>
      <c r="H16" s="22" t="s">
        <v>139</v>
      </c>
      <c r="I16" s="16">
        <v>18</v>
      </c>
      <c r="J16" s="18">
        <v>1500</v>
      </c>
      <c r="K16" s="17">
        <f t="shared" si="0"/>
        <v>83.333333333333329</v>
      </c>
      <c r="L16" s="16">
        <v>18</v>
      </c>
      <c r="M16" s="18">
        <f t="shared" si="13"/>
        <v>1436.8421052631568</v>
      </c>
      <c r="N16" s="17">
        <f t="shared" si="2"/>
        <v>79.82456140350871</v>
      </c>
      <c r="O16" s="19">
        <f t="shared" si="3"/>
        <v>0</v>
      </c>
      <c r="P16" s="20">
        <f t="shared" si="4"/>
        <v>-3.5087719298246185</v>
      </c>
      <c r="Q16" s="21">
        <f t="shared" si="5"/>
        <v>0.95789473684210458</v>
      </c>
      <c r="R16" s="172"/>
      <c r="S16" s="28">
        <v>0.28402777777777777</v>
      </c>
      <c r="T16" s="28">
        <v>0.31041666666666667</v>
      </c>
      <c r="U16" s="4">
        <f t="shared" ref="U16:U21" si="15">IF(S16=TIME(17,0,0),"",(S16-T15)*24*60)</f>
        <v>6.9999999999999751</v>
      </c>
      <c r="V16" s="22">
        <f t="shared" si="14"/>
        <v>38.000000000000028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7"/>
        <v>-63.157894736843218</v>
      </c>
      <c r="AF16" s="21">
        <f t="shared" si="8"/>
        <v>0.95789473684210447</v>
      </c>
      <c r="AG16" s="172"/>
    </row>
    <row r="17" spans="1:33" ht="16.5" customHeight="1">
      <c r="A17" s="199" t="s">
        <v>280</v>
      </c>
      <c r="B17" s="4" t="s">
        <v>78</v>
      </c>
      <c r="C17" s="190" t="s">
        <v>91</v>
      </c>
      <c r="D17" s="190"/>
      <c r="E17" s="37">
        <v>50.98</v>
      </c>
      <c r="F17" s="4">
        <v>1000</v>
      </c>
      <c r="G17" s="4">
        <v>50980</v>
      </c>
      <c r="H17" s="22">
        <v>2</v>
      </c>
      <c r="I17" s="16">
        <v>16</v>
      </c>
      <c r="J17" s="18">
        <v>2000</v>
      </c>
      <c r="K17" s="17">
        <f t="shared" si="0"/>
        <v>125</v>
      </c>
      <c r="L17" s="16">
        <v>16</v>
      </c>
      <c r="M17" s="18">
        <f t="shared" si="13"/>
        <v>1935.483870967739</v>
      </c>
      <c r="N17" s="17">
        <f t="shared" si="2"/>
        <v>120.96774193548369</v>
      </c>
      <c r="O17" s="19">
        <f t="shared" si="3"/>
        <v>0</v>
      </c>
      <c r="P17" s="20">
        <f t="shared" si="4"/>
        <v>-4.0322580645163129</v>
      </c>
      <c r="Q17" s="21">
        <f t="shared" si="5"/>
        <v>0.96774193548386944</v>
      </c>
      <c r="R17" s="172"/>
      <c r="S17" s="28">
        <v>0.70833333333333337</v>
      </c>
      <c r="T17" s="28">
        <v>0.72986111111111118</v>
      </c>
      <c r="U17" s="4" t="str">
        <f t="shared" si="15"/>
        <v/>
      </c>
      <c r="V17" s="22">
        <f t="shared" si="14"/>
        <v>31.00000000000005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7"/>
        <v>-64.516129032261006</v>
      </c>
      <c r="AF17" s="21">
        <f t="shared" si="8"/>
        <v>0.96774193548386944</v>
      </c>
      <c r="AG17" s="172"/>
    </row>
    <row r="18" spans="1:33" ht="16.5" customHeight="1">
      <c r="A18" s="199" t="s">
        <v>280</v>
      </c>
      <c r="B18" s="4" t="s">
        <v>78</v>
      </c>
      <c r="C18" s="190" t="s">
        <v>92</v>
      </c>
      <c r="D18" s="190"/>
      <c r="E18" s="37">
        <v>50.92</v>
      </c>
      <c r="F18" s="4">
        <v>800</v>
      </c>
      <c r="G18" s="4">
        <v>40736</v>
      </c>
      <c r="H18" s="22">
        <v>2</v>
      </c>
      <c r="I18" s="16">
        <v>15</v>
      </c>
      <c r="J18" s="18">
        <v>2000</v>
      </c>
      <c r="K18" s="17">
        <f t="shared" si="0"/>
        <v>133.33333333333334</v>
      </c>
      <c r="L18" s="16">
        <v>15</v>
      </c>
      <c r="M18" s="18">
        <f t="shared" si="13"/>
        <v>1919.9999999999945</v>
      </c>
      <c r="N18" s="17">
        <f t="shared" si="2"/>
        <v>127.99999999999963</v>
      </c>
      <c r="O18" s="19">
        <f t="shared" si="3"/>
        <v>0</v>
      </c>
      <c r="P18" s="20">
        <f t="shared" si="4"/>
        <v>-5.3333333333337123</v>
      </c>
      <c r="Q18" s="21">
        <f t="shared" si="5"/>
        <v>0.95999999999999719</v>
      </c>
      <c r="R18" s="172"/>
      <c r="S18" s="28">
        <v>0.73541666666666672</v>
      </c>
      <c r="T18" s="28">
        <v>0.75277777777777788</v>
      </c>
      <c r="U18" s="4">
        <f t="shared" si="15"/>
        <v>7.9999999999999716</v>
      </c>
      <c r="V18" s="22">
        <f t="shared" si="14"/>
        <v>25.000000000000071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7"/>
        <v>-80.000000000005457</v>
      </c>
      <c r="AF18" s="21">
        <f t="shared" si="8"/>
        <v>0.9599999999999973</v>
      </c>
      <c r="AG18" s="172"/>
    </row>
    <row r="19" spans="1:33" ht="16.5" customHeight="1">
      <c r="A19" s="199" t="s">
        <v>280</v>
      </c>
      <c r="B19" s="4" t="s">
        <v>78</v>
      </c>
      <c r="C19" s="190" t="s">
        <v>93</v>
      </c>
      <c r="D19" s="190"/>
      <c r="E19" s="37">
        <v>50.67</v>
      </c>
      <c r="F19" s="4">
        <v>1744</v>
      </c>
      <c r="G19" s="4">
        <v>88368.48</v>
      </c>
      <c r="H19" s="22" t="s">
        <v>139</v>
      </c>
      <c r="I19" s="16">
        <v>15</v>
      </c>
      <c r="J19" s="18">
        <v>2000</v>
      </c>
      <c r="K19" s="17">
        <f t="shared" si="0"/>
        <v>133.33333333333334</v>
      </c>
      <c r="L19" s="16">
        <v>15</v>
      </c>
      <c r="M19" s="18">
        <f t="shared" si="13"/>
        <v>1902.5454545454556</v>
      </c>
      <c r="N19" s="17">
        <f t="shared" si="2"/>
        <v>126.83636363636371</v>
      </c>
      <c r="O19" s="19">
        <f t="shared" si="3"/>
        <v>0</v>
      </c>
      <c r="P19" s="20">
        <f t="shared" si="4"/>
        <v>-6.4969696969696287</v>
      </c>
      <c r="Q19" s="21">
        <f t="shared" si="5"/>
        <v>0.95127272727272782</v>
      </c>
      <c r="R19" s="172"/>
      <c r="S19" s="28">
        <v>0.75833333333333341</v>
      </c>
      <c r="T19" s="28">
        <v>0.79652777777777783</v>
      </c>
      <c r="U19" s="4">
        <f t="shared" si="15"/>
        <v>7.9999999999999716</v>
      </c>
      <c r="V19" s="22">
        <f t="shared" si="14"/>
        <v>54.999999999999964</v>
      </c>
      <c r="W19" s="23"/>
      <c r="X19" s="23"/>
      <c r="Y19" s="23"/>
      <c r="Z19" s="23"/>
      <c r="AA19" s="164"/>
      <c r="AB19" s="164"/>
      <c r="AC19" s="25"/>
      <c r="AD19" s="25"/>
      <c r="AE19" s="19">
        <f t="shared" si="7"/>
        <v>-97.454545454544359</v>
      </c>
      <c r="AF19" s="21">
        <f t="shared" si="8"/>
        <v>0.95127272727272782</v>
      </c>
      <c r="AG19" s="172"/>
    </row>
    <row r="20" spans="1:33" ht="16.5" customHeight="1">
      <c r="A20" s="199" t="s">
        <v>280</v>
      </c>
      <c r="B20" s="4" t="s">
        <v>78</v>
      </c>
      <c r="C20" s="217" t="s">
        <v>94</v>
      </c>
      <c r="D20" s="218"/>
      <c r="E20" s="37">
        <v>57.3</v>
      </c>
      <c r="F20" s="4">
        <v>1984</v>
      </c>
      <c r="G20" s="4">
        <v>113683.2</v>
      </c>
      <c r="H20" s="22" t="s">
        <v>139</v>
      </c>
      <c r="I20" s="16">
        <v>13</v>
      </c>
      <c r="J20" s="18">
        <v>2000</v>
      </c>
      <c r="K20" s="17">
        <f t="shared" si="0"/>
        <v>153.84615384615384</v>
      </c>
      <c r="L20" s="16">
        <v>13</v>
      </c>
      <c r="M20" s="18">
        <f t="shared" si="13"/>
        <v>1920.0000000000018</v>
      </c>
      <c r="N20" s="17">
        <f t="shared" si="2"/>
        <v>147.69230769230782</v>
      </c>
      <c r="O20" s="19">
        <f t="shared" si="3"/>
        <v>0</v>
      </c>
      <c r="P20" s="20">
        <f t="shared" si="4"/>
        <v>-6.1538461538460183</v>
      </c>
      <c r="Q20" s="21">
        <f t="shared" si="5"/>
        <v>0.96000000000000085</v>
      </c>
      <c r="R20" s="172"/>
      <c r="S20" s="28">
        <v>0.80208333333333337</v>
      </c>
      <c r="T20" s="28">
        <v>0.84513888888888888</v>
      </c>
      <c r="U20" s="4">
        <f t="shared" si="15"/>
        <v>7.9999999999999716</v>
      </c>
      <c r="V20" s="22">
        <f t="shared" si="14"/>
        <v>61.999999999999943</v>
      </c>
      <c r="W20" s="23">
        <f>T20</f>
        <v>0.84513888888888888</v>
      </c>
      <c r="X20" s="23">
        <f>S21</f>
        <v>0.88611111111111107</v>
      </c>
      <c r="Y20" s="26"/>
      <c r="Z20" s="26"/>
      <c r="AA20" s="175"/>
      <c r="AB20" s="176"/>
      <c r="AC20" s="25"/>
      <c r="AD20" s="25"/>
      <c r="AE20" s="19">
        <f t="shared" si="7"/>
        <v>-79.999999999998181</v>
      </c>
      <c r="AF20" s="21">
        <f t="shared" si="8"/>
        <v>0.96000000000000096</v>
      </c>
      <c r="AG20" s="172"/>
    </row>
    <row r="21" spans="1:33" ht="16.5" customHeight="1">
      <c r="A21" s="199" t="s">
        <v>280</v>
      </c>
      <c r="B21" s="4" t="s">
        <v>78</v>
      </c>
      <c r="C21" s="39" t="s">
        <v>92</v>
      </c>
      <c r="D21" s="40"/>
      <c r="E21" s="37">
        <v>50.92</v>
      </c>
      <c r="F21" s="4">
        <v>1819</v>
      </c>
      <c r="G21" s="4">
        <v>92623.48</v>
      </c>
      <c r="H21" s="22" t="s">
        <v>139</v>
      </c>
      <c r="I21" s="16">
        <v>15</v>
      </c>
      <c r="J21" s="18">
        <v>2000</v>
      </c>
      <c r="K21" s="17">
        <f t="shared" si="0"/>
        <v>133.33333333333334</v>
      </c>
      <c r="L21" s="16">
        <v>15</v>
      </c>
      <c r="M21" s="18">
        <f t="shared" si="13"/>
        <v>1914.7368421052645</v>
      </c>
      <c r="N21" s="17">
        <f t="shared" si="2"/>
        <v>127.64912280701763</v>
      </c>
      <c r="O21" s="19">
        <f t="shared" si="3"/>
        <v>0</v>
      </c>
      <c r="P21" s="20">
        <f t="shared" si="4"/>
        <v>-5.6842105263157094</v>
      </c>
      <c r="Q21" s="21">
        <f t="shared" si="5"/>
        <v>0.9573684210526322</v>
      </c>
      <c r="R21" s="172"/>
      <c r="S21" s="28">
        <v>0.88611111111111107</v>
      </c>
      <c r="T21" s="28">
        <v>0.92569444444444438</v>
      </c>
      <c r="U21" s="4">
        <f t="shared" si="15"/>
        <v>58.99999999999995</v>
      </c>
      <c r="V21" s="22">
        <f t="shared" si="14"/>
        <v>56.999999999999957</v>
      </c>
      <c r="W21" s="23"/>
      <c r="X21" s="23"/>
      <c r="Y21" s="26"/>
      <c r="Z21" s="26"/>
      <c r="AA21" s="175"/>
      <c r="AB21" s="176"/>
      <c r="AC21" s="25"/>
      <c r="AD21" s="25"/>
      <c r="AE21" s="19">
        <f t="shared" si="7"/>
        <v>-85.263157894735514</v>
      </c>
      <c r="AF21" s="21">
        <f t="shared" si="8"/>
        <v>0.9573684210526322</v>
      </c>
      <c r="AG21" s="172"/>
    </row>
    <row r="22" spans="1:33" ht="16.5" customHeight="1">
      <c r="A22" s="199" t="s">
        <v>280</v>
      </c>
      <c r="B22" s="37" t="s">
        <v>279</v>
      </c>
      <c r="C22" s="177"/>
      <c r="D22" s="177"/>
      <c r="E22" s="38"/>
      <c r="F22" s="17"/>
      <c r="G22" s="17"/>
      <c r="H22" s="4"/>
      <c r="I22" s="30">
        <v>16.857142857142858</v>
      </c>
      <c r="J22" s="18">
        <v>1857.1428571428571</v>
      </c>
      <c r="K22" s="17">
        <f t="shared" si="0"/>
        <v>110.16949152542372</v>
      </c>
      <c r="L22" s="30">
        <v>16.857142857142858</v>
      </c>
      <c r="M22" s="18">
        <f>AVERAGE(M15:M21)</f>
        <v>1780.1961398234237</v>
      </c>
      <c r="N22" s="17">
        <f t="shared" si="2"/>
        <v>105.604855752237</v>
      </c>
      <c r="O22" s="19">
        <f t="shared" si="3"/>
        <v>0</v>
      </c>
      <c r="P22" s="20">
        <f t="shared" si="4"/>
        <v>-4.5646357731867226</v>
      </c>
      <c r="Q22" s="21">
        <f t="shared" si="5"/>
        <v>0.95856715221261279</v>
      </c>
      <c r="R22" s="172"/>
      <c r="S22" s="28"/>
      <c r="T22" s="28"/>
      <c r="U22" s="4"/>
      <c r="V22" s="22"/>
      <c r="W22" s="17"/>
      <c r="X22" s="17"/>
      <c r="Y22" s="31">
        <f>SUM(Y15:Y21)</f>
        <v>0</v>
      </c>
      <c r="Z22" s="31">
        <f>SUM(Z15:Z21)</f>
        <v>0</v>
      </c>
      <c r="AA22" s="168"/>
      <c r="AB22" s="168"/>
      <c r="AC22" s="31">
        <v>3</v>
      </c>
      <c r="AD22" s="31">
        <f>SUM(AD15:AD21)</f>
        <v>0</v>
      </c>
      <c r="AE22" s="19">
        <f t="shared" si="7"/>
        <v>-76.946717319433446</v>
      </c>
      <c r="AF22" s="21">
        <f t="shared" si="8"/>
        <v>0.95856715221261279</v>
      </c>
      <c r="AG22" s="172"/>
    </row>
    <row r="23" spans="1:33" ht="15.75" customHeight="1">
      <c r="A23" s="194" t="s">
        <v>281</v>
      </c>
      <c r="B23" s="37" t="s">
        <v>78</v>
      </c>
      <c r="C23" s="190" t="s">
        <v>95</v>
      </c>
      <c r="D23" s="190"/>
      <c r="E23" s="37">
        <v>57.73</v>
      </c>
      <c r="F23" s="4">
        <v>2750</v>
      </c>
      <c r="G23" s="4">
        <v>158757.5</v>
      </c>
      <c r="H23" s="22" t="s">
        <v>139</v>
      </c>
      <c r="I23" s="16">
        <v>14</v>
      </c>
      <c r="J23" s="18">
        <v>2000</v>
      </c>
      <c r="K23" s="17">
        <f t="shared" si="0"/>
        <v>142.85714285714286</v>
      </c>
      <c r="L23" s="16">
        <v>14</v>
      </c>
      <c r="M23" s="18">
        <f t="shared" ref="M23:M28" si="16">F23/V23*60</f>
        <v>1918.6046511627912</v>
      </c>
      <c r="N23" s="17">
        <f t="shared" si="2"/>
        <v>137.04318936877081</v>
      </c>
      <c r="O23" s="19">
        <f t="shared" si="3"/>
        <v>0</v>
      </c>
      <c r="P23" s="20">
        <f t="shared" si="4"/>
        <v>-5.8139534883720501</v>
      </c>
      <c r="Q23" s="21">
        <f t="shared" si="5"/>
        <v>0.95930232558139561</v>
      </c>
      <c r="R23" s="172">
        <f>Q29</f>
        <v>0.96533421660006535</v>
      </c>
      <c r="S23" s="28">
        <v>0.20833333333333334</v>
      </c>
      <c r="T23" s="28">
        <v>0.26805555555555555</v>
      </c>
      <c r="U23" s="4"/>
      <c r="V23" s="22">
        <f t="shared" ref="V23:V28" si="17">(T23-S23)*24*60</f>
        <v>85.999999999999972</v>
      </c>
      <c r="W23" s="28"/>
      <c r="X23" s="28"/>
      <c r="Y23" s="28"/>
      <c r="Z23" s="28"/>
      <c r="AA23" s="164"/>
      <c r="AB23" s="164"/>
      <c r="AC23" s="25">
        <v>3</v>
      </c>
      <c r="AD23" s="25"/>
      <c r="AE23" s="19">
        <f t="shared" si="7"/>
        <v>-81.395348837208758</v>
      </c>
      <c r="AF23" s="21">
        <f t="shared" si="8"/>
        <v>0.95930232558139561</v>
      </c>
      <c r="AG23" s="172">
        <f>AF29</f>
        <v>0.96533421660006535</v>
      </c>
    </row>
    <row r="24" spans="1:33" ht="15.75" customHeight="1">
      <c r="A24" s="195" t="s">
        <v>281</v>
      </c>
      <c r="B24" s="37" t="s">
        <v>78</v>
      </c>
      <c r="C24" s="190" t="s">
        <v>96</v>
      </c>
      <c r="D24" s="190"/>
      <c r="E24" s="37">
        <v>53.68</v>
      </c>
      <c r="F24" s="4">
        <v>1646</v>
      </c>
      <c r="G24" s="4">
        <v>88357.28</v>
      </c>
      <c r="H24" s="22" t="s">
        <v>139</v>
      </c>
      <c r="I24" s="16">
        <v>16</v>
      </c>
      <c r="J24" s="18">
        <v>2000</v>
      </c>
      <c r="K24" s="17">
        <f t="shared" si="0"/>
        <v>125</v>
      </c>
      <c r="L24" s="16">
        <v>16</v>
      </c>
      <c r="M24" s="18">
        <f t="shared" si="16"/>
        <v>1936.4705882352948</v>
      </c>
      <c r="N24" s="17">
        <f t="shared" si="2"/>
        <v>121.02941176470593</v>
      </c>
      <c r="O24" s="19">
        <f t="shared" si="3"/>
        <v>0</v>
      </c>
      <c r="P24" s="20">
        <f t="shared" si="4"/>
        <v>-3.9705882352940733</v>
      </c>
      <c r="Q24" s="21">
        <f t="shared" si="5"/>
        <v>0.96823529411764742</v>
      </c>
      <c r="R24" s="172"/>
      <c r="S24" s="28">
        <v>0.27361111111111108</v>
      </c>
      <c r="T24" s="28">
        <v>0.30902777777777773</v>
      </c>
      <c r="U24" s="4">
        <f t="shared" ref="U24:U28" si="18">IF(S24=TIME(17,0,0),"",(S24-T23)*24*60)</f>
        <v>7.9999999999999716</v>
      </c>
      <c r="V24" s="22">
        <f t="shared" si="17"/>
        <v>50.999999999999979</v>
      </c>
      <c r="W24" s="23"/>
      <c r="X24" s="4"/>
      <c r="Y24" s="4"/>
      <c r="Z24" s="4"/>
      <c r="AA24" s="164"/>
      <c r="AB24" s="164"/>
      <c r="AC24" s="25"/>
      <c r="AD24" s="25"/>
      <c r="AE24" s="19">
        <f t="shared" si="7"/>
        <v>-63.529411764705173</v>
      </c>
      <c r="AF24" s="21">
        <f t="shared" si="8"/>
        <v>0.96823529411764742</v>
      </c>
      <c r="AG24" s="172"/>
    </row>
    <row r="25" spans="1:33" ht="15.75" customHeight="1">
      <c r="A25" s="195" t="s">
        <v>281</v>
      </c>
      <c r="B25" s="37" t="s">
        <v>78</v>
      </c>
      <c r="C25" s="190" t="s">
        <v>97</v>
      </c>
      <c r="D25" s="190"/>
      <c r="E25" s="37">
        <v>50.49</v>
      </c>
      <c r="F25" s="4">
        <v>2152</v>
      </c>
      <c r="G25" s="4">
        <v>108654.48000000001</v>
      </c>
      <c r="H25" s="22" t="s">
        <v>139</v>
      </c>
      <c r="I25" s="16">
        <v>15</v>
      </c>
      <c r="J25" s="18">
        <v>2000</v>
      </c>
      <c r="K25" s="17">
        <f t="shared" si="0"/>
        <v>133.33333333333334</v>
      </c>
      <c r="L25" s="16">
        <v>15</v>
      </c>
      <c r="M25" s="18">
        <f t="shared" si="16"/>
        <v>1927.1641791044751</v>
      </c>
      <c r="N25" s="17">
        <f t="shared" si="2"/>
        <v>128.47761194029835</v>
      </c>
      <c r="O25" s="19">
        <f t="shared" si="3"/>
        <v>0</v>
      </c>
      <c r="P25" s="20">
        <f t="shared" si="4"/>
        <v>-4.8557213930349974</v>
      </c>
      <c r="Q25" s="21">
        <f t="shared" si="5"/>
        <v>0.96358208955223756</v>
      </c>
      <c r="R25" s="172"/>
      <c r="S25" s="28">
        <v>0.70833333333333337</v>
      </c>
      <c r="T25" s="28">
        <v>0.7548611111111112</v>
      </c>
      <c r="U25" s="4" t="str">
        <f t="shared" si="18"/>
        <v/>
      </c>
      <c r="V25" s="22">
        <f t="shared" si="17"/>
        <v>67.000000000000085</v>
      </c>
      <c r="W25" s="23"/>
      <c r="X25" s="4"/>
      <c r="Y25" s="4"/>
      <c r="Z25" s="4"/>
      <c r="AA25" s="164"/>
      <c r="AB25" s="164"/>
      <c r="AC25" s="25"/>
      <c r="AD25" s="25"/>
      <c r="AE25" s="19">
        <f t="shared" si="7"/>
        <v>-72.835820895524876</v>
      </c>
      <c r="AF25" s="21">
        <f t="shared" si="8"/>
        <v>0.96358208955223756</v>
      </c>
      <c r="AG25" s="172"/>
    </row>
    <row r="26" spans="1:33" ht="15.75" customHeight="1">
      <c r="A26" s="195" t="s">
        <v>281</v>
      </c>
      <c r="B26" s="37" t="s">
        <v>78</v>
      </c>
      <c r="C26" s="190" t="s">
        <v>98</v>
      </c>
      <c r="D26" s="190"/>
      <c r="E26" s="37">
        <v>50.67</v>
      </c>
      <c r="F26" s="4">
        <v>1167</v>
      </c>
      <c r="G26" s="4">
        <v>59131.89</v>
      </c>
      <c r="H26" s="22" t="s">
        <v>139</v>
      </c>
      <c r="I26" s="16">
        <v>16</v>
      </c>
      <c r="J26" s="18">
        <v>2000</v>
      </c>
      <c r="K26" s="17">
        <f t="shared" si="0"/>
        <v>125</v>
      </c>
      <c r="L26" s="16">
        <v>16</v>
      </c>
      <c r="M26" s="18">
        <f t="shared" si="16"/>
        <v>1944.9999999999986</v>
      </c>
      <c r="N26" s="17">
        <f t="shared" si="2"/>
        <v>121.56249999999991</v>
      </c>
      <c r="O26" s="19">
        <f t="shared" si="3"/>
        <v>0</v>
      </c>
      <c r="P26" s="20">
        <f t="shared" si="4"/>
        <v>-3.4375000000000853</v>
      </c>
      <c r="Q26" s="21">
        <f t="shared" si="5"/>
        <v>0.97249999999999936</v>
      </c>
      <c r="R26" s="172"/>
      <c r="S26" s="28">
        <v>0.75902777777777786</v>
      </c>
      <c r="T26" s="28">
        <v>0.78402777777777788</v>
      </c>
      <c r="U26" s="4">
        <f t="shared" si="18"/>
        <v>5.9999999999999787</v>
      </c>
      <c r="V26" s="22">
        <f t="shared" si="17"/>
        <v>36.000000000000028</v>
      </c>
      <c r="W26" s="23"/>
      <c r="X26" s="4"/>
      <c r="Y26" s="4"/>
      <c r="Z26" s="4"/>
      <c r="AA26" s="164"/>
      <c r="AB26" s="164"/>
      <c r="AC26" s="25"/>
      <c r="AD26" s="25"/>
      <c r="AE26" s="19">
        <f t="shared" si="7"/>
        <v>-55.000000000001364</v>
      </c>
      <c r="AF26" s="21">
        <f t="shared" si="8"/>
        <v>0.97249999999999936</v>
      </c>
      <c r="AG26" s="172"/>
    </row>
    <row r="27" spans="1:33" ht="15.75" customHeight="1">
      <c r="A27" s="195" t="s">
        <v>281</v>
      </c>
      <c r="B27" s="37" t="s">
        <v>78</v>
      </c>
      <c r="C27" s="190" t="s">
        <v>99</v>
      </c>
      <c r="D27" s="190"/>
      <c r="E27" s="37">
        <v>53.68</v>
      </c>
      <c r="F27" s="4">
        <v>2042</v>
      </c>
      <c r="G27" s="4">
        <v>109614.56</v>
      </c>
      <c r="H27" s="22" t="s">
        <v>139</v>
      </c>
      <c r="I27" s="16">
        <v>16</v>
      </c>
      <c r="J27" s="18">
        <v>1500</v>
      </c>
      <c r="K27" s="17">
        <f t="shared" si="0"/>
        <v>93.75</v>
      </c>
      <c r="L27" s="16">
        <v>16</v>
      </c>
      <c r="M27" s="18">
        <f t="shared" si="16"/>
        <v>1441.4117647058822</v>
      </c>
      <c r="N27" s="17">
        <f t="shared" si="2"/>
        <v>90.088235294117638</v>
      </c>
      <c r="O27" s="19">
        <f t="shared" si="3"/>
        <v>0</v>
      </c>
      <c r="P27" s="20">
        <f t="shared" si="4"/>
        <v>-3.6617647058823621</v>
      </c>
      <c r="Q27" s="21">
        <f t="shared" si="5"/>
        <v>0.96094117647058819</v>
      </c>
      <c r="R27" s="172"/>
      <c r="S27" s="28">
        <v>0.78750000000000009</v>
      </c>
      <c r="T27" s="28">
        <v>0.84652777777777788</v>
      </c>
      <c r="U27" s="4">
        <f t="shared" si="18"/>
        <v>4.9999999999999822</v>
      </c>
      <c r="V27" s="22">
        <f t="shared" si="17"/>
        <v>85.000000000000014</v>
      </c>
      <c r="W27" s="23">
        <f>T27</f>
        <v>0.84652777777777788</v>
      </c>
      <c r="X27" s="23">
        <f>S28</f>
        <v>0.88541666666666674</v>
      </c>
      <c r="Y27" s="4"/>
      <c r="Z27" s="4"/>
      <c r="AA27" s="164"/>
      <c r="AB27" s="164"/>
      <c r="AC27" s="25"/>
      <c r="AD27" s="25"/>
      <c r="AE27" s="19">
        <f t="shared" si="7"/>
        <v>-58.588235294117794</v>
      </c>
      <c r="AF27" s="21">
        <f t="shared" si="8"/>
        <v>0.96094117647058819</v>
      </c>
      <c r="AG27" s="172"/>
    </row>
    <row r="28" spans="1:33" ht="15.75" customHeight="1">
      <c r="A28" s="195" t="s">
        <v>281</v>
      </c>
      <c r="B28" s="37" t="s">
        <v>78</v>
      </c>
      <c r="C28" s="190" t="s">
        <v>91</v>
      </c>
      <c r="D28" s="190"/>
      <c r="E28" s="37">
        <v>50.98</v>
      </c>
      <c r="F28" s="4">
        <v>1675</v>
      </c>
      <c r="G28" s="4">
        <v>85391.5</v>
      </c>
      <c r="H28" s="22" t="s">
        <v>139</v>
      </c>
      <c r="I28" s="16">
        <v>16</v>
      </c>
      <c r="J28" s="18">
        <v>2000</v>
      </c>
      <c r="K28" s="17">
        <f t="shared" si="0"/>
        <v>125</v>
      </c>
      <c r="L28" s="16">
        <v>16</v>
      </c>
      <c r="M28" s="18">
        <f t="shared" si="16"/>
        <v>1932.692307692309</v>
      </c>
      <c r="N28" s="17">
        <f t="shared" si="2"/>
        <v>120.79326923076931</v>
      </c>
      <c r="O28" s="19">
        <f t="shared" si="3"/>
        <v>0</v>
      </c>
      <c r="P28" s="20">
        <f t="shared" si="4"/>
        <v>-4.2067307692306883</v>
      </c>
      <c r="Q28" s="21">
        <f t="shared" si="5"/>
        <v>0.96634615384615452</v>
      </c>
      <c r="R28" s="172"/>
      <c r="S28" s="28">
        <v>0.88541666666666674</v>
      </c>
      <c r="T28" s="28">
        <v>0.92152777777777783</v>
      </c>
      <c r="U28" s="4">
        <f t="shared" si="18"/>
        <v>55.999999999999957</v>
      </c>
      <c r="V28" s="22">
        <f t="shared" si="17"/>
        <v>51.999999999999972</v>
      </c>
      <c r="W28" s="23"/>
      <c r="X28" s="28"/>
      <c r="Y28" s="28"/>
      <c r="Z28" s="28"/>
      <c r="AA28" s="164"/>
      <c r="AB28" s="164"/>
      <c r="AC28" s="25"/>
      <c r="AD28" s="25"/>
      <c r="AE28" s="19">
        <f t="shared" si="7"/>
        <v>-67.307692307691013</v>
      </c>
      <c r="AF28" s="21">
        <f t="shared" si="8"/>
        <v>0.96634615384615452</v>
      </c>
      <c r="AG28" s="172"/>
    </row>
    <row r="29" spans="1:33" ht="15.75" customHeight="1">
      <c r="A29" s="195" t="s">
        <v>281</v>
      </c>
      <c r="B29" s="37" t="s">
        <v>279</v>
      </c>
      <c r="C29" s="177"/>
      <c r="D29" s="177"/>
      <c r="E29" s="38"/>
      <c r="F29" s="4"/>
      <c r="G29" s="4"/>
      <c r="H29" s="4"/>
      <c r="I29" s="30">
        <v>15.5</v>
      </c>
      <c r="J29" s="18">
        <v>1916.6666666666667</v>
      </c>
      <c r="K29" s="17">
        <f t="shared" si="0"/>
        <v>123.65591397849462</v>
      </c>
      <c r="L29" s="30">
        <v>15.5</v>
      </c>
      <c r="M29" s="18">
        <f>AVERAGE(M23:M28)</f>
        <v>1850.2239151501253</v>
      </c>
      <c r="N29" s="17">
        <f t="shared" si="2"/>
        <v>119.36928484839518</v>
      </c>
      <c r="O29" s="19">
        <f t="shared" si="3"/>
        <v>0</v>
      </c>
      <c r="P29" s="20">
        <f t="shared" si="4"/>
        <v>-4.2866291300994419</v>
      </c>
      <c r="Q29" s="21">
        <f t="shared" si="5"/>
        <v>0.96533421660006535</v>
      </c>
      <c r="R29" s="172"/>
      <c r="S29" s="28"/>
      <c r="T29" s="28"/>
      <c r="U29" s="17"/>
      <c r="V29" s="22"/>
      <c r="W29" s="17"/>
      <c r="X29" s="17"/>
      <c r="Y29" s="31">
        <f>SUM(Y23:Y28)</f>
        <v>0</v>
      </c>
      <c r="Z29" s="31">
        <f>SUM(Z23:Z28)</f>
        <v>0</v>
      </c>
      <c r="AA29" s="168"/>
      <c r="AB29" s="168"/>
      <c r="AC29" s="31">
        <v>3</v>
      </c>
      <c r="AD29" s="31">
        <f>SUM(AD23:AD28)</f>
        <v>0</v>
      </c>
      <c r="AE29" s="19">
        <f t="shared" si="7"/>
        <v>-66.442751516541421</v>
      </c>
      <c r="AF29" s="21">
        <f t="shared" si="8"/>
        <v>0.96533421660006535</v>
      </c>
      <c r="AG29" s="172"/>
    </row>
    <row r="30" spans="1:33" ht="15.75" customHeight="1">
      <c r="A30" s="193" t="s">
        <v>282</v>
      </c>
      <c r="B30" s="37" t="s">
        <v>100</v>
      </c>
      <c r="C30" s="190" t="s">
        <v>101</v>
      </c>
      <c r="D30" s="190"/>
      <c r="E30" s="37">
        <v>31.29</v>
      </c>
      <c r="F30" s="4">
        <v>5000</v>
      </c>
      <c r="G30" s="4">
        <v>156450</v>
      </c>
      <c r="H30" s="22">
        <v>2</v>
      </c>
      <c r="I30" s="16">
        <v>18</v>
      </c>
      <c r="J30" s="18">
        <v>2400</v>
      </c>
      <c r="K30" s="17">
        <f t="shared" si="0"/>
        <v>133.33333333333334</v>
      </c>
      <c r="L30" s="16">
        <v>18</v>
      </c>
      <c r="M30" s="18">
        <f t="shared" ref="M30:M36" si="19">F30/V30*60</f>
        <v>2290.0763358778627</v>
      </c>
      <c r="N30" s="17">
        <f t="shared" si="2"/>
        <v>127.2264631043257</v>
      </c>
      <c r="O30" s="19">
        <f t="shared" si="3"/>
        <v>0</v>
      </c>
      <c r="P30" s="20">
        <f t="shared" si="4"/>
        <v>-6.1068702290076402</v>
      </c>
      <c r="Q30" s="21">
        <f t="shared" si="5"/>
        <v>0.95419847328244267</v>
      </c>
      <c r="R30" s="172">
        <f>Q37</f>
        <v>0.95665574380148133</v>
      </c>
      <c r="S30" s="28">
        <v>0.125</v>
      </c>
      <c r="T30" s="28">
        <v>0.21597222222222223</v>
      </c>
      <c r="U30" s="4"/>
      <c r="V30" s="22">
        <f t="shared" ref="V30:V36" si="20">(T30-S30)*24*60</f>
        <v>131</v>
      </c>
      <c r="W30" s="23">
        <f>T30</f>
        <v>0.21597222222222223</v>
      </c>
      <c r="X30" s="23">
        <f>S31</f>
        <v>0.23680555555555557</v>
      </c>
      <c r="Y30" s="23"/>
      <c r="Z30" s="23"/>
      <c r="AA30" s="164"/>
      <c r="AB30" s="164"/>
      <c r="AC30" s="25">
        <v>7</v>
      </c>
      <c r="AD30" s="25"/>
      <c r="AE30" s="19">
        <f t="shared" si="7"/>
        <v>-109.92366412213732</v>
      </c>
      <c r="AF30" s="21">
        <f t="shared" si="8"/>
        <v>0.95419847328244278</v>
      </c>
      <c r="AG30" s="172">
        <f>AF37</f>
        <v>0.95665574380148122</v>
      </c>
    </row>
    <row r="31" spans="1:33" ht="15.75" customHeight="1">
      <c r="A31" s="193" t="s">
        <v>282</v>
      </c>
      <c r="B31" s="37" t="s">
        <v>100</v>
      </c>
      <c r="C31" s="190" t="s">
        <v>102</v>
      </c>
      <c r="D31" s="190"/>
      <c r="E31" s="37">
        <v>26.2</v>
      </c>
      <c r="F31" s="4">
        <v>2800</v>
      </c>
      <c r="G31" s="4">
        <v>73360</v>
      </c>
      <c r="H31" s="22">
        <v>2</v>
      </c>
      <c r="I31" s="16">
        <v>20</v>
      </c>
      <c r="J31" s="18">
        <v>2400</v>
      </c>
      <c r="K31" s="17">
        <f t="shared" si="0"/>
        <v>120</v>
      </c>
      <c r="L31" s="16">
        <v>20</v>
      </c>
      <c r="M31" s="18">
        <f t="shared" si="19"/>
        <v>2301.3698630136978</v>
      </c>
      <c r="N31" s="17">
        <f t="shared" si="2"/>
        <v>115.06849315068489</v>
      </c>
      <c r="O31" s="19">
        <f t="shared" si="3"/>
        <v>0</v>
      </c>
      <c r="P31" s="20">
        <f t="shared" si="4"/>
        <v>-4.9315068493151131</v>
      </c>
      <c r="Q31" s="21">
        <f t="shared" si="5"/>
        <v>0.95890410958904071</v>
      </c>
      <c r="R31" s="172"/>
      <c r="S31" s="28">
        <v>0.23680555555555557</v>
      </c>
      <c r="T31" s="28">
        <v>0.28750000000000003</v>
      </c>
      <c r="U31" s="4">
        <f t="shared" ref="U31:U36" si="21">(S31-T30)*24*60</f>
        <v>30.000000000000014</v>
      </c>
      <c r="V31" s="22">
        <f t="shared" si="20"/>
        <v>73.000000000000014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7"/>
        <v>-98.630136986302205</v>
      </c>
      <c r="AF31" s="21">
        <f t="shared" si="8"/>
        <v>0.95890410958904071</v>
      </c>
      <c r="AG31" s="172"/>
    </row>
    <row r="32" spans="1:33" ht="15.75" customHeight="1">
      <c r="A32" s="193" t="s">
        <v>282</v>
      </c>
      <c r="B32" s="37" t="s">
        <v>100</v>
      </c>
      <c r="C32" s="190" t="s">
        <v>103</v>
      </c>
      <c r="D32" s="190"/>
      <c r="E32" s="37">
        <v>25.99</v>
      </c>
      <c r="F32" s="4">
        <v>3941</v>
      </c>
      <c r="G32" s="4">
        <v>102426.59</v>
      </c>
      <c r="H32" s="22" t="s">
        <v>139</v>
      </c>
      <c r="I32" s="16">
        <v>14</v>
      </c>
      <c r="J32" s="18">
        <v>2400</v>
      </c>
      <c r="K32" s="17">
        <f t="shared" si="0"/>
        <v>171.42857142857142</v>
      </c>
      <c r="L32" s="16">
        <v>14</v>
      </c>
      <c r="M32" s="18">
        <f t="shared" si="19"/>
        <v>2295.7281553398052</v>
      </c>
      <c r="N32" s="17">
        <f t="shared" si="2"/>
        <v>163.9805825242718</v>
      </c>
      <c r="O32" s="19">
        <f t="shared" si="3"/>
        <v>0</v>
      </c>
      <c r="P32" s="20">
        <f t="shared" si="4"/>
        <v>-7.4479889042996206</v>
      </c>
      <c r="Q32" s="21">
        <f t="shared" si="5"/>
        <v>0.95655339805825224</v>
      </c>
      <c r="R32" s="172"/>
      <c r="S32" s="28">
        <v>0.29236111111111113</v>
      </c>
      <c r="T32" s="28">
        <v>0.36388888888888893</v>
      </c>
      <c r="U32" s="4">
        <f t="shared" si="21"/>
        <v>6.9999999999999751</v>
      </c>
      <c r="V32" s="22">
        <f t="shared" si="20"/>
        <v>103.00000000000003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7"/>
        <v>-104.2718446601948</v>
      </c>
      <c r="AF32" s="21">
        <f t="shared" si="8"/>
        <v>0.95655339805825212</v>
      </c>
      <c r="AG32" s="172"/>
    </row>
    <row r="33" spans="1:33" ht="15.75" customHeight="1">
      <c r="A33" s="193" t="s">
        <v>282</v>
      </c>
      <c r="B33" s="37" t="s">
        <v>100</v>
      </c>
      <c r="C33" s="190" t="s">
        <v>104</v>
      </c>
      <c r="D33" s="190"/>
      <c r="E33" s="37">
        <v>20.52</v>
      </c>
      <c r="F33" s="4">
        <v>3878</v>
      </c>
      <c r="G33" s="4">
        <v>79576.56</v>
      </c>
      <c r="H33" s="22" t="s">
        <v>139</v>
      </c>
      <c r="I33" s="16">
        <v>18</v>
      </c>
      <c r="J33" s="18">
        <v>2400</v>
      </c>
      <c r="K33" s="17">
        <f t="shared" si="0"/>
        <v>133.33333333333334</v>
      </c>
      <c r="L33" s="16">
        <v>18</v>
      </c>
      <c r="M33" s="18">
        <f t="shared" si="19"/>
        <v>2303.7623762376247</v>
      </c>
      <c r="N33" s="17">
        <f t="shared" si="2"/>
        <v>127.98679867986804</v>
      </c>
      <c r="O33" s="19">
        <f t="shared" si="3"/>
        <v>0</v>
      </c>
      <c r="P33" s="20">
        <f t="shared" si="4"/>
        <v>-5.346534653465298</v>
      </c>
      <c r="Q33" s="21">
        <f t="shared" si="5"/>
        <v>0.95990099009901031</v>
      </c>
      <c r="R33" s="172"/>
      <c r="S33" s="28">
        <v>0.36736111111111114</v>
      </c>
      <c r="T33" s="28">
        <v>0.4375</v>
      </c>
      <c r="U33" s="4">
        <f t="shared" si="21"/>
        <v>4.9999999999999822</v>
      </c>
      <c r="V33" s="22">
        <f t="shared" si="20"/>
        <v>100.99999999999996</v>
      </c>
      <c r="W33" s="23"/>
      <c r="X33" s="23"/>
      <c r="Y33" s="23"/>
      <c r="Z33" s="23"/>
      <c r="AA33" s="164"/>
      <c r="AB33" s="164"/>
      <c r="AC33" s="25"/>
      <c r="AD33" s="25"/>
      <c r="AE33" s="19">
        <f t="shared" si="7"/>
        <v>-96.237623762375279</v>
      </c>
      <c r="AF33" s="21">
        <f t="shared" si="8"/>
        <v>0.95990099009901031</v>
      </c>
      <c r="AG33" s="172"/>
    </row>
    <row r="34" spans="1:33" ht="15.75" customHeight="1">
      <c r="A34" s="193" t="s">
        <v>282</v>
      </c>
      <c r="B34" s="37" t="s">
        <v>100</v>
      </c>
      <c r="C34" s="190" t="s">
        <v>105</v>
      </c>
      <c r="D34" s="190"/>
      <c r="E34" s="37">
        <v>25.98</v>
      </c>
      <c r="F34" s="4">
        <v>2947</v>
      </c>
      <c r="G34" s="4">
        <v>76563.06</v>
      </c>
      <c r="H34" s="22" t="s">
        <v>139</v>
      </c>
      <c r="I34" s="16">
        <v>21</v>
      </c>
      <c r="J34" s="18">
        <v>2400</v>
      </c>
      <c r="K34" s="17">
        <f t="shared" si="0"/>
        <v>114.28571428571429</v>
      </c>
      <c r="L34" s="16">
        <v>21</v>
      </c>
      <c r="M34" s="18">
        <f t="shared" si="19"/>
        <v>2296.3636363636351</v>
      </c>
      <c r="N34" s="17">
        <f t="shared" si="2"/>
        <v>109.35064935064929</v>
      </c>
      <c r="O34" s="19">
        <f t="shared" si="3"/>
        <v>0</v>
      </c>
      <c r="P34" s="20">
        <f t="shared" si="4"/>
        <v>-4.9350649350650002</v>
      </c>
      <c r="Q34" s="21">
        <f t="shared" si="5"/>
        <v>0.95681818181818123</v>
      </c>
      <c r="R34" s="172"/>
      <c r="S34" s="28">
        <v>0.44166666666666665</v>
      </c>
      <c r="T34" s="28">
        <v>0.49513888888888891</v>
      </c>
      <c r="U34" s="4">
        <f t="shared" si="21"/>
        <v>5.9999999999999787</v>
      </c>
      <c r="V34" s="22">
        <f t="shared" si="20"/>
        <v>77.000000000000043</v>
      </c>
      <c r="W34" s="23">
        <f>T34</f>
        <v>0.49513888888888891</v>
      </c>
      <c r="X34" s="23">
        <f>S35</f>
        <v>0.53611111111111109</v>
      </c>
      <c r="Y34" s="23"/>
      <c r="Z34" s="23"/>
      <c r="AA34" s="164"/>
      <c r="AB34" s="164"/>
      <c r="AC34" s="25"/>
      <c r="AD34" s="25"/>
      <c r="AE34" s="19">
        <f t="shared" si="7"/>
        <v>-103.63636363636488</v>
      </c>
      <c r="AF34" s="21">
        <f t="shared" si="8"/>
        <v>0.95681818181818135</v>
      </c>
      <c r="AG34" s="172"/>
    </row>
    <row r="35" spans="1:33" ht="15.75" customHeight="1">
      <c r="A35" s="193" t="s">
        <v>282</v>
      </c>
      <c r="B35" s="37" t="s">
        <v>100</v>
      </c>
      <c r="C35" s="190" t="s">
        <v>101</v>
      </c>
      <c r="D35" s="190"/>
      <c r="E35" s="37">
        <v>31.29</v>
      </c>
      <c r="F35" s="4">
        <v>3541</v>
      </c>
      <c r="G35" s="4">
        <v>110797.89</v>
      </c>
      <c r="H35" s="22" t="s">
        <v>139</v>
      </c>
      <c r="I35" s="16">
        <v>18</v>
      </c>
      <c r="J35" s="18">
        <v>2400</v>
      </c>
      <c r="K35" s="17">
        <f t="shared" si="0"/>
        <v>133.33333333333334</v>
      </c>
      <c r="L35" s="16">
        <v>18</v>
      </c>
      <c r="M35" s="18">
        <f t="shared" si="19"/>
        <v>2284.516129032258</v>
      </c>
      <c r="N35" s="17">
        <f t="shared" si="2"/>
        <v>126.91756272401433</v>
      </c>
      <c r="O35" s="19">
        <f t="shared" si="3"/>
        <v>0</v>
      </c>
      <c r="P35" s="20">
        <f t="shared" si="4"/>
        <v>-6.4157706093190114</v>
      </c>
      <c r="Q35" s="21">
        <f t="shared" si="5"/>
        <v>0.95188172043010744</v>
      </c>
      <c r="R35" s="172"/>
      <c r="S35" s="28">
        <v>0.53611111111111109</v>
      </c>
      <c r="T35" s="28">
        <v>0.60069444444444442</v>
      </c>
      <c r="U35" s="4">
        <f t="shared" si="21"/>
        <v>58.99999999999995</v>
      </c>
      <c r="V35" s="22">
        <f t="shared" si="20"/>
        <v>92.999999999999986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7"/>
        <v>-115.48387096774195</v>
      </c>
      <c r="AF35" s="21">
        <f t="shared" si="8"/>
        <v>0.95188172043010755</v>
      </c>
      <c r="AG35" s="172"/>
    </row>
    <row r="36" spans="1:33" ht="15.75" customHeight="1">
      <c r="A36" s="193" t="s">
        <v>282</v>
      </c>
      <c r="B36" s="37" t="s">
        <v>100</v>
      </c>
      <c r="C36" s="190" t="s">
        <v>102</v>
      </c>
      <c r="D36" s="190"/>
      <c r="E36" s="37">
        <v>26.2</v>
      </c>
      <c r="F36" s="4">
        <v>1725</v>
      </c>
      <c r="G36" s="4">
        <v>45195</v>
      </c>
      <c r="H36" s="22" t="s">
        <v>139</v>
      </c>
      <c r="I36" s="16">
        <v>20</v>
      </c>
      <c r="J36" s="18">
        <v>2400</v>
      </c>
      <c r="K36" s="17">
        <f t="shared" si="0"/>
        <v>120</v>
      </c>
      <c r="L36" s="16">
        <v>20</v>
      </c>
      <c r="M36" s="18">
        <f t="shared" si="19"/>
        <v>2300</v>
      </c>
      <c r="N36" s="17">
        <f t="shared" si="2"/>
        <v>115</v>
      </c>
      <c r="O36" s="19">
        <f t="shared" si="3"/>
        <v>0</v>
      </c>
      <c r="P36" s="20">
        <f t="shared" si="4"/>
        <v>-5</v>
      </c>
      <c r="Q36" s="21">
        <f t="shared" si="5"/>
        <v>0.95833333333333337</v>
      </c>
      <c r="R36" s="172"/>
      <c r="S36" s="28">
        <v>0.60486111111111107</v>
      </c>
      <c r="T36" s="28">
        <v>0.63611111111111107</v>
      </c>
      <c r="U36" s="4">
        <f t="shared" si="21"/>
        <v>5.9999999999999787</v>
      </c>
      <c r="V36" s="22">
        <f t="shared" si="20"/>
        <v>45</v>
      </c>
      <c r="W36" s="23"/>
      <c r="X36" s="23"/>
      <c r="Y36" s="23"/>
      <c r="Z36" s="23"/>
      <c r="AA36" s="164"/>
      <c r="AB36" s="164"/>
      <c r="AC36" s="25"/>
      <c r="AD36" s="25"/>
      <c r="AE36" s="19">
        <f t="shared" si="7"/>
        <v>-100</v>
      </c>
      <c r="AF36" s="21">
        <f t="shared" si="8"/>
        <v>0.95833333333333337</v>
      </c>
      <c r="AG36" s="172"/>
    </row>
    <row r="37" spans="1:33" ht="15.75" customHeight="1">
      <c r="A37" s="193" t="s">
        <v>282</v>
      </c>
      <c r="B37" s="37" t="s">
        <v>279</v>
      </c>
      <c r="C37" s="177"/>
      <c r="D37" s="177"/>
      <c r="E37" s="38"/>
      <c r="F37" s="4"/>
      <c r="G37" s="4"/>
      <c r="H37" s="4"/>
      <c r="I37" s="30">
        <v>18.428571428571427</v>
      </c>
      <c r="J37" s="18">
        <v>2400</v>
      </c>
      <c r="K37" s="17">
        <f t="shared" si="0"/>
        <v>130.23255813953489</v>
      </c>
      <c r="L37" s="30">
        <v>18.428571428571427</v>
      </c>
      <c r="M37" s="18">
        <f>AVERAGE(M30:M36)</f>
        <v>2295.973785123555</v>
      </c>
      <c r="N37" s="17">
        <f t="shared" si="2"/>
        <v>124.58772477414641</v>
      </c>
      <c r="O37" s="19">
        <f t="shared" si="3"/>
        <v>0</v>
      </c>
      <c r="P37" s="20">
        <f t="shared" si="4"/>
        <v>-5.6448333653884788</v>
      </c>
      <c r="Q37" s="21">
        <f t="shared" si="5"/>
        <v>0.95665574380148133</v>
      </c>
      <c r="R37" s="172"/>
      <c r="S37" s="28"/>
      <c r="T37" s="28"/>
      <c r="U37" s="4"/>
      <c r="V37" s="22"/>
      <c r="W37" s="4"/>
      <c r="X37" s="4"/>
      <c r="Y37" s="31">
        <f>SUM(Y30:Y36)</f>
        <v>0</v>
      </c>
      <c r="Z37" s="31">
        <f>SUM(Z30:Z36)</f>
        <v>0</v>
      </c>
      <c r="AA37" s="168"/>
      <c r="AB37" s="168"/>
      <c r="AC37" s="31">
        <v>7</v>
      </c>
      <c r="AD37" s="31">
        <f>SUM(AD30:AD36)</f>
        <v>0</v>
      </c>
      <c r="AE37" s="19">
        <f t="shared" si="7"/>
        <v>-104.02621487644501</v>
      </c>
      <c r="AF37" s="21">
        <f t="shared" si="8"/>
        <v>0.95665574380148122</v>
      </c>
      <c r="AG37" s="172"/>
    </row>
    <row r="38" spans="1:33" ht="15.75" customHeight="1">
      <c r="A38" s="191" t="s">
        <v>283</v>
      </c>
      <c r="B38" s="37" t="s">
        <v>100</v>
      </c>
      <c r="C38" s="165" t="s">
        <v>106</v>
      </c>
      <c r="D38" s="165"/>
      <c r="E38" s="37">
        <v>26.2</v>
      </c>
      <c r="F38" s="4">
        <v>3800</v>
      </c>
      <c r="G38" s="4">
        <v>99560</v>
      </c>
      <c r="H38" s="22">
        <v>2</v>
      </c>
      <c r="I38" s="16">
        <v>18</v>
      </c>
      <c r="J38" s="18">
        <v>2400</v>
      </c>
      <c r="K38" s="17">
        <f t="shared" si="0"/>
        <v>133.33333333333334</v>
      </c>
      <c r="L38" s="16">
        <v>18</v>
      </c>
      <c r="M38" s="18">
        <f t="shared" ref="M38:M44" si="22">F38/V38*60</f>
        <v>2303.0303030303039</v>
      </c>
      <c r="N38" s="17">
        <f t="shared" si="2"/>
        <v>127.946127946128</v>
      </c>
      <c r="O38" s="19">
        <f t="shared" si="3"/>
        <v>0</v>
      </c>
      <c r="P38" s="20">
        <f t="shared" si="4"/>
        <v>-5.3872053872053414</v>
      </c>
      <c r="Q38" s="21">
        <f t="shared" si="5"/>
        <v>0.95959595959595989</v>
      </c>
      <c r="R38" s="172">
        <f>Q45</f>
        <v>0.95565311385348173</v>
      </c>
      <c r="S38" s="28">
        <v>0.125</v>
      </c>
      <c r="T38" s="28">
        <v>0.19374999999999998</v>
      </c>
      <c r="U38" s="4"/>
      <c r="V38" s="22">
        <f t="shared" ref="V38:V44" si="23">(T38-S38)*24*60</f>
        <v>98.999999999999972</v>
      </c>
      <c r="W38" s="28">
        <f>T38</f>
        <v>0.19374999999999998</v>
      </c>
      <c r="X38" s="28">
        <f>S39</f>
        <v>0.21111111111111105</v>
      </c>
      <c r="Y38" s="28"/>
      <c r="Z38" s="28"/>
      <c r="AA38" s="164"/>
      <c r="AB38" s="164"/>
      <c r="AC38" s="25">
        <v>7</v>
      </c>
      <c r="AD38" s="25"/>
      <c r="AE38" s="19">
        <f t="shared" si="7"/>
        <v>-96.969696969696088</v>
      </c>
      <c r="AF38" s="21">
        <f t="shared" si="8"/>
        <v>0.95959595959596</v>
      </c>
      <c r="AG38" s="172">
        <f>AF45</f>
        <v>0.95565311385348173</v>
      </c>
    </row>
    <row r="39" spans="1:33" ht="15.75" customHeight="1">
      <c r="A39" s="191" t="s">
        <v>284</v>
      </c>
      <c r="B39" s="37" t="s">
        <v>100</v>
      </c>
      <c r="C39" s="165" t="s">
        <v>107</v>
      </c>
      <c r="D39" s="165"/>
      <c r="E39" s="37">
        <v>26.18</v>
      </c>
      <c r="F39" s="4">
        <v>2032</v>
      </c>
      <c r="G39" s="4">
        <v>53197.760000000002</v>
      </c>
      <c r="H39" s="22" t="s">
        <v>139</v>
      </c>
      <c r="I39" s="16">
        <v>19</v>
      </c>
      <c r="J39" s="18">
        <v>2400</v>
      </c>
      <c r="K39" s="17">
        <f t="shared" si="0"/>
        <v>126.31578947368421</v>
      </c>
      <c r="L39" s="16">
        <v>19</v>
      </c>
      <c r="M39" s="18">
        <f t="shared" si="22"/>
        <v>2300.3773584905653</v>
      </c>
      <c r="N39" s="17">
        <f t="shared" si="2"/>
        <v>121.07249255213502</v>
      </c>
      <c r="O39" s="19">
        <f t="shared" si="3"/>
        <v>0</v>
      </c>
      <c r="P39" s="20">
        <f t="shared" si="4"/>
        <v>-5.243296921549188</v>
      </c>
      <c r="Q39" s="21">
        <f t="shared" si="5"/>
        <v>0.95849056603773564</v>
      </c>
      <c r="R39" s="172"/>
      <c r="S39" s="28">
        <v>0.21111111111111105</v>
      </c>
      <c r="T39" s="28">
        <v>0.24791666666666662</v>
      </c>
      <c r="U39" s="4">
        <f t="shared" ref="U39:U44" si="24">(S39-T38)*24*60</f>
        <v>24.99999999999995</v>
      </c>
      <c r="V39" s="22">
        <f t="shared" si="23"/>
        <v>53.000000000000014</v>
      </c>
      <c r="W39" s="4"/>
      <c r="X39" s="4"/>
      <c r="Y39" s="4"/>
      <c r="Z39" s="4"/>
      <c r="AA39" s="164"/>
      <c r="AB39" s="164"/>
      <c r="AC39" s="25"/>
      <c r="AD39" s="25"/>
      <c r="AE39" s="19">
        <f t="shared" si="7"/>
        <v>-99.622641509434743</v>
      </c>
      <c r="AF39" s="21">
        <f t="shared" si="8"/>
        <v>0.95849056603773553</v>
      </c>
      <c r="AG39" s="172"/>
    </row>
    <row r="40" spans="1:33">
      <c r="A40" s="192" t="s">
        <v>64</v>
      </c>
      <c r="B40" s="37" t="s">
        <v>100</v>
      </c>
      <c r="C40" s="165" t="s">
        <v>108</v>
      </c>
      <c r="D40" s="165"/>
      <c r="E40" s="37">
        <v>26.39</v>
      </c>
      <c r="F40" s="4">
        <v>5612</v>
      </c>
      <c r="G40" s="4">
        <v>148100.68</v>
      </c>
      <c r="H40" s="22" t="s">
        <v>139</v>
      </c>
      <c r="I40" s="16">
        <v>19</v>
      </c>
      <c r="J40" s="18">
        <v>2400</v>
      </c>
      <c r="K40" s="17">
        <f t="shared" si="0"/>
        <v>126.31578947368421</v>
      </c>
      <c r="L40" s="16">
        <v>19</v>
      </c>
      <c r="M40" s="18">
        <f t="shared" si="22"/>
        <v>2290.612244897959</v>
      </c>
      <c r="N40" s="17">
        <f t="shared" si="2"/>
        <v>120.55853920515574</v>
      </c>
      <c r="O40" s="19">
        <f t="shared" si="3"/>
        <v>0</v>
      </c>
      <c r="P40" s="20">
        <f t="shared" si="4"/>
        <v>-5.7572502685284661</v>
      </c>
      <c r="Q40" s="21">
        <f t="shared" si="5"/>
        <v>0.95442176870748296</v>
      </c>
      <c r="R40" s="172"/>
      <c r="S40" s="28">
        <v>0.25138888888888883</v>
      </c>
      <c r="T40" s="28">
        <v>0.35347222222222219</v>
      </c>
      <c r="U40" s="4">
        <f t="shared" si="24"/>
        <v>4.9999999999999822</v>
      </c>
      <c r="V40" s="22">
        <f t="shared" si="23"/>
        <v>147.00000000000003</v>
      </c>
      <c r="W40" s="4"/>
      <c r="X40" s="4"/>
      <c r="Y40" s="4"/>
      <c r="Z40" s="4"/>
      <c r="AA40" s="164"/>
      <c r="AB40" s="164"/>
      <c r="AC40" s="25"/>
      <c r="AD40" s="25"/>
      <c r="AE40" s="19">
        <f t="shared" si="7"/>
        <v>-109.38775510204096</v>
      </c>
      <c r="AF40" s="21">
        <f t="shared" si="8"/>
        <v>0.95442176870748296</v>
      </c>
      <c r="AG40" s="172"/>
    </row>
    <row r="41" spans="1:33">
      <c r="A41" s="192" t="s">
        <v>285</v>
      </c>
      <c r="B41" s="37" t="s">
        <v>100</v>
      </c>
      <c r="C41" s="165" t="s">
        <v>109</v>
      </c>
      <c r="D41" s="165"/>
      <c r="E41" s="37">
        <v>24.45</v>
      </c>
      <c r="F41" s="4">
        <v>2398</v>
      </c>
      <c r="G41" s="4">
        <v>58631.1</v>
      </c>
      <c r="H41" s="22" t="s">
        <v>139</v>
      </c>
      <c r="I41" s="16">
        <v>20</v>
      </c>
      <c r="J41" s="18">
        <v>2400</v>
      </c>
      <c r="K41" s="17">
        <f t="shared" si="0"/>
        <v>120</v>
      </c>
      <c r="L41" s="16">
        <v>20</v>
      </c>
      <c r="M41" s="18">
        <f t="shared" si="22"/>
        <v>2283.8095238095234</v>
      </c>
      <c r="N41" s="17">
        <f t="shared" si="2"/>
        <v>114.19047619047618</v>
      </c>
      <c r="O41" s="19">
        <f t="shared" si="3"/>
        <v>0</v>
      </c>
      <c r="P41" s="20">
        <f t="shared" si="4"/>
        <v>-5.8095238095238244</v>
      </c>
      <c r="Q41" s="21">
        <f t="shared" si="5"/>
        <v>0.95158730158730143</v>
      </c>
      <c r="R41" s="172"/>
      <c r="S41" s="28">
        <v>0.3569444444444444</v>
      </c>
      <c r="T41" s="28">
        <v>0.40069444444444441</v>
      </c>
      <c r="U41" s="4">
        <f t="shared" si="24"/>
        <v>4.9999999999999822</v>
      </c>
      <c r="V41" s="22">
        <f t="shared" si="23"/>
        <v>63.000000000000014</v>
      </c>
      <c r="W41" s="23"/>
      <c r="X41" s="23"/>
      <c r="Y41" s="23"/>
      <c r="Z41" s="23"/>
      <c r="AA41" s="164"/>
      <c r="AB41" s="164"/>
      <c r="AC41" s="25"/>
      <c r="AD41" s="25"/>
      <c r="AE41" s="19">
        <f t="shared" si="7"/>
        <v>-116.1904761904766</v>
      </c>
      <c r="AF41" s="21">
        <f t="shared" si="8"/>
        <v>0.95158730158730143</v>
      </c>
      <c r="AG41" s="172"/>
    </row>
    <row r="42" spans="1:33">
      <c r="A42" s="192" t="s">
        <v>286</v>
      </c>
      <c r="B42" s="37" t="s">
        <v>100</v>
      </c>
      <c r="C42" s="165" t="s">
        <v>110</v>
      </c>
      <c r="D42" s="165"/>
      <c r="E42" s="37">
        <v>22.69</v>
      </c>
      <c r="F42" s="4">
        <v>4400</v>
      </c>
      <c r="G42" s="4">
        <v>99836</v>
      </c>
      <c r="H42" s="22">
        <v>2</v>
      </c>
      <c r="I42" s="16">
        <v>16</v>
      </c>
      <c r="J42" s="18">
        <v>2400</v>
      </c>
      <c r="K42" s="17">
        <f t="shared" si="0"/>
        <v>150</v>
      </c>
      <c r="L42" s="16">
        <v>16</v>
      </c>
      <c r="M42" s="18">
        <f t="shared" si="22"/>
        <v>2295.652173913044</v>
      </c>
      <c r="N42" s="17">
        <f t="shared" si="2"/>
        <v>143.47826086956525</v>
      </c>
      <c r="O42" s="19">
        <f t="shared" si="3"/>
        <v>0</v>
      </c>
      <c r="P42" s="20">
        <f t="shared" si="4"/>
        <v>-6.521739130434753</v>
      </c>
      <c r="Q42" s="21">
        <f t="shared" si="5"/>
        <v>0.95652173913043503</v>
      </c>
      <c r="R42" s="172"/>
      <c r="S42" s="28">
        <v>0.4055555555555555</v>
      </c>
      <c r="T42" s="28">
        <v>0.48541666666666661</v>
      </c>
      <c r="U42" s="4">
        <f t="shared" si="24"/>
        <v>6.9999999999999751</v>
      </c>
      <c r="V42" s="22">
        <f t="shared" si="23"/>
        <v>114.99999999999999</v>
      </c>
      <c r="W42" s="23">
        <f>T42</f>
        <v>0.48541666666666661</v>
      </c>
      <c r="X42" s="23">
        <f>S43</f>
        <v>0.52499999999999991</v>
      </c>
      <c r="Y42" s="23"/>
      <c r="Z42" s="23"/>
      <c r="AA42" s="164"/>
      <c r="AB42" s="164"/>
      <c r="AC42" s="25"/>
      <c r="AD42" s="25"/>
      <c r="AE42" s="19">
        <f t="shared" si="7"/>
        <v>-104.34782608695605</v>
      </c>
      <c r="AF42" s="21">
        <f t="shared" si="8"/>
        <v>0.95652173913043503</v>
      </c>
      <c r="AG42" s="172"/>
    </row>
    <row r="43" spans="1:33">
      <c r="A43" s="192" t="s">
        <v>64</v>
      </c>
      <c r="B43" s="37" t="s">
        <v>100</v>
      </c>
      <c r="C43" s="165" t="s">
        <v>110</v>
      </c>
      <c r="D43" s="165"/>
      <c r="E43" s="37">
        <v>22.69</v>
      </c>
      <c r="F43" s="4">
        <v>3157</v>
      </c>
      <c r="G43" s="4">
        <v>71632.33</v>
      </c>
      <c r="H43" s="22" t="s">
        <v>139</v>
      </c>
      <c r="I43" s="16">
        <v>16</v>
      </c>
      <c r="J43" s="18">
        <v>2400</v>
      </c>
      <c r="K43" s="17">
        <f t="shared" si="0"/>
        <v>150</v>
      </c>
      <c r="L43" s="16">
        <v>16</v>
      </c>
      <c r="M43" s="18">
        <f t="shared" si="22"/>
        <v>2282.1686746987943</v>
      </c>
      <c r="N43" s="17">
        <f t="shared" si="2"/>
        <v>142.63554216867465</v>
      </c>
      <c r="O43" s="19">
        <f t="shared" si="3"/>
        <v>0</v>
      </c>
      <c r="P43" s="20">
        <f t="shared" si="4"/>
        <v>-7.3644578313253533</v>
      </c>
      <c r="Q43" s="21">
        <f t="shared" si="5"/>
        <v>0.950903614457831</v>
      </c>
      <c r="R43" s="172"/>
      <c r="S43" s="28">
        <v>0.52499999999999991</v>
      </c>
      <c r="T43" s="28">
        <v>0.58263888888888882</v>
      </c>
      <c r="U43" s="4">
        <f t="shared" si="24"/>
        <v>56.999999999999957</v>
      </c>
      <c r="V43" s="22">
        <f t="shared" si="23"/>
        <v>83.000000000000028</v>
      </c>
      <c r="W43" s="23"/>
      <c r="X43" s="23"/>
      <c r="Y43" s="23"/>
      <c r="Z43" s="23"/>
      <c r="AA43" s="164"/>
      <c r="AB43" s="164"/>
      <c r="AC43" s="25"/>
      <c r="AD43" s="25"/>
      <c r="AE43" s="19">
        <f t="shared" si="7"/>
        <v>-117.83132530120565</v>
      </c>
      <c r="AF43" s="21">
        <f t="shared" si="8"/>
        <v>0.950903614457831</v>
      </c>
      <c r="AG43" s="172"/>
    </row>
    <row r="44" spans="1:33">
      <c r="A44" s="192" t="s">
        <v>64</v>
      </c>
      <c r="B44" s="37" t="s">
        <v>100</v>
      </c>
      <c r="C44" s="165" t="s">
        <v>106</v>
      </c>
      <c r="D44" s="165"/>
      <c r="E44" s="37">
        <v>26.2</v>
      </c>
      <c r="F44" s="4">
        <v>2261</v>
      </c>
      <c r="G44" s="4">
        <v>59238.2</v>
      </c>
      <c r="H44" s="22" t="s">
        <v>139</v>
      </c>
      <c r="I44" s="16">
        <v>18</v>
      </c>
      <c r="J44" s="18">
        <v>2400</v>
      </c>
      <c r="K44" s="17">
        <f t="shared" si="0"/>
        <v>133.33333333333334</v>
      </c>
      <c r="L44" s="16">
        <v>18</v>
      </c>
      <c r="M44" s="18">
        <f t="shared" si="22"/>
        <v>2299.3220338983069</v>
      </c>
      <c r="N44" s="17">
        <f t="shared" si="2"/>
        <v>127.74011299435038</v>
      </c>
      <c r="O44" s="19">
        <f t="shared" si="3"/>
        <v>0</v>
      </c>
      <c r="P44" s="20">
        <f t="shared" si="4"/>
        <v>-5.5932203389829596</v>
      </c>
      <c r="Q44" s="21">
        <f t="shared" si="5"/>
        <v>0.95805084745762781</v>
      </c>
      <c r="R44" s="172"/>
      <c r="S44" s="28">
        <v>0.58611111111111103</v>
      </c>
      <c r="T44" s="28">
        <v>0.62708333333333321</v>
      </c>
      <c r="U44" s="4">
        <f t="shared" si="24"/>
        <v>4.9999999999999822</v>
      </c>
      <c r="V44" s="22">
        <f t="shared" si="23"/>
        <v>58.99999999999995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7"/>
        <v>-100.67796610169307</v>
      </c>
      <c r="AF44" s="21">
        <f t="shared" si="8"/>
        <v>0.95805084745762792</v>
      </c>
      <c r="AG44" s="172"/>
    </row>
    <row r="45" spans="1:33">
      <c r="A45" s="192" t="s">
        <v>64</v>
      </c>
      <c r="B45" s="17" t="s">
        <v>287</v>
      </c>
      <c r="C45" s="177"/>
      <c r="D45" s="177"/>
      <c r="E45" s="38"/>
      <c r="F45" s="17"/>
      <c r="G45" s="17"/>
      <c r="H45" s="4"/>
      <c r="I45" s="30">
        <v>18</v>
      </c>
      <c r="J45" s="18">
        <v>2400</v>
      </c>
      <c r="K45" s="17">
        <f t="shared" si="0"/>
        <v>133.33333333333334</v>
      </c>
      <c r="L45" s="30">
        <v>18</v>
      </c>
      <c r="M45" s="18">
        <f>AVERAGE(M38:M44)</f>
        <v>2293.5674732483562</v>
      </c>
      <c r="N45" s="17">
        <f t="shared" si="2"/>
        <v>127.42041518046423</v>
      </c>
      <c r="O45" s="19">
        <f t="shared" si="3"/>
        <v>0</v>
      </c>
      <c r="P45" s="20">
        <f t="shared" si="4"/>
        <v>-5.9129181528691106</v>
      </c>
      <c r="Q45" s="21">
        <f t="shared" si="5"/>
        <v>0.95565311385348173</v>
      </c>
      <c r="R45" s="172"/>
      <c r="S45" s="28"/>
      <c r="T45" s="28"/>
      <c r="U45" s="17"/>
      <c r="V45" s="22"/>
      <c r="W45" s="17"/>
      <c r="X45" s="17"/>
      <c r="Y45" s="31">
        <f>SUM(Y38:Y44)</f>
        <v>0</v>
      </c>
      <c r="Z45" s="31">
        <f>SUM(Z38:Z44)</f>
        <v>0</v>
      </c>
      <c r="AA45" s="168"/>
      <c r="AB45" s="168"/>
      <c r="AC45" s="31">
        <v>7</v>
      </c>
      <c r="AD45" s="31">
        <f>SUM(AD38:AD44)</f>
        <v>0</v>
      </c>
      <c r="AE45" s="19">
        <f t="shared" si="7"/>
        <v>-106.43252675164376</v>
      </c>
      <c r="AF45" s="21">
        <f t="shared" si="8"/>
        <v>0.95565311385348173</v>
      </c>
      <c r="AG45" s="172"/>
    </row>
    <row r="46" spans="1:33" ht="15.75" customHeight="1">
      <c r="A46" s="184" t="s">
        <v>67</v>
      </c>
      <c r="B46" s="37" t="s">
        <v>111</v>
      </c>
      <c r="C46" s="173" t="s">
        <v>112</v>
      </c>
      <c r="D46" s="174"/>
      <c r="E46" s="37">
        <v>21.13</v>
      </c>
      <c r="F46" s="4">
        <v>3200</v>
      </c>
      <c r="G46" s="4">
        <v>67616</v>
      </c>
      <c r="H46" s="22">
        <v>2</v>
      </c>
      <c r="I46" s="16">
        <v>10</v>
      </c>
      <c r="J46" s="18">
        <v>3000</v>
      </c>
      <c r="K46" s="17">
        <f t="shared" si="0"/>
        <v>300</v>
      </c>
      <c r="L46" s="16">
        <v>10</v>
      </c>
      <c r="M46" s="18">
        <f t="shared" ref="M46:M54" si="25">F46/V46*60</f>
        <v>2865.6716417910466</v>
      </c>
      <c r="N46" s="18">
        <f t="shared" si="2"/>
        <v>286.56716417910468</v>
      </c>
      <c r="O46" s="19">
        <f t="shared" si="3"/>
        <v>0</v>
      </c>
      <c r="P46" s="20">
        <f t="shared" si="4"/>
        <v>-13.43283582089532</v>
      </c>
      <c r="Q46" s="21">
        <f t="shared" si="5"/>
        <v>0.95522388059701557</v>
      </c>
      <c r="R46" s="187">
        <f>Q55</f>
        <v>0.95983782563162034</v>
      </c>
      <c r="S46" s="28">
        <v>0.20833333333333334</v>
      </c>
      <c r="T46" s="28">
        <v>0.25486111111111109</v>
      </c>
      <c r="U46" s="28"/>
      <c r="V46" s="22">
        <f t="shared" ref="V46:V54" si="26">(T46-S46)*24*60</f>
        <v>66.999999999999957</v>
      </c>
      <c r="W46" s="23"/>
      <c r="X46" s="23"/>
      <c r="Y46" s="26"/>
      <c r="Z46" s="26"/>
      <c r="AA46" s="175"/>
      <c r="AB46" s="176"/>
      <c r="AC46" s="25" t="s">
        <v>139</v>
      </c>
      <c r="AD46" s="25"/>
      <c r="AE46" s="19">
        <f t="shared" si="7"/>
        <v>-134.32835820895343</v>
      </c>
      <c r="AF46" s="21">
        <f t="shared" si="8"/>
        <v>0.95522388059701557</v>
      </c>
      <c r="AG46" s="187">
        <f>AF55</f>
        <v>0.95983782563162034</v>
      </c>
    </row>
    <row r="47" spans="1:33" ht="15.75" customHeight="1">
      <c r="A47" s="185" t="s">
        <v>288</v>
      </c>
      <c r="B47" s="37" t="s">
        <v>111</v>
      </c>
      <c r="C47" s="173" t="s">
        <v>113</v>
      </c>
      <c r="D47" s="174"/>
      <c r="E47" s="37">
        <v>27.17</v>
      </c>
      <c r="F47" s="4">
        <v>4200</v>
      </c>
      <c r="G47" s="4">
        <v>114114</v>
      </c>
      <c r="H47" s="22">
        <v>2</v>
      </c>
      <c r="I47" s="16">
        <v>10</v>
      </c>
      <c r="J47" s="18">
        <v>3000</v>
      </c>
      <c r="K47" s="17">
        <f t="shared" si="0"/>
        <v>300</v>
      </c>
      <c r="L47" s="16">
        <v>10</v>
      </c>
      <c r="M47" s="18">
        <f t="shared" si="25"/>
        <v>2863.6363636363635</v>
      </c>
      <c r="N47" s="18">
        <f t="shared" si="2"/>
        <v>286.36363636363637</v>
      </c>
      <c r="O47" s="19">
        <f t="shared" si="3"/>
        <v>0</v>
      </c>
      <c r="P47" s="20">
        <f t="shared" si="4"/>
        <v>-13.636363636363626</v>
      </c>
      <c r="Q47" s="21">
        <f t="shared" si="5"/>
        <v>0.95454545454545459</v>
      </c>
      <c r="R47" s="188"/>
      <c r="S47" s="28">
        <v>0.2583333333333333</v>
      </c>
      <c r="T47" s="28">
        <v>0.31944444444444442</v>
      </c>
      <c r="U47" s="4">
        <f t="shared" ref="U47:U54" si="27">(S47-T46)*24*60</f>
        <v>4.9999999999999822</v>
      </c>
      <c r="V47" s="22">
        <f t="shared" si="26"/>
        <v>88</v>
      </c>
      <c r="W47" s="23"/>
      <c r="X47" s="23"/>
      <c r="Y47" s="26"/>
      <c r="Z47" s="26"/>
      <c r="AA47" s="175"/>
      <c r="AB47" s="176"/>
      <c r="AC47" s="25" t="s">
        <v>139</v>
      </c>
      <c r="AD47" s="25"/>
      <c r="AE47" s="19">
        <f t="shared" si="7"/>
        <v>-136.36363636363649</v>
      </c>
      <c r="AF47" s="21">
        <f t="shared" si="8"/>
        <v>0.95454545454545447</v>
      </c>
      <c r="AG47" s="188"/>
    </row>
    <row r="48" spans="1:33" ht="15.75" customHeight="1">
      <c r="A48" s="185" t="s">
        <v>288</v>
      </c>
      <c r="B48" s="37" t="s">
        <v>111</v>
      </c>
      <c r="C48" s="173" t="s">
        <v>114</v>
      </c>
      <c r="D48" s="174"/>
      <c r="E48" s="37">
        <v>35.119999999999997</v>
      </c>
      <c r="F48" s="4">
        <v>3100</v>
      </c>
      <c r="G48" s="4">
        <v>108871.99999999999</v>
      </c>
      <c r="H48" s="22">
        <v>2</v>
      </c>
      <c r="I48" s="16">
        <v>10</v>
      </c>
      <c r="J48" s="18">
        <v>3000</v>
      </c>
      <c r="K48" s="17">
        <f t="shared" si="0"/>
        <v>300</v>
      </c>
      <c r="L48" s="16">
        <v>10</v>
      </c>
      <c r="M48" s="18">
        <f t="shared" si="25"/>
        <v>2861.538461538461</v>
      </c>
      <c r="N48" s="18">
        <f t="shared" si="2"/>
        <v>286.15384615384608</v>
      </c>
      <c r="O48" s="19">
        <f t="shared" si="3"/>
        <v>0</v>
      </c>
      <c r="P48" s="20">
        <f t="shared" si="4"/>
        <v>-13.846153846153925</v>
      </c>
      <c r="Q48" s="21">
        <f t="shared" si="5"/>
        <v>0.95384615384615357</v>
      </c>
      <c r="R48" s="188"/>
      <c r="S48" s="28">
        <v>0.32361111111111107</v>
      </c>
      <c r="T48" s="28">
        <v>0.36874999999999997</v>
      </c>
      <c r="U48" s="4">
        <f t="shared" si="27"/>
        <v>5.9999999999999787</v>
      </c>
      <c r="V48" s="22">
        <f t="shared" si="26"/>
        <v>65.000000000000014</v>
      </c>
      <c r="W48" s="23"/>
      <c r="X48" s="23"/>
      <c r="Y48" s="26"/>
      <c r="Z48" s="26"/>
      <c r="AA48" s="175"/>
      <c r="AB48" s="176"/>
      <c r="AC48" s="25" t="s">
        <v>139</v>
      </c>
      <c r="AD48" s="25"/>
      <c r="AE48" s="19">
        <f t="shared" si="7"/>
        <v>-138.46153846153902</v>
      </c>
      <c r="AF48" s="21">
        <f t="shared" si="8"/>
        <v>0.95384615384615368</v>
      </c>
      <c r="AG48" s="188"/>
    </row>
    <row r="49" spans="1:33" ht="15.75" customHeight="1">
      <c r="A49" s="185" t="s">
        <v>289</v>
      </c>
      <c r="B49" s="37" t="s">
        <v>111</v>
      </c>
      <c r="C49" s="173" t="s">
        <v>115</v>
      </c>
      <c r="D49" s="174"/>
      <c r="E49" s="37">
        <v>26.78</v>
      </c>
      <c r="F49" s="4">
        <v>2794</v>
      </c>
      <c r="G49" s="4">
        <v>74823.320000000007</v>
      </c>
      <c r="H49" s="22" t="s">
        <v>139</v>
      </c>
      <c r="I49" s="16">
        <v>10</v>
      </c>
      <c r="J49" s="18">
        <v>3000</v>
      </c>
      <c r="K49" s="17">
        <f t="shared" si="0"/>
        <v>300</v>
      </c>
      <c r="L49" s="16">
        <v>10</v>
      </c>
      <c r="M49" s="18">
        <f t="shared" si="25"/>
        <v>2890.3448275862052</v>
      </c>
      <c r="N49" s="18">
        <f t="shared" si="2"/>
        <v>289.03448275862053</v>
      </c>
      <c r="O49" s="19">
        <f t="shared" si="3"/>
        <v>0</v>
      </c>
      <c r="P49" s="20">
        <f t="shared" si="4"/>
        <v>-10.965517241379473</v>
      </c>
      <c r="Q49" s="21">
        <f t="shared" si="5"/>
        <v>0.96344827586206838</v>
      </c>
      <c r="R49" s="188"/>
      <c r="S49" s="28">
        <v>0.37291666666666662</v>
      </c>
      <c r="T49" s="28">
        <v>0.41319444444444442</v>
      </c>
      <c r="U49" s="4">
        <f t="shared" si="27"/>
        <v>5.9999999999999787</v>
      </c>
      <c r="V49" s="22">
        <f t="shared" si="26"/>
        <v>58.000000000000036</v>
      </c>
      <c r="W49" s="23"/>
      <c r="X49" s="23"/>
      <c r="Y49" s="26"/>
      <c r="Z49" s="26"/>
      <c r="AA49" s="175"/>
      <c r="AB49" s="176"/>
      <c r="AC49" s="25" t="s">
        <v>139</v>
      </c>
      <c r="AD49" s="25"/>
      <c r="AE49" s="19">
        <f t="shared" si="7"/>
        <v>-109.65517241379484</v>
      </c>
      <c r="AF49" s="21">
        <f t="shared" si="8"/>
        <v>0.96344827586206838</v>
      </c>
      <c r="AG49" s="188"/>
    </row>
    <row r="50" spans="1:33" ht="15.75" customHeight="1">
      <c r="A50" s="185" t="s">
        <v>67</v>
      </c>
      <c r="B50" s="37" t="s">
        <v>111</v>
      </c>
      <c r="C50" s="173" t="s">
        <v>116</v>
      </c>
      <c r="D50" s="174"/>
      <c r="E50" s="37">
        <v>35.869999999999997</v>
      </c>
      <c r="F50" s="4">
        <v>3555</v>
      </c>
      <c r="G50" s="4">
        <v>127517.84999999999</v>
      </c>
      <c r="H50" s="22" t="s">
        <v>139</v>
      </c>
      <c r="I50" s="16">
        <v>9</v>
      </c>
      <c r="J50" s="18">
        <v>3000</v>
      </c>
      <c r="K50" s="17">
        <f t="shared" si="0"/>
        <v>333.33333333333331</v>
      </c>
      <c r="L50" s="16">
        <v>9</v>
      </c>
      <c r="M50" s="18">
        <f t="shared" si="25"/>
        <v>2882.4324324324339</v>
      </c>
      <c r="N50" s="18">
        <f t="shared" si="2"/>
        <v>320.27027027027043</v>
      </c>
      <c r="O50" s="19">
        <f t="shared" si="3"/>
        <v>0</v>
      </c>
      <c r="P50" s="20">
        <f t="shared" si="4"/>
        <v>-13.063063063062884</v>
      </c>
      <c r="Q50" s="21">
        <f t="shared" si="5"/>
        <v>0.96081081081081132</v>
      </c>
      <c r="R50" s="188"/>
      <c r="S50" s="28">
        <v>0.41874999999999996</v>
      </c>
      <c r="T50" s="28">
        <v>0.47013888888888883</v>
      </c>
      <c r="U50" s="4">
        <f t="shared" si="27"/>
        <v>7.9999999999999716</v>
      </c>
      <c r="V50" s="22">
        <f t="shared" si="26"/>
        <v>73.999999999999972</v>
      </c>
      <c r="W50" s="23"/>
      <c r="X50" s="23"/>
      <c r="Y50" s="26"/>
      <c r="Z50" s="26"/>
      <c r="AA50" s="175"/>
      <c r="AB50" s="176"/>
      <c r="AC50" s="25" t="s">
        <v>139</v>
      </c>
      <c r="AD50" s="25"/>
      <c r="AE50" s="19">
        <f t="shared" si="7"/>
        <v>-117.56756756756613</v>
      </c>
      <c r="AF50" s="21">
        <f t="shared" si="8"/>
        <v>0.96081081081081132</v>
      </c>
      <c r="AG50" s="188"/>
    </row>
    <row r="51" spans="1:33" ht="15.75" customHeight="1">
      <c r="A51" s="185" t="s">
        <v>67</v>
      </c>
      <c r="B51" s="37" t="s">
        <v>111</v>
      </c>
      <c r="C51" s="173" t="s">
        <v>117</v>
      </c>
      <c r="D51" s="174"/>
      <c r="E51" s="37">
        <v>44.03</v>
      </c>
      <c r="F51" s="4">
        <v>1489</v>
      </c>
      <c r="G51" s="4">
        <v>65560.67</v>
      </c>
      <c r="H51" s="22" t="s">
        <v>139</v>
      </c>
      <c r="I51" s="16">
        <v>10</v>
      </c>
      <c r="J51" s="18">
        <v>3000</v>
      </c>
      <c r="K51" s="17">
        <f t="shared" si="0"/>
        <v>300</v>
      </c>
      <c r="L51" s="16">
        <v>10</v>
      </c>
      <c r="M51" s="18">
        <f t="shared" si="25"/>
        <v>2881.9354838709701</v>
      </c>
      <c r="N51" s="18">
        <f t="shared" si="2"/>
        <v>288.193548387097</v>
      </c>
      <c r="O51" s="19">
        <f t="shared" si="3"/>
        <v>0</v>
      </c>
      <c r="P51" s="20">
        <f t="shared" si="4"/>
        <v>-11.806451612903004</v>
      </c>
      <c r="Q51" s="21">
        <f t="shared" si="5"/>
        <v>0.96064516129032329</v>
      </c>
      <c r="R51" s="188"/>
      <c r="S51" s="28">
        <v>0.47430555555555548</v>
      </c>
      <c r="T51" s="28">
        <v>0.49583333333333324</v>
      </c>
      <c r="U51" s="4">
        <f t="shared" si="27"/>
        <v>5.9999999999999787</v>
      </c>
      <c r="V51" s="22">
        <f t="shared" si="26"/>
        <v>30.999999999999972</v>
      </c>
      <c r="W51" s="23">
        <f>T51</f>
        <v>0.49583333333333324</v>
      </c>
      <c r="X51" s="23">
        <f>S52</f>
        <v>0.53402777777777766</v>
      </c>
      <c r="Y51" s="26"/>
      <c r="Z51" s="26"/>
      <c r="AA51" s="175"/>
      <c r="AB51" s="176"/>
      <c r="AC51" s="25" t="s">
        <v>139</v>
      </c>
      <c r="AD51" s="25"/>
      <c r="AE51" s="19">
        <f t="shared" si="7"/>
        <v>-118.06451612902993</v>
      </c>
      <c r="AF51" s="21">
        <f t="shared" si="8"/>
        <v>0.9606451612903234</v>
      </c>
      <c r="AG51" s="188"/>
    </row>
    <row r="52" spans="1:33" ht="15.75" customHeight="1">
      <c r="A52" s="185" t="s">
        <v>289</v>
      </c>
      <c r="B52" s="37" t="s">
        <v>111</v>
      </c>
      <c r="C52" s="173" t="s">
        <v>112</v>
      </c>
      <c r="D52" s="174"/>
      <c r="E52" s="37">
        <v>21.13</v>
      </c>
      <c r="F52" s="4">
        <v>2086</v>
      </c>
      <c r="G52" s="4">
        <v>44077.18</v>
      </c>
      <c r="H52" s="22" t="s">
        <v>139</v>
      </c>
      <c r="I52" s="16">
        <v>10</v>
      </c>
      <c r="J52" s="18">
        <v>3000</v>
      </c>
      <c r="K52" s="17">
        <f t="shared" si="0"/>
        <v>300</v>
      </c>
      <c r="L52" s="16">
        <v>10</v>
      </c>
      <c r="M52" s="18">
        <f t="shared" si="25"/>
        <v>2910.697674418604</v>
      </c>
      <c r="N52" s="18">
        <f t="shared" si="2"/>
        <v>291.06976744186039</v>
      </c>
      <c r="O52" s="19">
        <f t="shared" si="3"/>
        <v>0</v>
      </c>
      <c r="P52" s="20">
        <f t="shared" si="4"/>
        <v>-8.9302325581396076</v>
      </c>
      <c r="Q52" s="21">
        <f t="shared" si="5"/>
        <v>0.97023255813953468</v>
      </c>
      <c r="R52" s="188"/>
      <c r="S52" s="28">
        <v>0.53402777777777766</v>
      </c>
      <c r="T52" s="28">
        <v>0.56388888888888877</v>
      </c>
      <c r="U52" s="4">
        <f t="shared" si="27"/>
        <v>54.999999999999964</v>
      </c>
      <c r="V52" s="22">
        <f t="shared" si="26"/>
        <v>43.000000000000007</v>
      </c>
      <c r="W52" s="23"/>
      <c r="X52" s="23"/>
      <c r="Y52" s="26"/>
      <c r="Z52" s="26"/>
      <c r="AA52" s="175"/>
      <c r="AB52" s="176"/>
      <c r="AC52" s="25" t="s">
        <v>139</v>
      </c>
      <c r="AD52" s="25"/>
      <c r="AE52" s="19">
        <f t="shared" si="7"/>
        <v>-89.302325581395962</v>
      </c>
      <c r="AF52" s="21">
        <f t="shared" si="8"/>
        <v>0.97023255813953468</v>
      </c>
      <c r="AG52" s="188"/>
    </row>
    <row r="53" spans="1:33" ht="15.75" customHeight="1">
      <c r="A53" s="185" t="s">
        <v>289</v>
      </c>
      <c r="B53" s="37" t="s">
        <v>111</v>
      </c>
      <c r="C53" s="173" t="s">
        <v>113</v>
      </c>
      <c r="D53" s="174"/>
      <c r="E53" s="37">
        <v>27.17</v>
      </c>
      <c r="F53" s="4">
        <v>2824</v>
      </c>
      <c r="G53" s="4">
        <v>76728.08</v>
      </c>
      <c r="H53" s="22" t="s">
        <v>139</v>
      </c>
      <c r="I53" s="16">
        <v>10</v>
      </c>
      <c r="J53" s="18">
        <v>3000</v>
      </c>
      <c r="K53" s="17">
        <f t="shared" si="0"/>
        <v>300</v>
      </c>
      <c r="L53" s="16">
        <v>10</v>
      </c>
      <c r="M53" s="18">
        <f t="shared" si="25"/>
        <v>2871.8644067796636</v>
      </c>
      <c r="N53" s="18">
        <f t="shared" si="2"/>
        <v>287.18644067796635</v>
      </c>
      <c r="O53" s="19">
        <f t="shared" si="3"/>
        <v>0</v>
      </c>
      <c r="P53" s="20">
        <f t="shared" si="4"/>
        <v>-12.813559322033655</v>
      </c>
      <c r="Q53" s="21">
        <f t="shared" si="5"/>
        <v>0.95728813559322112</v>
      </c>
      <c r="R53" s="188"/>
      <c r="S53" s="28">
        <v>0.56805555555555542</v>
      </c>
      <c r="T53" s="28">
        <v>0.60902777777777761</v>
      </c>
      <c r="U53" s="4">
        <f t="shared" si="27"/>
        <v>5.9999999999999787</v>
      </c>
      <c r="V53" s="22">
        <f t="shared" si="26"/>
        <v>58.99999999999995</v>
      </c>
      <c r="W53" s="23"/>
      <c r="X53" s="23"/>
      <c r="Y53" s="26"/>
      <c r="Z53" s="26"/>
      <c r="AA53" s="175"/>
      <c r="AB53" s="176"/>
      <c r="AC53" s="25" t="s">
        <v>139</v>
      </c>
      <c r="AD53" s="25"/>
      <c r="AE53" s="19">
        <f t="shared" si="7"/>
        <v>-128.13559322033643</v>
      </c>
      <c r="AF53" s="21">
        <f t="shared" si="8"/>
        <v>0.95728813559322123</v>
      </c>
      <c r="AG53" s="188"/>
    </row>
    <row r="54" spans="1:33" ht="15.75" customHeight="1">
      <c r="A54" s="185" t="s">
        <v>289</v>
      </c>
      <c r="B54" s="37" t="s">
        <v>111</v>
      </c>
      <c r="C54" s="173" t="s">
        <v>114</v>
      </c>
      <c r="D54" s="174"/>
      <c r="E54" s="37">
        <v>35.119999999999997</v>
      </c>
      <c r="F54" s="4">
        <v>2310</v>
      </c>
      <c r="G54" s="4">
        <v>81127.199999999997</v>
      </c>
      <c r="H54" s="22" t="s">
        <v>139</v>
      </c>
      <c r="I54" s="16">
        <v>10</v>
      </c>
      <c r="J54" s="18">
        <v>3000</v>
      </c>
      <c r="K54" s="17">
        <f t="shared" si="0"/>
        <v>300</v>
      </c>
      <c r="L54" s="16">
        <v>10</v>
      </c>
      <c r="M54" s="18">
        <f t="shared" si="25"/>
        <v>2887.5000000000009</v>
      </c>
      <c r="N54" s="18">
        <f t="shared" si="2"/>
        <v>288.75000000000011</v>
      </c>
      <c r="O54" s="19">
        <f t="shared" si="3"/>
        <v>0</v>
      </c>
      <c r="P54" s="20">
        <f t="shared" si="4"/>
        <v>-11.249999999999886</v>
      </c>
      <c r="Q54" s="21">
        <f t="shared" si="5"/>
        <v>0.96250000000000036</v>
      </c>
      <c r="R54" s="188"/>
      <c r="S54" s="28">
        <v>0.61458333333333315</v>
      </c>
      <c r="T54" s="28">
        <v>0.64791666666666647</v>
      </c>
      <c r="U54" s="4">
        <f t="shared" si="27"/>
        <v>7.9999999999999716</v>
      </c>
      <c r="V54" s="22">
        <f t="shared" si="26"/>
        <v>47.999999999999986</v>
      </c>
      <c r="W54" s="23"/>
      <c r="X54" s="23"/>
      <c r="Y54" s="26"/>
      <c r="Z54" s="26"/>
      <c r="AA54" s="175"/>
      <c r="AB54" s="176"/>
      <c r="AC54" s="25" t="s">
        <v>139</v>
      </c>
      <c r="AD54" s="25"/>
      <c r="AE54" s="19">
        <f t="shared" si="7"/>
        <v>-112.49999999999909</v>
      </c>
      <c r="AF54" s="21">
        <f t="shared" si="8"/>
        <v>0.96250000000000036</v>
      </c>
      <c r="AG54" s="188"/>
    </row>
    <row r="55" spans="1:33" ht="15.75" customHeight="1">
      <c r="A55" s="186" t="s">
        <v>289</v>
      </c>
      <c r="B55" s="37" t="s">
        <v>287</v>
      </c>
      <c r="C55" s="166"/>
      <c r="D55" s="167"/>
      <c r="E55" s="41"/>
      <c r="F55" s="4"/>
      <c r="G55" s="4"/>
      <c r="H55" s="4"/>
      <c r="I55" s="30">
        <v>9.8888888888888893</v>
      </c>
      <c r="J55" s="18">
        <v>3000</v>
      </c>
      <c r="K55" s="17">
        <f t="shared" si="0"/>
        <v>303.37078651685391</v>
      </c>
      <c r="L55" s="30">
        <v>9.8888888888888893</v>
      </c>
      <c r="M55" s="18">
        <f>AVERAGE(M46:M54)</f>
        <v>2879.513476894861</v>
      </c>
      <c r="N55" s="17">
        <f t="shared" si="2"/>
        <v>291.18675609049154</v>
      </c>
      <c r="O55" s="19">
        <f t="shared" si="3"/>
        <v>0</v>
      </c>
      <c r="P55" s="20">
        <f t="shared" si="4"/>
        <v>-12.184030426362369</v>
      </c>
      <c r="Q55" s="21">
        <f t="shared" si="5"/>
        <v>0.95983782563162034</v>
      </c>
      <c r="R55" s="189"/>
      <c r="S55" s="28"/>
      <c r="T55" s="28"/>
      <c r="U55" s="4"/>
      <c r="V55" s="22"/>
      <c r="W55" s="23"/>
      <c r="X55" s="23"/>
      <c r="Y55" s="31">
        <f>SUM(Y46:Y54)</f>
        <v>0</v>
      </c>
      <c r="Z55" s="31">
        <f>SUM(Z46:Z54)</f>
        <v>0</v>
      </c>
      <c r="AA55" s="180"/>
      <c r="AB55" s="181"/>
      <c r="AC55" s="31">
        <v>0</v>
      </c>
      <c r="AD55" s="31">
        <f>SUM(AD46:AD54)</f>
        <v>0</v>
      </c>
      <c r="AE55" s="19">
        <f t="shared" si="7"/>
        <v>-120.48652310513899</v>
      </c>
      <c r="AF55" s="21">
        <f t="shared" si="8"/>
        <v>0.95983782563162034</v>
      </c>
      <c r="AG55" s="189"/>
    </row>
    <row r="56" spans="1:33" ht="15.75" customHeight="1">
      <c r="A56" s="182" t="s">
        <v>290</v>
      </c>
      <c r="B56" s="37" t="s">
        <v>84</v>
      </c>
      <c r="C56" s="165" t="s">
        <v>118</v>
      </c>
      <c r="D56" s="165"/>
      <c r="E56" s="37">
        <v>46</v>
      </c>
      <c r="F56" s="42">
        <v>1702</v>
      </c>
      <c r="G56" s="4">
        <v>78292</v>
      </c>
      <c r="H56" s="22" t="s">
        <v>139</v>
      </c>
      <c r="I56" s="16">
        <v>17</v>
      </c>
      <c r="J56" s="18">
        <v>2000</v>
      </c>
      <c r="K56" s="17">
        <f t="shared" si="0"/>
        <v>117.64705882352941</v>
      </c>
      <c r="L56" s="16">
        <v>17</v>
      </c>
      <c r="M56" s="18">
        <f t="shared" ref="M56:M65" si="28">F56/V56*60</f>
        <v>1926.792452830188</v>
      </c>
      <c r="N56" s="18">
        <f t="shared" si="2"/>
        <v>113.34073251942283</v>
      </c>
      <c r="O56" s="19">
        <f t="shared" si="3"/>
        <v>0</v>
      </c>
      <c r="P56" s="20">
        <f t="shared" si="4"/>
        <v>-4.3063263041065767</v>
      </c>
      <c r="Q56" s="21">
        <f t="shared" si="5"/>
        <v>0.96339622641509415</v>
      </c>
      <c r="R56" s="172">
        <f>Q66</f>
        <v>0.93198683501142665</v>
      </c>
      <c r="S56" s="28">
        <v>0.20833333333333334</v>
      </c>
      <c r="T56" s="28">
        <v>0.24513888888888891</v>
      </c>
      <c r="U56" s="28"/>
      <c r="V56" s="22">
        <f t="shared" ref="V56:V65" si="29">(T56-S56)*24*60</f>
        <v>53.000000000000014</v>
      </c>
      <c r="W56" s="28"/>
      <c r="X56" s="28"/>
      <c r="Y56" s="28"/>
      <c r="Z56" s="28"/>
      <c r="AA56" s="164"/>
      <c r="AB56" s="164"/>
      <c r="AC56" s="25">
        <v>5</v>
      </c>
      <c r="AD56" s="25"/>
      <c r="AE56" s="19">
        <f t="shared" si="7"/>
        <v>-73.20754716981196</v>
      </c>
      <c r="AF56" s="21">
        <f t="shared" si="8"/>
        <v>0.96339622641509404</v>
      </c>
      <c r="AG56" s="172">
        <f>AF66</f>
        <v>0.93198683501142665</v>
      </c>
    </row>
    <row r="57" spans="1:33" ht="15.75" customHeight="1">
      <c r="A57" s="182" t="s">
        <v>70</v>
      </c>
      <c r="B57" s="37" t="s">
        <v>84</v>
      </c>
      <c r="C57" s="165" t="s">
        <v>119</v>
      </c>
      <c r="D57" s="165"/>
      <c r="E57" s="37">
        <v>46</v>
      </c>
      <c r="F57" s="42">
        <v>1723</v>
      </c>
      <c r="G57" s="4">
        <v>79258</v>
      </c>
      <c r="H57" s="22" t="s">
        <v>139</v>
      </c>
      <c r="I57" s="16">
        <v>17</v>
      </c>
      <c r="J57" s="18">
        <v>2000</v>
      </c>
      <c r="K57" s="17">
        <f t="shared" si="0"/>
        <v>117.64705882352941</v>
      </c>
      <c r="L57" s="16">
        <v>17</v>
      </c>
      <c r="M57" s="18">
        <f t="shared" si="28"/>
        <v>1914.4444444444443</v>
      </c>
      <c r="N57" s="18">
        <f t="shared" si="2"/>
        <v>112.61437908496731</v>
      </c>
      <c r="O57" s="19">
        <f t="shared" si="3"/>
        <v>0</v>
      </c>
      <c r="P57" s="20">
        <f t="shared" si="4"/>
        <v>-5.0326797385620949</v>
      </c>
      <c r="Q57" s="21">
        <f t="shared" si="5"/>
        <v>0.9572222222222222</v>
      </c>
      <c r="R57" s="172"/>
      <c r="S57" s="28">
        <v>0.24930555555555559</v>
      </c>
      <c r="T57" s="28">
        <v>0.28680555555555559</v>
      </c>
      <c r="U57" s="4">
        <f t="shared" ref="U57:U65" si="30">IF(S57=TIME(17,0,0),"",(S57-T56)*24*60)</f>
        <v>6.0000000000000187</v>
      </c>
      <c r="V57" s="22">
        <f t="shared" si="29"/>
        <v>54.000000000000007</v>
      </c>
      <c r="W57" s="23"/>
      <c r="X57" s="23"/>
      <c r="Y57" s="23"/>
      <c r="Z57" s="23"/>
      <c r="AA57" s="164"/>
      <c r="AB57" s="164"/>
      <c r="AC57" s="25"/>
      <c r="AD57" s="25"/>
      <c r="AE57" s="19">
        <f t="shared" si="7"/>
        <v>-85.555555555555657</v>
      </c>
      <c r="AF57" s="21">
        <f t="shared" si="8"/>
        <v>0.9572222222222222</v>
      </c>
      <c r="AG57" s="172"/>
    </row>
    <row r="58" spans="1:33" ht="15.75" customHeight="1">
      <c r="A58" s="182" t="s">
        <v>291</v>
      </c>
      <c r="B58" s="37" t="s">
        <v>78</v>
      </c>
      <c r="C58" s="173" t="s">
        <v>120</v>
      </c>
      <c r="D58" s="174"/>
      <c r="E58" s="37">
        <v>56.43</v>
      </c>
      <c r="F58" s="42">
        <v>2108</v>
      </c>
      <c r="G58" s="4">
        <v>118954.44</v>
      </c>
      <c r="H58" s="22" t="s">
        <v>139</v>
      </c>
      <c r="I58" s="16">
        <v>22</v>
      </c>
      <c r="J58" s="18">
        <v>2000</v>
      </c>
      <c r="K58" s="17">
        <f t="shared" si="0"/>
        <v>90.909090909090907</v>
      </c>
      <c r="L58" s="16">
        <v>22</v>
      </c>
      <c r="M58" s="18">
        <f t="shared" si="28"/>
        <v>1732.6027397260277</v>
      </c>
      <c r="N58" s="18">
        <f t="shared" si="2"/>
        <v>78.75466998754672</v>
      </c>
      <c r="O58" s="19">
        <f t="shared" si="3"/>
        <v>0</v>
      </c>
      <c r="P58" s="20">
        <f t="shared" si="4"/>
        <v>-12.154420921544187</v>
      </c>
      <c r="Q58" s="21">
        <f t="shared" si="5"/>
        <v>0.86630136986301398</v>
      </c>
      <c r="R58" s="172"/>
      <c r="S58" s="28">
        <v>0.29236111111111113</v>
      </c>
      <c r="T58" s="28">
        <v>0.34305555555555556</v>
      </c>
      <c r="U58" s="4">
        <f t="shared" si="30"/>
        <v>7.9999999999999716</v>
      </c>
      <c r="V58" s="22">
        <f t="shared" si="29"/>
        <v>72.999999999999986</v>
      </c>
      <c r="W58" s="23"/>
      <c r="X58" s="23"/>
      <c r="Y58" s="26"/>
      <c r="Z58" s="26"/>
      <c r="AA58" s="164"/>
      <c r="AB58" s="164"/>
      <c r="AC58" s="25"/>
      <c r="AD58" s="25"/>
      <c r="AE58" s="19">
        <f t="shared" si="7"/>
        <v>-267.39726027397228</v>
      </c>
      <c r="AF58" s="21">
        <f t="shared" si="8"/>
        <v>0.86630136986301387</v>
      </c>
      <c r="AG58" s="172"/>
    </row>
    <row r="59" spans="1:33" ht="15.75" customHeight="1">
      <c r="A59" s="182" t="s">
        <v>70</v>
      </c>
      <c r="B59" s="37" t="s">
        <v>78</v>
      </c>
      <c r="C59" s="43" t="s">
        <v>121</v>
      </c>
      <c r="D59" s="44"/>
      <c r="E59" s="37">
        <v>51.75</v>
      </c>
      <c r="F59" s="42">
        <v>1969</v>
      </c>
      <c r="G59" s="4">
        <v>101895.75</v>
      </c>
      <c r="H59" s="22" t="s">
        <v>139</v>
      </c>
      <c r="I59" s="16">
        <v>25</v>
      </c>
      <c r="J59" s="18">
        <v>2000</v>
      </c>
      <c r="K59" s="17">
        <f t="shared" si="0"/>
        <v>80</v>
      </c>
      <c r="L59" s="16">
        <v>25</v>
      </c>
      <c r="M59" s="18">
        <f t="shared" si="28"/>
        <v>1687.714285714286</v>
      </c>
      <c r="N59" s="18">
        <f t="shared" si="2"/>
        <v>67.508571428571443</v>
      </c>
      <c r="O59" s="19">
        <f t="shared" si="3"/>
        <v>0</v>
      </c>
      <c r="P59" s="20">
        <f t="shared" si="4"/>
        <v>-12.491428571428557</v>
      </c>
      <c r="Q59" s="21">
        <f t="shared" si="5"/>
        <v>0.84385714285714308</v>
      </c>
      <c r="R59" s="172"/>
      <c r="S59" s="28">
        <v>0.34791666666666665</v>
      </c>
      <c r="T59" s="28">
        <v>0.39652777777777776</v>
      </c>
      <c r="U59" s="4">
        <f t="shared" si="30"/>
        <v>6.9999999999999751</v>
      </c>
      <c r="V59" s="22">
        <f t="shared" si="29"/>
        <v>69.999999999999986</v>
      </c>
      <c r="W59" s="23"/>
      <c r="X59" s="23"/>
      <c r="Y59" s="26"/>
      <c r="Z59" s="26"/>
      <c r="AA59" s="164"/>
      <c r="AB59" s="164"/>
      <c r="AC59" s="25"/>
      <c r="AD59" s="25"/>
      <c r="AE59" s="19">
        <f t="shared" si="7"/>
        <v>-312.28571428571399</v>
      </c>
      <c r="AF59" s="21">
        <f t="shared" si="8"/>
        <v>0.84385714285714297</v>
      </c>
      <c r="AG59" s="172"/>
    </row>
    <row r="60" spans="1:33" ht="15.75" customHeight="1">
      <c r="A60" s="182" t="s">
        <v>70</v>
      </c>
      <c r="B60" s="37" t="s">
        <v>78</v>
      </c>
      <c r="C60" s="43" t="s">
        <v>122</v>
      </c>
      <c r="D60" s="44"/>
      <c r="E60" s="37">
        <v>54.09</v>
      </c>
      <c r="F60" s="42">
        <v>1987</v>
      </c>
      <c r="G60" s="4">
        <v>107476.83</v>
      </c>
      <c r="H60" s="22" t="s">
        <v>139</v>
      </c>
      <c r="I60" s="16">
        <v>19</v>
      </c>
      <c r="J60" s="18">
        <v>2000</v>
      </c>
      <c r="K60" s="17">
        <f t="shared" si="0"/>
        <v>105.26315789473684</v>
      </c>
      <c r="L60" s="16">
        <v>19</v>
      </c>
      <c r="M60" s="18">
        <f t="shared" si="28"/>
        <v>1834.1538461538457</v>
      </c>
      <c r="N60" s="18">
        <f t="shared" si="2"/>
        <v>96.534412955465569</v>
      </c>
      <c r="O60" s="19">
        <f t="shared" si="3"/>
        <v>0</v>
      </c>
      <c r="P60" s="20">
        <f t="shared" si="4"/>
        <v>-8.7287449392712659</v>
      </c>
      <c r="Q60" s="21">
        <f t="shared" si="5"/>
        <v>0.91707692307692301</v>
      </c>
      <c r="R60" s="172"/>
      <c r="S60" s="28">
        <v>0.39999999999999997</v>
      </c>
      <c r="T60" s="28">
        <v>0.44513888888888886</v>
      </c>
      <c r="U60" s="4">
        <f t="shared" si="30"/>
        <v>4.9999999999999822</v>
      </c>
      <c r="V60" s="22">
        <f t="shared" si="29"/>
        <v>65.000000000000014</v>
      </c>
      <c r="W60" s="23"/>
      <c r="X60" s="23"/>
      <c r="Y60" s="26"/>
      <c r="Z60" s="26"/>
      <c r="AA60" s="164"/>
      <c r="AB60" s="164"/>
      <c r="AC60" s="25"/>
      <c r="AD60" s="25"/>
      <c r="AE60" s="19">
        <f t="shared" si="7"/>
        <v>-165.84615384615427</v>
      </c>
      <c r="AF60" s="21">
        <f t="shared" si="8"/>
        <v>0.9170769230769229</v>
      </c>
      <c r="AG60" s="172"/>
    </row>
    <row r="61" spans="1:33" ht="15.75" customHeight="1">
      <c r="A61" s="182" t="s">
        <v>70</v>
      </c>
      <c r="B61" s="37" t="s">
        <v>78</v>
      </c>
      <c r="C61" s="173" t="s">
        <v>123</v>
      </c>
      <c r="D61" s="174"/>
      <c r="E61" s="37">
        <v>55.56</v>
      </c>
      <c r="F61" s="42">
        <v>2024</v>
      </c>
      <c r="G61" s="4">
        <v>112453.44</v>
      </c>
      <c r="H61" s="22" t="s">
        <v>139</v>
      </c>
      <c r="I61" s="16">
        <v>17</v>
      </c>
      <c r="J61" s="18">
        <v>2000</v>
      </c>
      <c r="K61" s="17">
        <f t="shared" si="0"/>
        <v>117.64705882352941</v>
      </c>
      <c r="L61" s="16">
        <v>17</v>
      </c>
      <c r="M61" s="18">
        <f t="shared" si="28"/>
        <v>1927.6190476190498</v>
      </c>
      <c r="N61" s="18">
        <f t="shared" si="2"/>
        <v>113.38935574229704</v>
      </c>
      <c r="O61" s="19">
        <f t="shared" si="3"/>
        <v>0</v>
      </c>
      <c r="P61" s="20">
        <f t="shared" si="4"/>
        <v>-4.2577030812323642</v>
      </c>
      <c r="Q61" s="21">
        <f t="shared" si="5"/>
        <v>0.96380952380952489</v>
      </c>
      <c r="R61" s="172"/>
      <c r="S61" s="28">
        <v>0.70833333333333337</v>
      </c>
      <c r="T61" s="28">
        <v>0.75208333333333333</v>
      </c>
      <c r="U61" s="4" t="str">
        <f t="shared" si="30"/>
        <v/>
      </c>
      <c r="V61" s="22">
        <f t="shared" si="29"/>
        <v>62.999999999999936</v>
      </c>
      <c r="W61" s="23"/>
      <c r="X61" s="23"/>
      <c r="Y61" s="26"/>
      <c r="Z61" s="26"/>
      <c r="AA61" s="175"/>
      <c r="AB61" s="176"/>
      <c r="AC61" s="25"/>
      <c r="AD61" s="25"/>
      <c r="AE61" s="19">
        <f t="shared" si="7"/>
        <v>-72.380952380950248</v>
      </c>
      <c r="AF61" s="21">
        <f t="shared" si="8"/>
        <v>0.96380952380952489</v>
      </c>
      <c r="AG61" s="172"/>
    </row>
    <row r="62" spans="1:33" ht="15.75" customHeight="1">
      <c r="A62" s="182" t="s">
        <v>70</v>
      </c>
      <c r="B62" s="37" t="s">
        <v>78</v>
      </c>
      <c r="C62" s="173" t="s">
        <v>124</v>
      </c>
      <c r="D62" s="174"/>
      <c r="E62" s="37">
        <v>55.32</v>
      </c>
      <c r="F62" s="42">
        <v>1466</v>
      </c>
      <c r="G62" s="4">
        <v>81099.12</v>
      </c>
      <c r="H62" s="22" t="s">
        <v>139</v>
      </c>
      <c r="I62" s="16">
        <v>15</v>
      </c>
      <c r="J62" s="18">
        <v>2000</v>
      </c>
      <c r="K62" s="17">
        <f t="shared" si="0"/>
        <v>133.33333333333334</v>
      </c>
      <c r="L62" s="16">
        <v>15</v>
      </c>
      <c r="M62" s="18">
        <f t="shared" si="28"/>
        <v>1912.1739130434783</v>
      </c>
      <c r="N62" s="18">
        <f t="shared" si="2"/>
        <v>127.47826086956522</v>
      </c>
      <c r="O62" s="19">
        <f t="shared" si="3"/>
        <v>0</v>
      </c>
      <c r="P62" s="20">
        <f t="shared" si="4"/>
        <v>-5.8550724637681242</v>
      </c>
      <c r="Q62" s="21">
        <f t="shared" si="5"/>
        <v>0.95608695652173903</v>
      </c>
      <c r="R62" s="172"/>
      <c r="S62" s="28">
        <v>0.75555555555555554</v>
      </c>
      <c r="T62" s="28">
        <v>0.78749999999999998</v>
      </c>
      <c r="U62" s="4">
        <f t="shared" si="30"/>
        <v>4.9999999999999822</v>
      </c>
      <c r="V62" s="22">
        <f t="shared" si="29"/>
        <v>46</v>
      </c>
      <c r="W62" s="23"/>
      <c r="X62" s="23"/>
      <c r="Y62" s="26"/>
      <c r="Z62" s="26"/>
      <c r="AA62" s="175"/>
      <c r="AB62" s="176"/>
      <c r="AC62" s="25"/>
      <c r="AD62" s="25"/>
      <c r="AE62" s="19">
        <f t="shared" si="7"/>
        <v>-87.826086956521749</v>
      </c>
      <c r="AF62" s="21">
        <f t="shared" si="8"/>
        <v>0.95608695652173914</v>
      </c>
      <c r="AG62" s="172"/>
    </row>
    <row r="63" spans="1:33" ht="15.75" customHeight="1">
      <c r="A63" s="182" t="s">
        <v>70</v>
      </c>
      <c r="B63" s="37" t="s">
        <v>78</v>
      </c>
      <c r="C63" s="173" t="s">
        <v>125</v>
      </c>
      <c r="D63" s="174"/>
      <c r="E63" s="37">
        <v>54.29</v>
      </c>
      <c r="F63" s="42">
        <v>500</v>
      </c>
      <c r="G63" s="4">
        <v>27145</v>
      </c>
      <c r="H63" s="22">
        <v>2</v>
      </c>
      <c r="I63" s="16">
        <v>20</v>
      </c>
      <c r="J63" s="18">
        <v>2000</v>
      </c>
      <c r="K63" s="17">
        <f t="shared" si="0"/>
        <v>100</v>
      </c>
      <c r="L63" s="16">
        <v>20</v>
      </c>
      <c r="M63" s="18">
        <f t="shared" si="28"/>
        <v>1875.0000000000066</v>
      </c>
      <c r="N63" s="18">
        <f t="shared" si="2"/>
        <v>93.750000000000327</v>
      </c>
      <c r="O63" s="19">
        <f t="shared" si="3"/>
        <v>0</v>
      </c>
      <c r="P63" s="20">
        <f t="shared" si="4"/>
        <v>-6.2499999999996732</v>
      </c>
      <c r="Q63" s="21">
        <f t="shared" si="5"/>
        <v>0.93750000000000322</v>
      </c>
      <c r="R63" s="172"/>
      <c r="S63" s="28">
        <v>0.79166666666666663</v>
      </c>
      <c r="T63" s="28">
        <v>0.8027777777777777</v>
      </c>
      <c r="U63" s="4">
        <f t="shared" si="30"/>
        <v>5.9999999999999787</v>
      </c>
      <c r="V63" s="22">
        <f t="shared" si="29"/>
        <v>15.999999999999943</v>
      </c>
      <c r="W63" s="23"/>
      <c r="X63" s="23"/>
      <c r="Y63" s="26"/>
      <c r="Z63" s="26"/>
      <c r="AA63" s="175"/>
      <c r="AB63" s="176"/>
      <c r="AC63" s="25"/>
      <c r="AD63" s="25"/>
      <c r="AE63" s="19">
        <f t="shared" si="7"/>
        <v>-124.99999999999341</v>
      </c>
      <c r="AF63" s="21">
        <f t="shared" si="8"/>
        <v>0.93750000000000333</v>
      </c>
      <c r="AG63" s="172"/>
    </row>
    <row r="64" spans="1:33">
      <c r="A64" s="182" t="s">
        <v>70</v>
      </c>
      <c r="B64" s="37" t="s">
        <v>78</v>
      </c>
      <c r="C64" s="173" t="s">
        <v>126</v>
      </c>
      <c r="D64" s="174"/>
      <c r="E64" s="37">
        <v>57.73</v>
      </c>
      <c r="F64" s="42">
        <v>1191</v>
      </c>
      <c r="G64" s="4">
        <v>68756.429999999993</v>
      </c>
      <c r="H64" s="22" t="s">
        <v>139</v>
      </c>
      <c r="I64" s="16">
        <v>16</v>
      </c>
      <c r="J64" s="18">
        <v>1500</v>
      </c>
      <c r="K64" s="17">
        <f t="shared" si="0"/>
        <v>93.75</v>
      </c>
      <c r="L64" s="16">
        <v>16</v>
      </c>
      <c r="M64" s="18">
        <f t="shared" si="28"/>
        <v>1429.2000000000005</v>
      </c>
      <c r="N64" s="18">
        <f t="shared" si="2"/>
        <v>89.325000000000031</v>
      </c>
      <c r="O64" s="19">
        <f t="shared" si="3"/>
        <v>0</v>
      </c>
      <c r="P64" s="20">
        <f t="shared" si="4"/>
        <v>-4.4249999999999687</v>
      </c>
      <c r="Q64" s="21">
        <f t="shared" si="5"/>
        <v>0.95280000000000031</v>
      </c>
      <c r="R64" s="172"/>
      <c r="S64" s="28">
        <v>0.80694444444444435</v>
      </c>
      <c r="T64" s="28">
        <v>0.84166666666666656</v>
      </c>
      <c r="U64" s="4">
        <f t="shared" si="30"/>
        <v>5.9999999999999787</v>
      </c>
      <c r="V64" s="22">
        <f t="shared" si="29"/>
        <v>49.999999999999986</v>
      </c>
      <c r="W64" s="23">
        <f>T64</f>
        <v>0.84166666666666656</v>
      </c>
      <c r="X64" s="23">
        <f>S65</f>
        <v>0.88124999999999987</v>
      </c>
      <c r="Y64" s="26"/>
      <c r="Z64" s="26"/>
      <c r="AA64" s="175"/>
      <c r="AB64" s="176"/>
      <c r="AC64" s="25"/>
      <c r="AD64" s="25"/>
      <c r="AE64" s="19">
        <f t="shared" si="7"/>
        <v>-70.7999999999995</v>
      </c>
      <c r="AF64" s="21">
        <f t="shared" si="8"/>
        <v>0.95280000000000031</v>
      </c>
      <c r="AG64" s="172"/>
    </row>
    <row r="65" spans="1:33">
      <c r="A65" s="182" t="s">
        <v>70</v>
      </c>
      <c r="B65" s="37" t="s">
        <v>78</v>
      </c>
      <c r="C65" s="173" t="s">
        <v>125</v>
      </c>
      <c r="D65" s="174"/>
      <c r="E65" s="37">
        <v>54.29</v>
      </c>
      <c r="F65" s="42">
        <v>1515</v>
      </c>
      <c r="G65" s="4">
        <v>82249.350000000006</v>
      </c>
      <c r="H65" s="22" t="s">
        <v>139</v>
      </c>
      <c r="I65" s="16">
        <v>20</v>
      </c>
      <c r="J65" s="18">
        <v>2000</v>
      </c>
      <c r="K65" s="17">
        <f t="shared" si="0"/>
        <v>100</v>
      </c>
      <c r="L65" s="16">
        <v>20</v>
      </c>
      <c r="M65" s="18">
        <f t="shared" si="28"/>
        <v>1934.0425531914896</v>
      </c>
      <c r="N65" s="18">
        <f t="shared" si="2"/>
        <v>96.702127659574472</v>
      </c>
      <c r="O65" s="19">
        <f t="shared" si="3"/>
        <v>0</v>
      </c>
      <c r="P65" s="20">
        <f t="shared" si="4"/>
        <v>-3.2978723404255277</v>
      </c>
      <c r="Q65" s="21">
        <f t="shared" si="5"/>
        <v>0.96702127659574477</v>
      </c>
      <c r="R65" s="172"/>
      <c r="S65" s="28">
        <v>0.88124999999999987</v>
      </c>
      <c r="T65" s="28">
        <v>0.91388888888888875</v>
      </c>
      <c r="U65" s="4">
        <f t="shared" si="30"/>
        <v>56.999999999999957</v>
      </c>
      <c r="V65" s="22">
        <f t="shared" si="29"/>
        <v>46.999999999999993</v>
      </c>
      <c r="W65" s="23"/>
      <c r="X65" s="23"/>
      <c r="Y65" s="26"/>
      <c r="Z65" s="26"/>
      <c r="AA65" s="175"/>
      <c r="AB65" s="176"/>
      <c r="AC65" s="25"/>
      <c r="AD65" s="25"/>
      <c r="AE65" s="19">
        <f t="shared" si="7"/>
        <v>-65.95744680851044</v>
      </c>
      <c r="AF65" s="21">
        <f t="shared" si="8"/>
        <v>0.96702127659574477</v>
      </c>
      <c r="AG65" s="172"/>
    </row>
    <row r="66" spans="1:33">
      <c r="A66" s="183" t="s">
        <v>70</v>
      </c>
      <c r="B66" s="37" t="s">
        <v>51</v>
      </c>
      <c r="C66" s="177"/>
      <c r="D66" s="177"/>
      <c r="E66" s="38"/>
      <c r="F66" s="17"/>
      <c r="G66" s="17"/>
      <c r="H66" s="4"/>
      <c r="I66" s="30">
        <v>18.8</v>
      </c>
      <c r="J66" s="18">
        <v>1950</v>
      </c>
      <c r="K66" s="17">
        <f t="shared" si="0"/>
        <v>103.72340425531914</v>
      </c>
      <c r="L66" s="30">
        <v>18.8</v>
      </c>
      <c r="M66" s="18">
        <f>AVERAGE(M56:M65)</f>
        <v>1817.3743282722819</v>
      </c>
      <c r="N66" s="17">
        <f t="shared" si="2"/>
        <v>96.668847248525623</v>
      </c>
      <c r="O66" s="19">
        <f t="shared" si="3"/>
        <v>0</v>
      </c>
      <c r="P66" s="20">
        <f t="shared" si="4"/>
        <v>-7.0545570067935159</v>
      </c>
      <c r="Q66" s="21">
        <f t="shared" si="5"/>
        <v>0.93198683501142665</v>
      </c>
      <c r="R66" s="172"/>
      <c r="S66" s="28"/>
      <c r="T66" s="28"/>
      <c r="U66" s="4"/>
      <c r="V66" s="22"/>
      <c r="W66" s="17"/>
      <c r="X66" s="17"/>
      <c r="Y66" s="31">
        <f>SUM(Y56:Y65)</f>
        <v>0</v>
      </c>
      <c r="Z66" s="31">
        <f>SUM(Z56:Z65)</f>
        <v>0</v>
      </c>
      <c r="AA66" s="168"/>
      <c r="AB66" s="168"/>
      <c r="AC66" s="31">
        <v>5</v>
      </c>
      <c r="AD66" s="31">
        <f>SUM(AD56:AD65)</f>
        <v>0</v>
      </c>
      <c r="AE66" s="19">
        <f>M66-J66</f>
        <v>-132.6256717277181</v>
      </c>
      <c r="AF66" s="21">
        <f t="shared" si="8"/>
        <v>0.93198683501142665</v>
      </c>
      <c r="AG66" s="172"/>
    </row>
    <row r="67" spans="1:33" ht="15.75" customHeight="1">
      <c r="A67" s="178" t="s">
        <v>73</v>
      </c>
      <c r="B67" s="4" t="s">
        <v>84</v>
      </c>
      <c r="C67" s="165" t="s">
        <v>127</v>
      </c>
      <c r="D67" s="165"/>
      <c r="E67" s="37">
        <v>26.97</v>
      </c>
      <c r="F67" s="42">
        <v>2511</v>
      </c>
      <c r="G67" s="4">
        <v>67721.67</v>
      </c>
      <c r="H67" s="22" t="s">
        <v>139</v>
      </c>
      <c r="I67" s="16">
        <v>8</v>
      </c>
      <c r="J67" s="18">
        <v>1500</v>
      </c>
      <c r="K67" s="17">
        <f t="shared" si="0"/>
        <v>187.5</v>
      </c>
      <c r="L67" s="16">
        <v>8</v>
      </c>
      <c r="M67" s="18">
        <f t="shared" ref="M67:M72" si="31">F67/V67*60</f>
        <v>1434.8571428571431</v>
      </c>
      <c r="N67" s="17">
        <f t="shared" si="2"/>
        <v>179.35714285714289</v>
      </c>
      <c r="O67" s="19">
        <f t="shared" si="3"/>
        <v>0</v>
      </c>
      <c r="P67" s="20">
        <f t="shared" si="4"/>
        <v>-8.1428571428571104</v>
      </c>
      <c r="Q67" s="21">
        <f t="shared" si="5"/>
        <v>0.95657142857142874</v>
      </c>
      <c r="R67" s="172">
        <f>Q73</f>
        <v>0.96885887733030396</v>
      </c>
      <c r="S67" s="28">
        <v>0.20833333333333334</v>
      </c>
      <c r="T67" s="28">
        <v>0.28125</v>
      </c>
      <c r="U67" s="4"/>
      <c r="V67" s="22">
        <f t="shared" ref="V67:V72" si="32">(T67-S67)*24*60</f>
        <v>104.99999999999999</v>
      </c>
      <c r="W67" s="28"/>
      <c r="X67" s="28"/>
      <c r="Y67" s="28"/>
      <c r="Z67" s="28"/>
      <c r="AA67" s="164"/>
      <c r="AB67" s="164"/>
      <c r="AC67" s="25">
        <v>1</v>
      </c>
      <c r="AD67" s="25"/>
      <c r="AE67" s="19">
        <f t="shared" ref="AE67:AE82" si="33">M67-J67</f>
        <v>-65.142857142856883</v>
      </c>
      <c r="AF67" s="21">
        <f t="shared" si="8"/>
        <v>0.95657142857142874</v>
      </c>
      <c r="AG67" s="172">
        <f>AF73</f>
        <v>0.96885887733030396</v>
      </c>
    </row>
    <row r="68" spans="1:33" ht="15.75" customHeight="1">
      <c r="A68" s="178" t="s">
        <v>73</v>
      </c>
      <c r="B68" s="4" t="s">
        <v>84</v>
      </c>
      <c r="C68" s="165" t="s">
        <v>128</v>
      </c>
      <c r="D68" s="165"/>
      <c r="E68" s="37">
        <v>27.4</v>
      </c>
      <c r="F68" s="42">
        <v>1847</v>
      </c>
      <c r="G68" s="4">
        <v>50607.799999999996</v>
      </c>
      <c r="H68" s="22" t="s">
        <v>139</v>
      </c>
      <c r="I68" s="16">
        <v>10</v>
      </c>
      <c r="J68" s="18">
        <v>1500</v>
      </c>
      <c r="K68" s="17">
        <f t="shared" si="0"/>
        <v>150</v>
      </c>
      <c r="L68" s="16">
        <v>10</v>
      </c>
      <c r="M68" s="18">
        <f t="shared" si="31"/>
        <v>1439.2207792207785</v>
      </c>
      <c r="N68" s="17">
        <f t="shared" si="2"/>
        <v>143.92207792207785</v>
      </c>
      <c r="O68" s="19">
        <f t="shared" si="3"/>
        <v>0</v>
      </c>
      <c r="P68" s="20">
        <f t="shared" si="4"/>
        <v>-6.0779220779221532</v>
      </c>
      <c r="Q68" s="21">
        <f t="shared" si="5"/>
        <v>0.95948051948051893</v>
      </c>
      <c r="R68" s="172"/>
      <c r="S68" s="28">
        <v>0.28680555555555554</v>
      </c>
      <c r="T68" s="28">
        <v>0.34027777777777779</v>
      </c>
      <c r="U68" s="4">
        <f t="shared" ref="U68:U72" si="34">(S68-T67)*24*60</f>
        <v>7.9999999999999716</v>
      </c>
      <c r="V68" s="22">
        <f t="shared" si="32"/>
        <v>77.000000000000043</v>
      </c>
      <c r="W68" s="4"/>
      <c r="X68" s="4"/>
      <c r="Y68" s="4"/>
      <c r="Z68" s="4"/>
      <c r="AA68" s="164"/>
      <c r="AB68" s="164"/>
      <c r="AC68" s="25"/>
      <c r="AD68" s="25"/>
      <c r="AE68" s="19">
        <f t="shared" si="33"/>
        <v>-60.779220779221532</v>
      </c>
      <c r="AF68" s="21">
        <f t="shared" si="8"/>
        <v>0.95948051948051893</v>
      </c>
      <c r="AG68" s="172"/>
    </row>
    <row r="69" spans="1:33" ht="15.75" customHeight="1">
      <c r="A69" s="178" t="s">
        <v>73</v>
      </c>
      <c r="B69" s="4" t="s">
        <v>111</v>
      </c>
      <c r="C69" s="165" t="s">
        <v>129</v>
      </c>
      <c r="D69" s="165"/>
      <c r="E69" s="37">
        <v>31</v>
      </c>
      <c r="F69" s="42">
        <v>948</v>
      </c>
      <c r="G69" s="4">
        <v>29388</v>
      </c>
      <c r="H69" s="22" t="s">
        <v>139</v>
      </c>
      <c r="I69" s="16">
        <v>13</v>
      </c>
      <c r="J69" s="18">
        <v>2000</v>
      </c>
      <c r="K69" s="17">
        <f t="shared" ref="K69:K82" si="35">J69/I69</f>
        <v>153.84615384615384</v>
      </c>
      <c r="L69" s="16">
        <v>13</v>
      </c>
      <c r="M69" s="18">
        <f t="shared" si="31"/>
        <v>1961.3793103448288</v>
      </c>
      <c r="N69" s="17">
        <f t="shared" ref="N69:N82" si="36">M69/L69</f>
        <v>150.87533156498682</v>
      </c>
      <c r="O69" s="19">
        <f t="shared" ref="O69:O82" si="37">L69-I69</f>
        <v>0</v>
      </c>
      <c r="P69" s="20">
        <f t="shared" ref="P69:P82" si="38">N69-K69</f>
        <v>-2.9708222811670169</v>
      </c>
      <c r="Q69" s="21">
        <f t="shared" ref="Q69:Q82" si="39">N69/K69</f>
        <v>0.98068965517241435</v>
      </c>
      <c r="R69" s="172"/>
      <c r="S69" s="28">
        <v>0.34375</v>
      </c>
      <c r="T69" s="28">
        <v>0.36388888888888887</v>
      </c>
      <c r="U69" s="4">
        <f t="shared" si="34"/>
        <v>4.9999999999999822</v>
      </c>
      <c r="V69" s="22">
        <f t="shared" si="32"/>
        <v>28.999999999999979</v>
      </c>
      <c r="W69" s="4"/>
      <c r="X69" s="4"/>
      <c r="Y69" s="4"/>
      <c r="Z69" s="4"/>
      <c r="AA69" s="164"/>
      <c r="AB69" s="164"/>
      <c r="AC69" s="25" t="s">
        <v>139</v>
      </c>
      <c r="AD69" s="25"/>
      <c r="AE69" s="19">
        <f t="shared" si="33"/>
        <v>-38.620689655171191</v>
      </c>
      <c r="AF69" s="21">
        <f t="shared" ref="AF69:AF82" si="40">M69/J69</f>
        <v>0.98068965517241435</v>
      </c>
      <c r="AG69" s="172"/>
    </row>
    <row r="70" spans="1:33" ht="15.75" customHeight="1">
      <c r="A70" s="178" t="s">
        <v>73</v>
      </c>
      <c r="B70" s="4" t="s">
        <v>111</v>
      </c>
      <c r="C70" s="165" t="s">
        <v>130</v>
      </c>
      <c r="D70" s="165"/>
      <c r="E70" s="37">
        <v>37.85</v>
      </c>
      <c r="F70" s="42">
        <v>2876</v>
      </c>
      <c r="G70" s="4">
        <v>108856.6</v>
      </c>
      <c r="H70" s="22" t="s">
        <v>139</v>
      </c>
      <c r="I70" s="16">
        <v>12</v>
      </c>
      <c r="J70" s="18">
        <v>2000</v>
      </c>
      <c r="K70" s="17">
        <f t="shared" si="35"/>
        <v>166.66666666666666</v>
      </c>
      <c r="L70" s="16">
        <v>12</v>
      </c>
      <c r="M70" s="18">
        <f t="shared" si="31"/>
        <v>1917.3333333333333</v>
      </c>
      <c r="N70" s="17">
        <f t="shared" si="36"/>
        <v>159.77777777777777</v>
      </c>
      <c r="O70" s="19">
        <f t="shared" si="37"/>
        <v>0</v>
      </c>
      <c r="P70" s="20">
        <f t="shared" si="38"/>
        <v>-6.8888888888888857</v>
      </c>
      <c r="Q70" s="21">
        <f t="shared" si="39"/>
        <v>0.95866666666666667</v>
      </c>
      <c r="R70" s="172"/>
      <c r="S70" s="28">
        <v>0.36874999999999997</v>
      </c>
      <c r="T70" s="28">
        <v>0.43124999999999997</v>
      </c>
      <c r="U70" s="4">
        <f t="shared" si="34"/>
        <v>6.9999999999999751</v>
      </c>
      <c r="V70" s="22">
        <f t="shared" si="32"/>
        <v>90</v>
      </c>
      <c r="W70" s="4"/>
      <c r="X70" s="4"/>
      <c r="Y70" s="4"/>
      <c r="Z70" s="4"/>
      <c r="AA70" s="164"/>
      <c r="AB70" s="164"/>
      <c r="AC70" s="25" t="s">
        <v>139</v>
      </c>
      <c r="AD70" s="25"/>
      <c r="AE70" s="19">
        <f t="shared" si="33"/>
        <v>-82.666666666666742</v>
      </c>
      <c r="AF70" s="21">
        <f t="shared" si="40"/>
        <v>0.95866666666666667</v>
      </c>
      <c r="AG70" s="172"/>
    </row>
    <row r="71" spans="1:33">
      <c r="A71" s="179" t="s">
        <v>73</v>
      </c>
      <c r="B71" s="4" t="s">
        <v>111</v>
      </c>
      <c r="C71" s="165" t="s">
        <v>131</v>
      </c>
      <c r="D71" s="165"/>
      <c r="E71" s="37">
        <v>34.36</v>
      </c>
      <c r="F71" s="42">
        <v>1853</v>
      </c>
      <c r="G71" s="4">
        <v>63669.08</v>
      </c>
      <c r="H71" s="22" t="s">
        <v>139</v>
      </c>
      <c r="I71" s="16">
        <v>10</v>
      </c>
      <c r="J71" s="18">
        <v>3000</v>
      </c>
      <c r="K71" s="17">
        <f t="shared" si="35"/>
        <v>300</v>
      </c>
      <c r="L71" s="16">
        <v>10</v>
      </c>
      <c r="M71" s="18">
        <f t="shared" si="31"/>
        <v>2925.7894736842086</v>
      </c>
      <c r="N71" s="17">
        <f t="shared" si="36"/>
        <v>292.57894736842087</v>
      </c>
      <c r="O71" s="19">
        <f t="shared" si="37"/>
        <v>0</v>
      </c>
      <c r="P71" s="20">
        <f t="shared" si="38"/>
        <v>-7.4210526315791299</v>
      </c>
      <c r="Q71" s="21">
        <f t="shared" si="39"/>
        <v>0.97526315789473628</v>
      </c>
      <c r="R71" s="172"/>
      <c r="S71" s="28">
        <v>0.4368055555555555</v>
      </c>
      <c r="T71" s="28">
        <v>0.46319444444444441</v>
      </c>
      <c r="U71" s="4">
        <f t="shared" si="34"/>
        <v>7.9999999999999716</v>
      </c>
      <c r="V71" s="22">
        <f t="shared" si="32"/>
        <v>38.000000000000028</v>
      </c>
      <c r="W71" s="23"/>
      <c r="X71" s="23"/>
      <c r="Y71" s="23"/>
      <c r="Z71" s="23"/>
      <c r="AA71" s="164"/>
      <c r="AB71" s="164"/>
      <c r="AC71" s="25" t="s">
        <v>139</v>
      </c>
      <c r="AD71" s="25"/>
      <c r="AE71" s="19">
        <f t="shared" si="33"/>
        <v>-74.210526315791412</v>
      </c>
      <c r="AF71" s="21">
        <f t="shared" si="40"/>
        <v>0.97526315789473617</v>
      </c>
      <c r="AG71" s="172"/>
    </row>
    <row r="72" spans="1:33" ht="15" customHeight="1">
      <c r="A72" s="179" t="s">
        <v>73</v>
      </c>
      <c r="B72" s="4" t="s">
        <v>111</v>
      </c>
      <c r="C72" s="173" t="s">
        <v>132</v>
      </c>
      <c r="D72" s="174"/>
      <c r="E72" s="37">
        <v>32.020000000000003</v>
      </c>
      <c r="F72" s="42">
        <v>1993</v>
      </c>
      <c r="G72" s="4">
        <v>63815.860000000008</v>
      </c>
      <c r="H72" s="22" t="s">
        <v>139</v>
      </c>
      <c r="I72" s="16">
        <v>11</v>
      </c>
      <c r="J72" s="18">
        <v>3000</v>
      </c>
      <c r="K72" s="17">
        <f t="shared" si="35"/>
        <v>272.72727272727275</v>
      </c>
      <c r="L72" s="16">
        <v>11</v>
      </c>
      <c r="M72" s="18">
        <f t="shared" si="31"/>
        <v>2916.5853658536575</v>
      </c>
      <c r="N72" s="17">
        <f t="shared" si="36"/>
        <v>265.14412416851434</v>
      </c>
      <c r="O72" s="19">
        <f t="shared" si="37"/>
        <v>0</v>
      </c>
      <c r="P72" s="20">
        <f t="shared" si="38"/>
        <v>-7.5831485587584098</v>
      </c>
      <c r="Q72" s="21">
        <f t="shared" si="39"/>
        <v>0.97219512195121915</v>
      </c>
      <c r="R72" s="172"/>
      <c r="S72" s="28">
        <v>0.46874999999999994</v>
      </c>
      <c r="T72" s="28">
        <v>0.49722222222222218</v>
      </c>
      <c r="U72" s="4">
        <f t="shared" si="34"/>
        <v>7.9999999999999716</v>
      </c>
      <c r="V72" s="22">
        <f t="shared" si="32"/>
        <v>41.000000000000014</v>
      </c>
      <c r="W72" s="4"/>
      <c r="X72" s="4"/>
      <c r="Y72" s="32"/>
      <c r="Z72" s="32"/>
      <c r="AA72" s="175"/>
      <c r="AB72" s="176"/>
      <c r="AC72" s="25" t="s">
        <v>139</v>
      </c>
      <c r="AD72" s="25"/>
      <c r="AE72" s="19">
        <f t="shared" si="33"/>
        <v>-83.414634146342451</v>
      </c>
      <c r="AF72" s="21">
        <f t="shared" si="40"/>
        <v>0.97219512195121915</v>
      </c>
      <c r="AG72" s="172"/>
    </row>
    <row r="73" spans="1:33">
      <c r="A73" s="179" t="s">
        <v>73</v>
      </c>
      <c r="B73" s="37" t="s">
        <v>51</v>
      </c>
      <c r="C73" s="177"/>
      <c r="D73" s="177"/>
      <c r="E73" s="38"/>
      <c r="F73" s="17"/>
      <c r="G73" s="17"/>
      <c r="H73" s="4"/>
      <c r="I73" s="30">
        <v>10.666666666666666</v>
      </c>
      <c r="J73" s="18">
        <v>2166.6666666666665</v>
      </c>
      <c r="K73" s="17">
        <f t="shared" si="35"/>
        <v>203.125</v>
      </c>
      <c r="L73" s="30">
        <v>10.666666666666666</v>
      </c>
      <c r="M73" s="18">
        <f>AVERAGE(M67:M72)</f>
        <v>2099.1942342156585</v>
      </c>
      <c r="N73" s="17">
        <f t="shared" si="36"/>
        <v>196.799459457718</v>
      </c>
      <c r="O73" s="19">
        <f t="shared" si="37"/>
        <v>0</v>
      </c>
      <c r="P73" s="20">
        <f t="shared" si="38"/>
        <v>-6.325540542281999</v>
      </c>
      <c r="Q73" s="21">
        <f t="shared" si="39"/>
        <v>0.96885887733030396</v>
      </c>
      <c r="R73" s="172"/>
      <c r="S73" s="28"/>
      <c r="T73" s="28"/>
      <c r="U73" s="17"/>
      <c r="V73" s="22"/>
      <c r="W73" s="17"/>
      <c r="X73" s="17"/>
      <c r="Y73" s="31">
        <f>SUM(Y67:Y72)</f>
        <v>0</v>
      </c>
      <c r="Z73" s="31">
        <f>SUM(Z67:Z72)</f>
        <v>0</v>
      </c>
      <c r="AA73" s="168"/>
      <c r="AB73" s="168"/>
      <c r="AC73" s="31">
        <v>1</v>
      </c>
      <c r="AD73" s="31">
        <f>SUM(AD67:AD72)</f>
        <v>0</v>
      </c>
      <c r="AE73" s="19">
        <f t="shared" si="33"/>
        <v>-67.47243245100799</v>
      </c>
      <c r="AF73" s="21">
        <f t="shared" si="40"/>
        <v>0.96885887733030396</v>
      </c>
      <c r="AG73" s="172"/>
    </row>
    <row r="74" spans="1:33" ht="15.75" customHeight="1">
      <c r="A74" s="169" t="s">
        <v>75</v>
      </c>
      <c r="B74" s="4" t="s">
        <v>100</v>
      </c>
      <c r="C74" s="165" t="s">
        <v>133</v>
      </c>
      <c r="D74" s="165"/>
      <c r="E74" s="37">
        <v>20.2</v>
      </c>
      <c r="F74" s="4">
        <v>1967</v>
      </c>
      <c r="G74" s="4">
        <v>39733.4</v>
      </c>
      <c r="H74" s="22" t="s">
        <v>139</v>
      </c>
      <c r="I74" s="16">
        <v>19</v>
      </c>
      <c r="J74" s="18">
        <v>2400</v>
      </c>
      <c r="K74" s="17">
        <f t="shared" si="35"/>
        <v>126.31578947368421</v>
      </c>
      <c r="L74" s="16">
        <v>19</v>
      </c>
      <c r="M74" s="18">
        <f t="shared" ref="M74:M81" si="41">F74/V74*60</f>
        <v>2314.1176470588243</v>
      </c>
      <c r="N74" s="17">
        <f t="shared" si="36"/>
        <v>121.79566563467496</v>
      </c>
      <c r="O74" s="19">
        <f t="shared" si="37"/>
        <v>0</v>
      </c>
      <c r="P74" s="20">
        <f t="shared" si="38"/>
        <v>-4.5201238390092442</v>
      </c>
      <c r="Q74" s="21">
        <f t="shared" si="39"/>
        <v>0.96421568627451015</v>
      </c>
      <c r="R74" s="172">
        <f>Q82</f>
        <v>0.95889217571695451</v>
      </c>
      <c r="S74" s="28">
        <v>0.125</v>
      </c>
      <c r="T74" s="28">
        <v>0.16041666666666665</v>
      </c>
      <c r="U74" s="28"/>
      <c r="V74" s="22">
        <f t="shared" ref="V74:V81" si="42">(T74-S74)*24*60</f>
        <v>50.999999999999979</v>
      </c>
      <c r="W74" s="23">
        <f>T74</f>
        <v>0.16041666666666665</v>
      </c>
      <c r="X74" s="23">
        <f>S75</f>
        <v>0.18124999999999999</v>
      </c>
      <c r="Y74" s="23"/>
      <c r="Z74" s="23"/>
      <c r="AA74" s="164"/>
      <c r="AB74" s="164"/>
      <c r="AC74" s="25">
        <v>7</v>
      </c>
      <c r="AD74" s="25"/>
      <c r="AE74" s="19">
        <f t="shared" si="33"/>
        <v>-85.882352941175668</v>
      </c>
      <c r="AF74" s="21">
        <f t="shared" si="40"/>
        <v>0.96421568627451015</v>
      </c>
      <c r="AG74" s="172">
        <f>AF82</f>
        <v>0.95889217571695462</v>
      </c>
    </row>
    <row r="75" spans="1:33" ht="15.75" customHeight="1">
      <c r="A75" s="170" t="s">
        <v>292</v>
      </c>
      <c r="B75" s="4" t="s">
        <v>100</v>
      </c>
      <c r="C75" s="165" t="s">
        <v>134</v>
      </c>
      <c r="D75" s="165"/>
      <c r="E75" s="37">
        <v>20.52</v>
      </c>
      <c r="F75" s="4">
        <v>2795</v>
      </c>
      <c r="G75" s="4">
        <v>57353.4</v>
      </c>
      <c r="H75" s="22" t="s">
        <v>139</v>
      </c>
      <c r="I75" s="16">
        <v>18</v>
      </c>
      <c r="J75" s="18">
        <v>2400</v>
      </c>
      <c r="K75" s="17">
        <f t="shared" si="35"/>
        <v>133.33333333333334</v>
      </c>
      <c r="L75" s="16">
        <v>18</v>
      </c>
      <c r="M75" s="18">
        <f t="shared" si="41"/>
        <v>2297.260273972603</v>
      </c>
      <c r="N75" s="17">
        <f t="shared" si="36"/>
        <v>127.62557077625573</v>
      </c>
      <c r="O75" s="19">
        <f t="shared" si="37"/>
        <v>0</v>
      </c>
      <c r="P75" s="20">
        <f t="shared" si="38"/>
        <v>-5.7077625570776149</v>
      </c>
      <c r="Q75" s="21">
        <f t="shared" si="39"/>
        <v>0.95719178082191791</v>
      </c>
      <c r="R75" s="172"/>
      <c r="S75" s="28">
        <v>0.18124999999999999</v>
      </c>
      <c r="T75" s="28">
        <v>0.23194444444444443</v>
      </c>
      <c r="U75" s="4">
        <f t="shared" ref="U75:U81" si="43">(S75-T74)*24*60</f>
        <v>30.000000000000014</v>
      </c>
      <c r="V75" s="22">
        <f t="shared" si="42"/>
        <v>72.999999999999986</v>
      </c>
      <c r="W75" s="23"/>
      <c r="X75" s="23"/>
      <c r="Y75" s="23"/>
      <c r="Z75" s="23"/>
      <c r="AA75" s="164"/>
      <c r="AB75" s="164"/>
      <c r="AC75" s="25"/>
      <c r="AD75" s="25"/>
      <c r="AE75" s="19">
        <f t="shared" si="33"/>
        <v>-102.73972602739696</v>
      </c>
      <c r="AF75" s="21">
        <f t="shared" si="40"/>
        <v>0.95719178082191791</v>
      </c>
      <c r="AG75" s="172"/>
    </row>
    <row r="76" spans="1:33" ht="15.75" customHeight="1">
      <c r="A76" s="170" t="s">
        <v>292</v>
      </c>
      <c r="B76" s="4" t="s">
        <v>100</v>
      </c>
      <c r="C76" s="165" t="s">
        <v>135</v>
      </c>
      <c r="D76" s="165"/>
      <c r="E76" s="37">
        <v>19.02</v>
      </c>
      <c r="F76" s="4">
        <v>5400</v>
      </c>
      <c r="G76" s="4">
        <v>102708</v>
      </c>
      <c r="H76" s="22">
        <v>2</v>
      </c>
      <c r="I76" s="16">
        <v>15</v>
      </c>
      <c r="J76" s="18">
        <v>2400</v>
      </c>
      <c r="K76" s="17">
        <f t="shared" si="35"/>
        <v>160</v>
      </c>
      <c r="L76" s="16">
        <v>15</v>
      </c>
      <c r="M76" s="18">
        <f t="shared" si="41"/>
        <v>2297.8723404255315</v>
      </c>
      <c r="N76" s="17">
        <f t="shared" si="36"/>
        <v>153.19148936170211</v>
      </c>
      <c r="O76" s="19">
        <f t="shared" si="37"/>
        <v>0</v>
      </c>
      <c r="P76" s="20">
        <f t="shared" si="38"/>
        <v>-6.8085106382978893</v>
      </c>
      <c r="Q76" s="21">
        <f t="shared" si="39"/>
        <v>0.95744680851063824</v>
      </c>
      <c r="R76" s="172"/>
      <c r="S76" s="28">
        <v>0.23541666666666664</v>
      </c>
      <c r="T76" s="28">
        <v>0.33333333333333331</v>
      </c>
      <c r="U76" s="4">
        <f t="shared" si="43"/>
        <v>4.9999999999999822</v>
      </c>
      <c r="V76" s="22">
        <f t="shared" si="42"/>
        <v>141.00000000000003</v>
      </c>
      <c r="W76" s="23"/>
      <c r="X76" s="23"/>
      <c r="Y76" s="23"/>
      <c r="Z76" s="23"/>
      <c r="AA76" s="164"/>
      <c r="AB76" s="164"/>
      <c r="AC76" s="25"/>
      <c r="AD76" s="25"/>
      <c r="AE76" s="19">
        <f t="shared" si="33"/>
        <v>-102.12765957446845</v>
      </c>
      <c r="AF76" s="21">
        <f t="shared" si="40"/>
        <v>0.95744680851063813</v>
      </c>
      <c r="AG76" s="172"/>
    </row>
    <row r="77" spans="1:33" ht="15.75" customHeight="1">
      <c r="A77" s="170" t="s">
        <v>293</v>
      </c>
      <c r="B77" s="4" t="s">
        <v>100</v>
      </c>
      <c r="C77" s="165" t="s">
        <v>136</v>
      </c>
      <c r="D77" s="165"/>
      <c r="E77" s="37">
        <v>24.43</v>
      </c>
      <c r="F77" s="4">
        <v>3600</v>
      </c>
      <c r="G77" s="4">
        <v>87948</v>
      </c>
      <c r="H77" s="22">
        <v>2</v>
      </c>
      <c r="I77" s="16">
        <v>14</v>
      </c>
      <c r="J77" s="18">
        <v>2400</v>
      </c>
      <c r="K77" s="17">
        <f t="shared" si="35"/>
        <v>171.42857142857142</v>
      </c>
      <c r="L77" s="16">
        <v>14</v>
      </c>
      <c r="M77" s="18">
        <f t="shared" si="41"/>
        <v>2297.872340425532</v>
      </c>
      <c r="N77" s="17">
        <f t="shared" si="36"/>
        <v>164.13373860182372</v>
      </c>
      <c r="O77" s="19">
        <f t="shared" si="37"/>
        <v>0</v>
      </c>
      <c r="P77" s="20">
        <f t="shared" si="38"/>
        <v>-7.2948328267476938</v>
      </c>
      <c r="Q77" s="21">
        <f t="shared" si="39"/>
        <v>0.95744680851063846</v>
      </c>
      <c r="R77" s="172"/>
      <c r="S77" s="28">
        <v>0.33680555555555552</v>
      </c>
      <c r="T77" s="28">
        <v>0.40208333333333329</v>
      </c>
      <c r="U77" s="4">
        <f t="shared" si="43"/>
        <v>4.9999999999999822</v>
      </c>
      <c r="V77" s="22">
        <f t="shared" si="42"/>
        <v>93.999999999999986</v>
      </c>
      <c r="W77" s="23"/>
      <c r="X77" s="23"/>
      <c r="Y77" s="23"/>
      <c r="Z77" s="23"/>
      <c r="AA77" s="164"/>
      <c r="AB77" s="164"/>
      <c r="AC77" s="25"/>
      <c r="AD77" s="25"/>
      <c r="AE77" s="19">
        <f t="shared" si="33"/>
        <v>-102.127659574468</v>
      </c>
      <c r="AF77" s="21">
        <f t="shared" si="40"/>
        <v>0.95744680851063835</v>
      </c>
      <c r="AG77" s="172"/>
    </row>
    <row r="78" spans="1:33" ht="15.75" customHeight="1">
      <c r="A78" s="170" t="s">
        <v>293</v>
      </c>
      <c r="B78" s="4" t="s">
        <v>100</v>
      </c>
      <c r="C78" s="165" t="s">
        <v>137</v>
      </c>
      <c r="D78" s="165"/>
      <c r="E78" s="37">
        <v>20.21</v>
      </c>
      <c r="F78" s="4">
        <v>3116</v>
      </c>
      <c r="G78" s="4">
        <v>62974.36</v>
      </c>
      <c r="H78" s="22" t="s">
        <v>139</v>
      </c>
      <c r="I78" s="16">
        <v>16</v>
      </c>
      <c r="J78" s="18">
        <v>2400</v>
      </c>
      <c r="K78" s="17">
        <f t="shared" si="35"/>
        <v>150</v>
      </c>
      <c r="L78" s="16">
        <v>16</v>
      </c>
      <c r="M78" s="18">
        <f t="shared" si="41"/>
        <v>2308.1481481481474</v>
      </c>
      <c r="N78" s="17">
        <f t="shared" si="36"/>
        <v>144.25925925925921</v>
      </c>
      <c r="O78" s="19">
        <f t="shared" si="37"/>
        <v>0</v>
      </c>
      <c r="P78" s="20">
        <f t="shared" si="38"/>
        <v>-5.7407407407407902</v>
      </c>
      <c r="Q78" s="21">
        <f t="shared" si="39"/>
        <v>0.96172839506172803</v>
      </c>
      <c r="R78" s="172"/>
      <c r="S78" s="28">
        <v>0.40763888888888883</v>
      </c>
      <c r="T78" s="28">
        <v>0.46388888888888885</v>
      </c>
      <c r="U78" s="4">
        <f t="shared" si="43"/>
        <v>7.9999999999999716</v>
      </c>
      <c r="V78" s="22">
        <f t="shared" si="42"/>
        <v>81.000000000000028</v>
      </c>
      <c r="W78" s="23"/>
      <c r="X78" s="23"/>
      <c r="Y78" s="23"/>
      <c r="Z78" s="23"/>
      <c r="AA78" s="164"/>
      <c r="AB78" s="164"/>
      <c r="AC78" s="25"/>
      <c r="AD78" s="25"/>
      <c r="AE78" s="19">
        <f t="shared" si="33"/>
        <v>-91.851851851852643</v>
      </c>
      <c r="AF78" s="21">
        <f t="shared" si="40"/>
        <v>0.96172839506172803</v>
      </c>
      <c r="AG78" s="172"/>
    </row>
    <row r="79" spans="1:33" ht="15.75" customHeight="1">
      <c r="A79" s="170" t="s">
        <v>292</v>
      </c>
      <c r="B79" s="4" t="s">
        <v>100</v>
      </c>
      <c r="C79" s="165" t="s">
        <v>138</v>
      </c>
      <c r="D79" s="165"/>
      <c r="E79" s="37">
        <v>22.69</v>
      </c>
      <c r="F79" s="4">
        <v>1267</v>
      </c>
      <c r="G79" s="4">
        <v>28748.230000000003</v>
      </c>
      <c r="H79" s="22" t="s">
        <v>139</v>
      </c>
      <c r="I79" s="16">
        <v>15</v>
      </c>
      <c r="J79" s="18">
        <v>2400</v>
      </c>
      <c r="K79" s="17">
        <f t="shared" si="35"/>
        <v>160</v>
      </c>
      <c r="L79" s="16">
        <v>15</v>
      </c>
      <c r="M79" s="18">
        <f t="shared" si="41"/>
        <v>2303.6363636363658</v>
      </c>
      <c r="N79" s="17">
        <f t="shared" si="36"/>
        <v>153.57575757575771</v>
      </c>
      <c r="O79" s="19">
        <f t="shared" si="37"/>
        <v>0</v>
      </c>
      <c r="P79" s="20">
        <f t="shared" si="38"/>
        <v>-6.4242424242422942</v>
      </c>
      <c r="Q79" s="21">
        <f t="shared" si="39"/>
        <v>0.95984848484848562</v>
      </c>
      <c r="R79" s="172"/>
      <c r="S79" s="28">
        <v>0.4680555555555555</v>
      </c>
      <c r="T79" s="28">
        <v>0.49097222222222214</v>
      </c>
      <c r="U79" s="4">
        <f t="shared" si="43"/>
        <v>5.9999999999999787</v>
      </c>
      <c r="V79" s="22">
        <f t="shared" si="42"/>
        <v>32.999999999999964</v>
      </c>
      <c r="W79" s="23">
        <f>T79</f>
        <v>0.49097222222222214</v>
      </c>
      <c r="X79" s="23">
        <f>S80</f>
        <v>0.53055555555555545</v>
      </c>
      <c r="Y79" s="23"/>
      <c r="Z79" s="23"/>
      <c r="AA79" s="164"/>
      <c r="AB79" s="164"/>
      <c r="AC79" s="25"/>
      <c r="AD79" s="25"/>
      <c r="AE79" s="19">
        <f t="shared" si="33"/>
        <v>-96.363636363634214</v>
      </c>
      <c r="AF79" s="21">
        <f t="shared" si="40"/>
        <v>0.95984848484848573</v>
      </c>
      <c r="AG79" s="172"/>
    </row>
    <row r="80" spans="1:33" ht="15.75" customHeight="1">
      <c r="A80" s="170" t="s">
        <v>293</v>
      </c>
      <c r="B80" s="4" t="s">
        <v>100</v>
      </c>
      <c r="C80" s="165" t="s">
        <v>136</v>
      </c>
      <c r="D80" s="165"/>
      <c r="E80" s="37">
        <v>24.43</v>
      </c>
      <c r="F80" s="4">
        <v>2397</v>
      </c>
      <c r="G80" s="4">
        <v>58558.71</v>
      </c>
      <c r="H80" s="22" t="s">
        <v>139</v>
      </c>
      <c r="I80" s="16">
        <v>14</v>
      </c>
      <c r="J80" s="18">
        <v>2400</v>
      </c>
      <c r="K80" s="17">
        <f t="shared" si="35"/>
        <v>171.42857142857142</v>
      </c>
      <c r="L80" s="16">
        <v>14</v>
      </c>
      <c r="M80" s="18">
        <f t="shared" si="41"/>
        <v>2282.8571428571454</v>
      </c>
      <c r="N80" s="17">
        <f t="shared" si="36"/>
        <v>163.0612244897961</v>
      </c>
      <c r="O80" s="19">
        <f t="shared" si="37"/>
        <v>0</v>
      </c>
      <c r="P80" s="20">
        <f t="shared" si="38"/>
        <v>-8.367346938775313</v>
      </c>
      <c r="Q80" s="21">
        <f t="shared" si="39"/>
        <v>0.95119047619047736</v>
      </c>
      <c r="R80" s="172"/>
      <c r="S80" s="28">
        <v>0.53055555555555545</v>
      </c>
      <c r="T80" s="28">
        <v>0.5743055555555554</v>
      </c>
      <c r="U80" s="4">
        <f t="shared" si="43"/>
        <v>56.999999999999957</v>
      </c>
      <c r="V80" s="22">
        <f t="shared" si="42"/>
        <v>62.999999999999936</v>
      </c>
      <c r="W80" s="23"/>
      <c r="X80" s="23"/>
      <c r="Y80" s="26"/>
      <c r="Z80" s="26"/>
      <c r="AA80" s="175"/>
      <c r="AB80" s="176"/>
      <c r="AC80" s="25"/>
      <c r="AD80" s="25"/>
      <c r="AE80" s="19">
        <f t="shared" si="33"/>
        <v>-117.14285714285461</v>
      </c>
      <c r="AF80" s="21">
        <f t="shared" si="40"/>
        <v>0.95119047619047725</v>
      </c>
      <c r="AG80" s="172"/>
    </row>
    <row r="81" spans="1:33" ht="15.75" customHeight="1">
      <c r="A81" s="170" t="s">
        <v>294</v>
      </c>
      <c r="B81" s="4" t="s">
        <v>100</v>
      </c>
      <c r="C81" s="165" t="s">
        <v>135</v>
      </c>
      <c r="D81" s="165"/>
      <c r="E81" s="37">
        <v>19.02</v>
      </c>
      <c r="F81" s="4">
        <v>3348</v>
      </c>
      <c r="G81" s="4">
        <v>63678.96</v>
      </c>
      <c r="H81" s="22" t="s">
        <v>139</v>
      </c>
      <c r="I81" s="16">
        <v>15</v>
      </c>
      <c r="J81" s="18">
        <v>2400</v>
      </c>
      <c r="K81" s="17">
        <f t="shared" si="35"/>
        <v>160</v>
      </c>
      <c r="L81" s="16">
        <v>15</v>
      </c>
      <c r="M81" s="18">
        <f t="shared" si="41"/>
        <v>2308.9655172413791</v>
      </c>
      <c r="N81" s="17">
        <f t="shared" si="36"/>
        <v>153.93103448275861</v>
      </c>
      <c r="O81" s="19">
        <f t="shared" si="37"/>
        <v>0</v>
      </c>
      <c r="P81" s="20">
        <f t="shared" si="38"/>
        <v>-6.068965517241395</v>
      </c>
      <c r="Q81" s="21">
        <f t="shared" si="39"/>
        <v>0.9620689655172413</v>
      </c>
      <c r="R81" s="172"/>
      <c r="S81" s="28">
        <v>0.5791666666666665</v>
      </c>
      <c r="T81" s="28">
        <v>0.63958333333333317</v>
      </c>
      <c r="U81" s="4">
        <f t="shared" si="43"/>
        <v>6.9999999999999751</v>
      </c>
      <c r="V81" s="22">
        <f t="shared" si="42"/>
        <v>87.000000000000014</v>
      </c>
      <c r="W81" s="23"/>
      <c r="X81" s="23"/>
      <c r="Y81" s="26"/>
      <c r="Z81" s="26"/>
      <c r="AA81" s="175"/>
      <c r="AB81" s="176"/>
      <c r="AC81" s="25"/>
      <c r="AD81" s="25"/>
      <c r="AE81" s="19">
        <f t="shared" si="33"/>
        <v>-91.034482758620925</v>
      </c>
      <c r="AF81" s="21">
        <f t="shared" si="40"/>
        <v>0.9620689655172413</v>
      </c>
      <c r="AG81" s="172"/>
    </row>
    <row r="82" spans="1:33" ht="16.5" customHeight="1">
      <c r="A82" s="171" t="s">
        <v>293</v>
      </c>
      <c r="B82" s="37" t="s">
        <v>295</v>
      </c>
      <c r="C82" s="166"/>
      <c r="D82" s="167"/>
      <c r="E82" s="38"/>
      <c r="F82" s="17"/>
      <c r="G82" s="17"/>
      <c r="H82" s="4"/>
      <c r="I82" s="30">
        <v>15.75</v>
      </c>
      <c r="J82" s="18">
        <v>2400</v>
      </c>
      <c r="K82" s="17">
        <f t="shared" si="35"/>
        <v>152.38095238095238</v>
      </c>
      <c r="L82" s="30">
        <v>15.75</v>
      </c>
      <c r="M82" s="18">
        <f>AVERAGE(M74:M81)</f>
        <v>2301.341221720691</v>
      </c>
      <c r="N82" s="17">
        <f t="shared" si="36"/>
        <v>146.11690296639307</v>
      </c>
      <c r="O82" s="19">
        <f t="shared" si="37"/>
        <v>0</v>
      </c>
      <c r="P82" s="20">
        <f t="shared" si="38"/>
        <v>-6.2640494145593095</v>
      </c>
      <c r="Q82" s="21">
        <f t="shared" si="39"/>
        <v>0.95889217571695451</v>
      </c>
      <c r="R82" s="172"/>
      <c r="S82" s="28"/>
      <c r="T82" s="28"/>
      <c r="U82" s="17"/>
      <c r="V82" s="22"/>
      <c r="W82" s="17"/>
      <c r="X82" s="17"/>
      <c r="Y82" s="31">
        <f>SUM(Y74:Y81)</f>
        <v>0</v>
      </c>
      <c r="Z82" s="31">
        <f>SUM(Z74:Z81)</f>
        <v>0</v>
      </c>
      <c r="AA82" s="168"/>
      <c r="AB82" s="168"/>
      <c r="AC82" s="31">
        <v>7</v>
      </c>
      <c r="AD82" s="31">
        <f>SUM(AD74:AD81)</f>
        <v>0</v>
      </c>
      <c r="AE82" s="19">
        <f t="shared" si="33"/>
        <v>-98.65877827930899</v>
      </c>
      <c r="AF82" s="21">
        <f t="shared" si="40"/>
        <v>0.95889217571695462</v>
      </c>
      <c r="AG82" s="172"/>
    </row>
    <row r="83" spans="1:33">
      <c r="D83" s="33"/>
      <c r="E83" s="33"/>
    </row>
    <row r="90" spans="1:33">
      <c r="Z90" s="9" t="s">
        <v>296</v>
      </c>
    </row>
  </sheetData>
  <mergeCells count="216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11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C11:D11"/>
    <mergeCell ref="C12:D12"/>
    <mergeCell ref="R12:R14"/>
    <mergeCell ref="AA12:AB12"/>
    <mergeCell ref="C7:D7"/>
    <mergeCell ref="AA7:AB7"/>
    <mergeCell ref="C8:D8"/>
    <mergeCell ref="AA8:AB8"/>
    <mergeCell ref="C9:D9"/>
    <mergeCell ref="AA9:AB9"/>
    <mergeCell ref="AA11:AB11"/>
    <mergeCell ref="AG12:AG14"/>
    <mergeCell ref="C13:D13"/>
    <mergeCell ref="AA13:AB13"/>
    <mergeCell ref="C14:D14"/>
    <mergeCell ref="AA14:AB14"/>
    <mergeCell ref="A15:A22"/>
    <mergeCell ref="C15:D15"/>
    <mergeCell ref="R15:R22"/>
    <mergeCell ref="AA15:AB15"/>
    <mergeCell ref="AG15:AG22"/>
    <mergeCell ref="C19:D19"/>
    <mergeCell ref="AA19:AB19"/>
    <mergeCell ref="C20:D20"/>
    <mergeCell ref="AA20:AB20"/>
    <mergeCell ref="AA21:AB21"/>
    <mergeCell ref="C22:D22"/>
    <mergeCell ref="AA22:AB22"/>
    <mergeCell ref="C16:D16"/>
    <mergeCell ref="AA16:AB16"/>
    <mergeCell ref="C17:D17"/>
    <mergeCell ref="AA17:AB17"/>
    <mergeCell ref="C18:D18"/>
    <mergeCell ref="AA18:AB18"/>
    <mergeCell ref="A12:A14"/>
    <mergeCell ref="A23:A29"/>
    <mergeCell ref="C23:D23"/>
    <mergeCell ref="R23:R29"/>
    <mergeCell ref="AA23:AB23"/>
    <mergeCell ref="AG23:AG29"/>
    <mergeCell ref="C24:D24"/>
    <mergeCell ref="AA24:AB24"/>
    <mergeCell ref="C25:D25"/>
    <mergeCell ref="AA25:AB25"/>
    <mergeCell ref="C26:D26"/>
    <mergeCell ref="AG30:AG37"/>
    <mergeCell ref="C31:D31"/>
    <mergeCell ref="AA31:AB31"/>
    <mergeCell ref="C32:D32"/>
    <mergeCell ref="AA32:AB32"/>
    <mergeCell ref="C33:D33"/>
    <mergeCell ref="AA26:AB26"/>
    <mergeCell ref="C27:D27"/>
    <mergeCell ref="AA27:AB27"/>
    <mergeCell ref="C28:D28"/>
    <mergeCell ref="AA28:AB28"/>
    <mergeCell ref="C29:D29"/>
    <mergeCell ref="AA29:AB29"/>
    <mergeCell ref="AA33:AB33"/>
    <mergeCell ref="C34:D34"/>
    <mergeCell ref="AA34:AB34"/>
    <mergeCell ref="C35:D35"/>
    <mergeCell ref="AA35:AB35"/>
    <mergeCell ref="C36:D36"/>
    <mergeCell ref="AA36:AB36"/>
    <mergeCell ref="A30:A37"/>
    <mergeCell ref="C30:D30"/>
    <mergeCell ref="R30:R37"/>
    <mergeCell ref="AA30:AB30"/>
    <mergeCell ref="C37:D37"/>
    <mergeCell ref="AA37:AB37"/>
    <mergeCell ref="A38:A45"/>
    <mergeCell ref="C38:D38"/>
    <mergeCell ref="R38:R45"/>
    <mergeCell ref="AA38:AB38"/>
    <mergeCell ref="AA43:AB43"/>
    <mergeCell ref="C44:D44"/>
    <mergeCell ref="AA44:AB44"/>
    <mergeCell ref="C45:D45"/>
    <mergeCell ref="AA45:AB45"/>
    <mergeCell ref="A46:A55"/>
    <mergeCell ref="C46:D46"/>
    <mergeCell ref="R46:R55"/>
    <mergeCell ref="AA46:AB46"/>
    <mergeCell ref="AG46:AG55"/>
    <mergeCell ref="C47:D47"/>
    <mergeCell ref="AA47:AB47"/>
    <mergeCell ref="C48:D48"/>
    <mergeCell ref="AA48:AB48"/>
    <mergeCell ref="C52:D52"/>
    <mergeCell ref="AA52:AB52"/>
    <mergeCell ref="C53:D53"/>
    <mergeCell ref="AA53:AB53"/>
    <mergeCell ref="C54:D54"/>
    <mergeCell ref="AA54:AB54"/>
    <mergeCell ref="C49:D49"/>
    <mergeCell ref="AA49:AB49"/>
    <mergeCell ref="C50:D50"/>
    <mergeCell ref="AA50:AB50"/>
    <mergeCell ref="C51:D51"/>
    <mergeCell ref="AA51:AB51"/>
    <mergeCell ref="C55:D55"/>
    <mergeCell ref="AA55:AB55"/>
    <mergeCell ref="AG38:AG45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56:A66"/>
    <mergeCell ref="C56:D56"/>
    <mergeCell ref="R56:R66"/>
    <mergeCell ref="AA56:AB56"/>
    <mergeCell ref="AA62:AB62"/>
    <mergeCell ref="C63:D63"/>
    <mergeCell ref="AA63:AB63"/>
    <mergeCell ref="C64:D64"/>
    <mergeCell ref="AG56:AG66"/>
    <mergeCell ref="C57:D57"/>
    <mergeCell ref="AA57:AB57"/>
    <mergeCell ref="C58:D58"/>
    <mergeCell ref="AA58:AB58"/>
    <mergeCell ref="AA59:AB59"/>
    <mergeCell ref="AA60:AB60"/>
    <mergeCell ref="C61:D61"/>
    <mergeCell ref="AA61:AB61"/>
    <mergeCell ref="C62:D62"/>
    <mergeCell ref="AA64:AB64"/>
    <mergeCell ref="C65:D65"/>
    <mergeCell ref="AA65:AB65"/>
    <mergeCell ref="C66:D66"/>
    <mergeCell ref="AA66:AB66"/>
    <mergeCell ref="A67:A73"/>
    <mergeCell ref="C67:D67"/>
    <mergeCell ref="R67:R73"/>
    <mergeCell ref="AA67:AB67"/>
    <mergeCell ref="AA72:AB72"/>
    <mergeCell ref="AG67:AG73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  <mergeCell ref="C73:D73"/>
    <mergeCell ref="AA73:AB73"/>
    <mergeCell ref="A74:A82"/>
    <mergeCell ref="C74:D74"/>
    <mergeCell ref="R74:R82"/>
    <mergeCell ref="AA74:AB74"/>
    <mergeCell ref="AA79:AB79"/>
    <mergeCell ref="C80:D80"/>
    <mergeCell ref="AA80:AB80"/>
    <mergeCell ref="C81:D81"/>
    <mergeCell ref="AA81:AB81"/>
    <mergeCell ref="C82:D82"/>
    <mergeCell ref="AA82:AB82"/>
    <mergeCell ref="AG74:AG82"/>
    <mergeCell ref="C75:D75"/>
    <mergeCell ref="AA75:AB75"/>
    <mergeCell ref="C76:D76"/>
    <mergeCell ref="AA76:AB76"/>
    <mergeCell ref="C77:D77"/>
    <mergeCell ref="AA77:AB77"/>
    <mergeCell ref="C78:D78"/>
    <mergeCell ref="AA78:AB78"/>
    <mergeCell ref="C79:D79"/>
  </mergeCells>
  <phoneticPr fontId="3" type="noConversion"/>
  <conditionalFormatting sqref="O5:O82">
    <cfRule type="cellIs" dxfId="18" priority="1" operator="greaterThan">
      <formula>0</formula>
    </cfRule>
  </conditionalFormatting>
  <conditionalFormatting sqref="P5:P82">
    <cfRule type="cellIs" dxfId="17" priority="4" operator="lessThan">
      <formula>0</formula>
    </cfRule>
  </conditionalFormatting>
  <conditionalFormatting sqref="Q5:Q82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R5:R12 AG5:AG12">
    <cfRule type="cellIs" dxfId="14" priority="90" operator="lessThan">
      <formula>0.8</formula>
    </cfRule>
  </conditionalFormatting>
  <conditionalFormatting sqref="AE5:AE82">
    <cfRule type="cellIs" dxfId="13" priority="27" operator="lessThan">
      <formula>0</formula>
    </cfRule>
  </conditionalFormatting>
  <conditionalFormatting sqref="AF5:AF82">
    <cfRule type="cellIs" dxfId="12" priority="25" operator="greaterThan">
      <formula>1</formula>
    </cfRule>
    <cfRule type="cellIs" dxfId="11" priority="26" operator="lessThan">
      <formula>0.8</formula>
    </cfRule>
  </conditionalFormatting>
  <conditionalFormatting sqref="AG15:AG70 R15:R82">
    <cfRule type="cellIs" dxfId="10" priority="5" operator="lessThan">
      <formula>0.8</formula>
    </cfRule>
  </conditionalFormatting>
  <dataValidations count="1">
    <dataValidation type="list" allowBlank="1" showInputMessage="1" showErrorMessage="1" sqref="AA5:AB9 AB10:AB11 AB71:AB72 AA10:AA72 AB13:AB67 AA73:AB82" xr:uid="{00000000-0002-0000-3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1:Q32"/>
  <sheetViews>
    <sheetView zoomScale="85" zoomScaleNormal="85" workbookViewId="0">
      <selection activeCell="E6" sqref="E6:F6"/>
    </sheetView>
  </sheetViews>
  <sheetFormatPr defaultColWidth="8.75" defaultRowHeight="15.75"/>
  <cols>
    <col min="1" max="1" width="8.75" style="46"/>
    <col min="2" max="2" width="17.875" style="46" customWidth="1"/>
    <col min="3" max="3" width="9.25" style="52" customWidth="1"/>
    <col min="4" max="13" width="12.625" style="46" customWidth="1"/>
    <col min="14" max="14" width="11" style="46" bestFit="1" customWidth="1"/>
    <col min="15" max="15" width="17.75" style="46" bestFit="1" customWidth="1"/>
    <col min="16" max="16" width="12.25" style="46" bestFit="1" customWidth="1"/>
    <col min="17" max="22" width="9.25" style="46" customWidth="1"/>
    <col min="23" max="23" width="10.75" style="46" customWidth="1"/>
    <col min="24" max="24" width="11" style="46" customWidth="1"/>
    <col min="25" max="16384" width="8.75" style="46"/>
  </cols>
  <sheetData>
    <row r="1" spans="2:17" ht="27.75" customHeight="1">
      <c r="B1" s="151" t="s">
        <v>140</v>
      </c>
      <c r="C1" s="151"/>
      <c r="D1" s="151"/>
      <c r="E1" s="151"/>
      <c r="F1" s="151"/>
      <c r="G1" s="151"/>
      <c r="H1" s="151"/>
      <c r="I1" s="151"/>
      <c r="J1" s="151"/>
      <c r="K1" s="45"/>
      <c r="L1" s="45"/>
      <c r="M1" s="45"/>
      <c r="N1" s="45"/>
      <c r="O1" s="45"/>
      <c r="P1" s="45"/>
    </row>
    <row r="2" spans="2:17" ht="27.75" customHeight="1">
      <c r="B2" s="152"/>
      <c r="C2" s="152"/>
      <c r="D2" s="152"/>
      <c r="E2" s="152"/>
      <c r="F2" s="152"/>
      <c r="G2" s="152"/>
      <c r="H2" s="152"/>
      <c r="I2" s="152"/>
      <c r="J2" s="152"/>
      <c r="K2" s="45"/>
      <c r="L2" s="45"/>
      <c r="M2" s="45"/>
      <c r="N2" s="45"/>
      <c r="O2" s="45"/>
      <c r="P2" s="45"/>
    </row>
    <row r="3" spans="2:17" ht="46.5" customHeight="1">
      <c r="B3" s="47" t="s">
        <v>141</v>
      </c>
      <c r="C3" s="153" t="str">
        <f>TEXT('0201 4度C'!A2,"yyyy.mm.ddaaaa")</f>
        <v>2026.02.01星期日</v>
      </c>
      <c r="D3" s="154"/>
      <c r="E3" s="47" t="s">
        <v>142</v>
      </c>
      <c r="F3" s="155">
        <f>'0201 4度C'!D1</f>
        <v>171596</v>
      </c>
      <c r="G3" s="156"/>
      <c r="H3" s="47" t="s">
        <v>143</v>
      </c>
      <c r="I3" s="157">
        <f>'0201 4度C'!F1</f>
        <v>5837144.4000000004</v>
      </c>
      <c r="J3" s="158"/>
      <c r="K3" s="48"/>
      <c r="L3" s="49"/>
      <c r="M3" s="49"/>
      <c r="N3" s="49"/>
    </row>
    <row r="4" spans="2:17" ht="28.5" customHeight="1">
      <c r="B4" s="159" t="s">
        <v>144</v>
      </c>
      <c r="C4" s="145" t="s">
        <v>145</v>
      </c>
      <c r="D4" s="146"/>
      <c r="E4" s="162" t="s">
        <v>146</v>
      </c>
      <c r="F4" s="163"/>
      <c r="G4" s="162" t="s">
        <v>147</v>
      </c>
      <c r="H4" s="163"/>
      <c r="I4" s="162" t="s">
        <v>148</v>
      </c>
      <c r="J4" s="163"/>
      <c r="K4" s="143" t="s">
        <v>149</v>
      </c>
      <c r="L4" s="144"/>
      <c r="M4" s="144" t="s">
        <v>150</v>
      </c>
      <c r="N4" s="144"/>
    </row>
    <row r="5" spans="2:17" ht="28.5" customHeight="1">
      <c r="B5" s="160"/>
      <c r="C5" s="145" t="s">
        <v>151</v>
      </c>
      <c r="D5" s="146"/>
      <c r="E5" s="145" t="s">
        <v>152</v>
      </c>
      <c r="F5" s="146"/>
      <c r="G5" s="147" t="s">
        <v>153</v>
      </c>
      <c r="H5" s="148"/>
      <c r="I5" s="149" t="s">
        <v>154</v>
      </c>
      <c r="J5" s="150"/>
      <c r="K5" s="50" t="s">
        <v>155</v>
      </c>
      <c r="L5" s="51" t="s">
        <v>156</v>
      </c>
      <c r="M5" s="50" t="s">
        <v>155</v>
      </c>
      <c r="N5" s="51" t="s">
        <v>157</v>
      </c>
    </row>
    <row r="6" spans="2:17" ht="28.5" customHeight="1">
      <c r="B6" s="160"/>
      <c r="C6" s="145" t="s">
        <v>158</v>
      </c>
      <c r="D6" s="146"/>
      <c r="E6" s="137">
        <f>AVERAGE(D13:M13)</f>
        <v>145.98296278321772</v>
      </c>
      <c r="F6" s="138">
        <f>AVERAGE(D31:O31,D13:J13)</f>
        <v>149.12611199690809</v>
      </c>
      <c r="G6" s="139">
        <f>AVERAGE(D13:J13)</f>
        <v>149.12611199690809</v>
      </c>
      <c r="H6" s="140"/>
      <c r="I6" s="139">
        <f>AVERAGE(K13:M13)</f>
        <v>138.64894795127353</v>
      </c>
      <c r="J6" s="140"/>
      <c r="K6" s="141">
        <f>'0201 4度C'!Y2</f>
        <v>0</v>
      </c>
      <c r="L6" s="126">
        <f>'0201 4度C'!Z2</f>
        <v>0</v>
      </c>
      <c r="M6" s="142">
        <f>'0201 4度C'!AC2</f>
        <v>40</v>
      </c>
      <c r="N6" s="126">
        <f>'0201 4度C'!AD2</f>
        <v>0</v>
      </c>
    </row>
    <row r="7" spans="2:17" ht="28.5" customHeight="1">
      <c r="B7" s="160"/>
      <c r="C7" s="127" t="s">
        <v>159</v>
      </c>
      <c r="D7" s="128"/>
      <c r="E7" s="129">
        <f>AVERAGE(D14:M14)</f>
        <v>139.54602997912158</v>
      </c>
      <c r="F7" s="130">
        <f>AVERAGE(D32:O32,D14:J14)</f>
        <v>142.48160093809113</v>
      </c>
      <c r="G7" s="131">
        <f>AVERAGE(D14:J14)</f>
        <v>142.48160093809113</v>
      </c>
      <c r="H7" s="132"/>
      <c r="I7" s="131">
        <f>AVERAGE(K14:M14)</f>
        <v>132.69636440819261</v>
      </c>
      <c r="J7" s="132"/>
      <c r="K7" s="141"/>
      <c r="L7" s="126"/>
      <c r="M7" s="142"/>
      <c r="N7" s="126"/>
    </row>
    <row r="8" spans="2:17" ht="28.5" customHeight="1">
      <c r="B8" s="161"/>
      <c r="C8" s="127" t="s">
        <v>160</v>
      </c>
      <c r="D8" s="128"/>
      <c r="E8" s="133">
        <f>AVERAGE(D15:M15)</f>
        <v>0.95564089545110897</v>
      </c>
      <c r="F8" s="134">
        <f>AVERAGE(D15:J15,D33:O33)</f>
        <v>0.95507026208362089</v>
      </c>
      <c r="G8" s="135">
        <f>AVERAGE(D15:J15)</f>
        <v>0.95507026208362089</v>
      </c>
      <c r="H8" s="136"/>
      <c r="I8" s="135">
        <f>AVERAGE(K15:M15)</f>
        <v>0.95697237330858165</v>
      </c>
      <c r="J8" s="136"/>
      <c r="K8" s="141"/>
      <c r="L8" s="126"/>
      <c r="M8" s="142"/>
      <c r="N8" s="126"/>
    </row>
    <row r="9" spans="2:17" ht="28.5" customHeight="1" thickBot="1">
      <c r="H9" s="53"/>
      <c r="K9" s="54" t="s">
        <v>161</v>
      </c>
      <c r="N9" s="49"/>
      <c r="O9" s="49"/>
      <c r="P9" s="49"/>
      <c r="Q9" s="49"/>
    </row>
    <row r="10" spans="2:17" ht="30" customHeight="1">
      <c r="B10" s="109" t="s">
        <v>162</v>
      </c>
      <c r="C10" s="110"/>
      <c r="D10" s="111" t="s">
        <v>163</v>
      </c>
      <c r="E10" s="112"/>
      <c r="F10" s="112"/>
      <c r="G10" s="112"/>
      <c r="H10" s="112"/>
      <c r="I10" s="112"/>
      <c r="J10" s="113"/>
      <c r="K10" s="114" t="s">
        <v>164</v>
      </c>
      <c r="L10" s="115"/>
      <c r="M10" s="116"/>
      <c r="P10" s="55"/>
      <c r="Q10" s="55"/>
    </row>
    <row r="11" spans="2:17" ht="17.25" customHeight="1">
      <c r="B11" s="117" t="s">
        <v>165</v>
      </c>
      <c r="C11" s="118"/>
      <c r="D11" s="56">
        <v>1</v>
      </c>
      <c r="E11" s="57">
        <v>2</v>
      </c>
      <c r="F11" s="57">
        <v>3</v>
      </c>
      <c r="G11" s="57">
        <v>4</v>
      </c>
      <c r="H11" s="57">
        <v>5</v>
      </c>
      <c r="I11" s="57">
        <v>6</v>
      </c>
      <c r="J11" s="58">
        <v>7</v>
      </c>
      <c r="K11" s="56">
        <v>1</v>
      </c>
      <c r="L11" s="57">
        <v>2</v>
      </c>
      <c r="M11" s="58">
        <v>3</v>
      </c>
      <c r="P11" s="55"/>
      <c r="Q11" s="55"/>
    </row>
    <row r="12" spans="2:17" ht="34.15" customHeight="1">
      <c r="B12" s="119"/>
      <c r="C12" s="120"/>
      <c r="D12" s="59" t="s">
        <v>166</v>
      </c>
      <c r="E12" s="60" t="s">
        <v>167</v>
      </c>
      <c r="F12" s="60" t="s">
        <v>168</v>
      </c>
      <c r="G12" s="60" t="s">
        <v>169</v>
      </c>
      <c r="H12" s="60" t="s">
        <v>170</v>
      </c>
      <c r="I12" s="60" t="s">
        <v>171</v>
      </c>
      <c r="J12" s="61" t="s">
        <v>172</v>
      </c>
      <c r="K12" s="59" t="s">
        <v>173</v>
      </c>
      <c r="L12" s="60" t="s">
        <v>174</v>
      </c>
      <c r="M12" s="61" t="s">
        <v>175</v>
      </c>
    </row>
    <row r="13" spans="2:17" ht="40.15" customHeight="1">
      <c r="B13" s="121" t="s">
        <v>176</v>
      </c>
      <c r="C13" s="62" t="s">
        <v>177</v>
      </c>
      <c r="D13" s="63">
        <f>SUMIFS('0201 4度C'!$K:$K,'0201 4度C'!$A:$A,"新豐6線",'0201 4度C'!$B:$B,"平均")</f>
        <v>116.50485436893203</v>
      </c>
      <c r="E13" s="64">
        <f>SUMIFS('0201 4度C'!$K:$K,'0201 4度C'!$A:$A,"新豐2線",'0201 4度C'!$B:$B,"平均")</f>
        <v>83.333333333333329</v>
      </c>
      <c r="F13" s="65">
        <f>SUMIFS('0201 4度C'!$K:$K,'0201 4度C'!$A:$A,"新豐5線",'0201 4度C'!$B:$B,"平均")</f>
        <v>110.16949152542372</v>
      </c>
      <c r="G13" s="65">
        <f>SUMIFS('0201 4度C'!$K:$K,'0201 4度C'!$A:$A,"新豐7線",'0201 4度C'!$B:$B,"平均")</f>
        <v>123.65591397849462</v>
      </c>
      <c r="H13" s="65">
        <f>SUMIFS('0201 4度C'!$K:$K,'0201 4度C'!$A:$A,"新豐3線",'0201 4度C'!$B:$B,"平均")</f>
        <v>303.37078651685391</v>
      </c>
      <c r="I13" s="65">
        <f>SUMIFS('0201 4度C'!$K:$K,'0201 4度C'!$A:$A,"新豐1線",'0201 4度C'!$B:$B,"平均")</f>
        <v>103.72340425531914</v>
      </c>
      <c r="J13" s="66">
        <f>SUMIFS('0201 4度C'!$K:$K,'0201 4度C'!$A:$A,"新豐10線",'0201 4度C'!$B:$B,"平均")</f>
        <v>203.125</v>
      </c>
      <c r="K13" s="67">
        <f>SUMIFS('0201 4度C'!$K:$K,'0201 4度C'!$A:$A,"新豐8線",'0201 4度C'!$B:$B,"平均")</f>
        <v>130.23255813953489</v>
      </c>
      <c r="L13" s="68">
        <f>SUMIFS('0201 4度C'!$K:$K,'0201 4度C'!$A:$A,"新豐9線",'0201 4度C'!$B:$B,"平均")</f>
        <v>133.33333333333334</v>
      </c>
      <c r="M13" s="66">
        <f>SUMIFS('0201 4度C'!$K:$K,'0201 4度C'!$A:$A,"新豐4線",'0201 4度C'!$B:$B,"平均")</f>
        <v>152.38095238095238</v>
      </c>
    </row>
    <row r="14" spans="2:17" ht="39.6" customHeight="1">
      <c r="B14" s="122"/>
      <c r="C14" s="69" t="s">
        <v>178</v>
      </c>
      <c r="D14" s="70">
        <f>SUMIFS('0201 4度C'!$N:$N,'0201 4度C'!$A:$A,"新豐6線",'0201 4度C'!$B:$B,"平均")</f>
        <v>111.81337971843396</v>
      </c>
      <c r="E14" s="71">
        <f>SUMIFS('0201 4度C'!$N:$N,'0201 4度C'!$A:$A,"新豐2線",'0201 4度C'!$B:$B,"平均")</f>
        <v>79.742968147957853</v>
      </c>
      <c r="F14" s="71">
        <f>SUMIFS('0201 4度C'!$N:$N,'0201 4度C'!$A:$A,"新豐5線",'0201 4度C'!$B:$B,"平均")</f>
        <v>106.00596023825916</v>
      </c>
      <c r="G14" s="71">
        <f>SUMIFS('0201 4度C'!$N:$N,'0201 4度C'!$A:$A,"新豐7線",'0201 4度C'!$B:$B,"平均")</f>
        <v>118.79654314622067</v>
      </c>
      <c r="H14" s="71">
        <f>SUMIFS('0201 4度C'!$N:$N,'0201 4度C'!$A:$A,"新豐3線",'0201 4度C'!$B:$B,"平均")</f>
        <v>290.13566986941697</v>
      </c>
      <c r="I14" s="71">
        <f>SUMIFS('0201 4度C'!$N:$N,'0201 4度C'!$A:$A,"新豐1線",'0201 4度C'!$B:$B,"平均")</f>
        <v>96.98131056168566</v>
      </c>
      <c r="J14" s="72">
        <f>SUMIFS('0201 4度C'!$N:$N,'0201 4度C'!$A:$A,"新豐10線",'0201 4度C'!$B:$B,"平均")</f>
        <v>193.8953748846636</v>
      </c>
      <c r="K14" s="73">
        <f>SUMIFS('0201 4度C'!$N:$N,'0201 4度C'!$A:$A,"新豐8線",'0201 4度C'!$B:$B,"平均")</f>
        <v>124.44754155585069</v>
      </c>
      <c r="L14" s="74">
        <f>SUMIFS('0201 4度C'!$N:$N,'0201 4度C'!$A:$A,"新豐9線",'0201 4度C'!$B:$B,"平均")</f>
        <v>127.5361068298795</v>
      </c>
      <c r="M14" s="72">
        <f>SUMIFS('0201 4度C'!$N:$N,'0201 4度C'!$A:$A,"新豐4線",'0201 4度C'!$B:$B,"平均")</f>
        <v>146.10544483884766</v>
      </c>
    </row>
    <row r="15" spans="2:17" ht="40.15" customHeight="1">
      <c r="B15" s="123"/>
      <c r="C15" s="75" t="s">
        <v>179</v>
      </c>
      <c r="D15" s="76">
        <f t="shared" ref="D15:M15" si="0">D14/D13</f>
        <v>0.95973150924989159</v>
      </c>
      <c r="E15" s="77">
        <f t="shared" si="0"/>
        <v>0.95691561777549428</v>
      </c>
      <c r="F15" s="77">
        <f t="shared" si="0"/>
        <v>0.96220794677804478</v>
      </c>
      <c r="G15" s="77">
        <f t="shared" si="0"/>
        <v>0.9607024793563933</v>
      </c>
      <c r="H15" s="77">
        <f t="shared" si="0"/>
        <v>0.95637313401400414</v>
      </c>
      <c r="I15" s="77">
        <f t="shared" si="0"/>
        <v>0.93499930182548241</v>
      </c>
      <c r="J15" s="78">
        <f t="shared" si="0"/>
        <v>0.95456184558603618</v>
      </c>
      <c r="K15" s="76">
        <f t="shared" si="0"/>
        <v>0.9555793369467106</v>
      </c>
      <c r="L15" s="77">
        <f t="shared" si="0"/>
        <v>0.95652080122409622</v>
      </c>
      <c r="M15" s="78">
        <f t="shared" si="0"/>
        <v>0.95881698175493779</v>
      </c>
    </row>
    <row r="16" spans="2:17" ht="17.25" customHeight="1">
      <c r="B16" s="124" t="s">
        <v>180</v>
      </c>
      <c r="C16" s="79" t="s">
        <v>181</v>
      </c>
      <c r="D16" s="80">
        <f>VLOOKUP("新豐6線",'0201 4度C'!$A:$T,19,0)</f>
        <v>0.70833333333333337</v>
      </c>
      <c r="E16" s="81">
        <f>VLOOKUP("新豐2線",'0201 4度C'!$A:$T,19,0)</f>
        <v>0.20833333333333334</v>
      </c>
      <c r="F16" s="81">
        <f>VLOOKUP("新豐5線",'0201 4度C'!$A:$T,19,0)</f>
        <v>0.20833333333333334</v>
      </c>
      <c r="G16" s="81">
        <f>VLOOKUP("新豐7線",'0201 4度C'!$A:$T,19,0)</f>
        <v>0.20833333333333334</v>
      </c>
      <c r="H16" s="81">
        <f>VLOOKUP("新豐3線",'0201 4度C'!$A:$T,19,0)</f>
        <v>0.20833333333333334</v>
      </c>
      <c r="I16" s="81">
        <f>VLOOKUP("新豐1線",'0201 4度C'!$A:$T,19,0)</f>
        <v>0.20833333333333334</v>
      </c>
      <c r="J16" s="82">
        <f>VLOOKUP("新豐10線",'0201 4度C'!$A:$T,19,0)</f>
        <v>0.20833333333333334</v>
      </c>
      <c r="K16" s="83">
        <f>VLOOKUP("新豐8線",'0201 4度C'!$A:$T,19,0)</f>
        <v>0.125</v>
      </c>
      <c r="L16" s="84">
        <f>VLOOKUP("新豐9線",'0201 4度C'!$A:$T,19,0)</f>
        <v>0.125</v>
      </c>
      <c r="M16" s="85">
        <f>VLOOKUP("新豐4線",'0201 4度C'!$A:$T,19,0)</f>
        <v>0.125</v>
      </c>
    </row>
    <row r="17" spans="2:13" ht="17.25" customHeight="1">
      <c r="B17" s="125"/>
      <c r="C17" s="79" t="s">
        <v>182</v>
      </c>
      <c r="D17" s="83">
        <f>LOOKUP(2,1/(('0201 4度C'!$A:$A="新豐6線")*('0201 4度C'!$T:$T&lt;&gt;"")),'0201 4度C'!$T:$T)</f>
        <v>0.9194444444444444</v>
      </c>
      <c r="E17" s="81">
        <f>LOOKUP(2,1/(('0201 4度C'!$A:$A="新豐2線")*('0201 4度C'!$T:$T&lt;&gt;"")),'0201 4度C'!$T:$T)</f>
        <v>0.46736111111111112</v>
      </c>
      <c r="F17" s="81">
        <f>LOOKUP(2,1/(('0201 4度C'!$A:$A="新豐5線")*('0201 4度C'!$T:$T&lt;&gt;"")),'0201 4度C'!$T:$T)</f>
        <v>0.92638888888888882</v>
      </c>
      <c r="G17" s="81">
        <f>LOOKUP(2,1/(('0201 4度C'!$A:$A="新豐7線")*('0201 4度C'!$T:$T&lt;&gt;"")),'0201 4度C'!$T:$T)</f>
        <v>0.93263888888888891</v>
      </c>
      <c r="H17" s="81">
        <f>LOOKUP(2,1/(('0201 4度C'!$A:$A="新豐3線")*('0201 4度C'!$T:$T&lt;&gt;"")),'0201 4度C'!$T:$T)</f>
        <v>0.66527777777777775</v>
      </c>
      <c r="I17" s="81">
        <f>LOOKUP(2,1/(('0201 4度C'!$A:$A="新豐1線")*('0201 4度C'!$T:$T&lt;&gt;"")),'0201 4度C'!$T:$T)</f>
        <v>0.92361111111111094</v>
      </c>
      <c r="J17" s="82">
        <f>LOOKUP(2,1/(('0201 4度C'!$A:$A="新豐10線")*('0201 4度C'!$T:$T&lt;&gt;"")),'0201 4度C'!$T:$T)</f>
        <v>0.47777777777777775</v>
      </c>
      <c r="K17" s="80">
        <f>LOOKUP(2,1/(('0201 4度C'!$A:$A="新豐8線")*('0201 4度C'!$T:$T&lt;&gt;"")),'0201 4度C'!$T:$T)</f>
        <v>0.68611111111111101</v>
      </c>
      <c r="L17" s="81">
        <f>LOOKUP(2,1/(('0201 4度C'!$A:$A="新豐9線")*('0201 4度C'!$T:$T&lt;&gt;"")),'0201 4度C'!$T:$T)</f>
        <v>0.68472222222222212</v>
      </c>
      <c r="M17" s="82">
        <f>LOOKUP(2,1/(('0201 4度C'!$A:$A="新豐4線")*('0201 4度C'!$T:$T&lt;&gt;"")),'0201 4度C'!$T:$T)</f>
        <v>0.68402777777777779</v>
      </c>
    </row>
    <row r="18" spans="2:13" ht="17.25" customHeight="1">
      <c r="B18" s="103" t="s">
        <v>183</v>
      </c>
      <c r="C18" s="86" t="s">
        <v>184</v>
      </c>
      <c r="D18" s="87">
        <f>SUMIFS('0201 4度C'!$Y:$Y,'0201 4度C'!$A:$A,"新豐6線",'0201 4度C'!$B:$B,"平均")</f>
        <v>0</v>
      </c>
      <c r="E18" s="88">
        <f>SUMIFS('0201 4度C'!$Y:$Y,'0201 4度C'!$A:$A,"新豐2線",'0201 4度C'!$B:$B,"平均")</f>
        <v>0</v>
      </c>
      <c r="F18" s="88">
        <f>SUMIFS('0201 4度C'!$Y:$Y,'0201 4度C'!$A:$A,"新豐5線",'0201 4度C'!$B:$B,"平均")</f>
        <v>0</v>
      </c>
      <c r="G18" s="88">
        <f>SUMIFS('0201 4度C'!$Y:$Y,'0201 4度C'!$A:$A,"新豐7線",'0201 4度C'!$B:$B,"平均")</f>
        <v>0</v>
      </c>
      <c r="H18" s="88">
        <f>SUMIFS('0201 4度C'!$Y:$Y,'0201 4度C'!$A:$A,"新豐3線",'0201 4度C'!$B:$B,"平均")</f>
        <v>0</v>
      </c>
      <c r="I18" s="88">
        <f>SUMIFS('0201 4度C'!$Y:$Y,'0201 4度C'!$A:$A,"新豐1線",'0201 4度C'!$B:$B,"平均")</f>
        <v>0</v>
      </c>
      <c r="J18" s="89">
        <f>SUMIFS('0201 4度C'!$Y:$Y,'0201 4度C'!$A:$A,"新豐10線",'0201 4度C'!$B:$B,"平均")</f>
        <v>0</v>
      </c>
      <c r="K18" s="90">
        <f>SUMIFS('0201 4度C'!$Y:$Y,'0201 4度C'!$A:$A,"新豐8線",'0201 4度C'!$B:$B,"平均")</f>
        <v>0</v>
      </c>
      <c r="L18" s="88">
        <f>SUMIFS('0201 4度C'!$Y:$Y,'0201 4度C'!$A:$A,"新豐9線",'0201 4度C'!$B:$B,"平均")</f>
        <v>0</v>
      </c>
      <c r="M18" s="89">
        <f>SUMIFS('0201 4度C'!$Y:$Y,'0201 4度C'!$A:$A,"新豐4線",'0201 4度C'!$B:$B,"平均")</f>
        <v>0</v>
      </c>
    </row>
    <row r="19" spans="2:13" ht="17.25" customHeight="1">
      <c r="B19" s="104"/>
      <c r="C19" s="86" t="s">
        <v>185</v>
      </c>
      <c r="D19" s="87">
        <f>SUMIFS('0201 4度C'!$Z:$Z,'0201 4度C'!$A:$A,"新豐6線",'0201 4度C'!$B:$B,"平均")</f>
        <v>0</v>
      </c>
      <c r="E19" s="88">
        <f>SUMIFS('0201 4度C'!$Z:$Z,'0201 4度C'!$A:$A,"新豐2線",'0201 4度C'!$B:$B,"平均")</f>
        <v>0</v>
      </c>
      <c r="F19" s="88">
        <f>SUMIFS('0201 4度C'!$Z:$Z,'0201 4度C'!$A:$A,"新豐5線",'0201 4度C'!$B:$B,"平均")</f>
        <v>0</v>
      </c>
      <c r="G19" s="88">
        <f>SUMIFS('0201 4度C'!$Z:$Z,'0201 4度C'!$A:$A,"新豐7線",'0201 4度C'!$B:$B,"平均")</f>
        <v>0</v>
      </c>
      <c r="H19" s="88">
        <f>SUMIFS('0201 4度C'!$Z:$Z,'0201 4度C'!$A:$A,"新豐3線",'0201 4度C'!$B:$B,"平均")</f>
        <v>0</v>
      </c>
      <c r="I19" s="88">
        <f>SUMIFS('0201 4度C'!$Z:$Z,'0201 4度C'!$A:$A,"新豐1線",'0201 4度C'!$B:$B,"平均")</f>
        <v>0</v>
      </c>
      <c r="J19" s="89">
        <f>SUMIFS('0201 4度C'!$Z:$Z,'0201 4度C'!$A:$A,"新豐10線",'0201 4度C'!$B:$B,"平均")</f>
        <v>0</v>
      </c>
      <c r="K19" s="90">
        <f>SUMIFS('0201 4度C'!$Z:$Z,'0201 4度C'!$A:$A,"新豐8線",'0201 4度C'!$B:$B,"平均")</f>
        <v>0</v>
      </c>
      <c r="L19" s="88">
        <f>SUMIFS('0201 4度C'!$Z:$Z,'0201 4度C'!$A:$A,"新豐9線",'0201 4度C'!$B:$B,"平均")</f>
        <v>0</v>
      </c>
      <c r="M19" s="89">
        <f>SUMIFS('0201 4度C'!$Z:$Z,'0201 4度C'!$A:$A,"新豐4線",'0201 4度C'!$B:$B,"平均")</f>
        <v>0</v>
      </c>
    </row>
    <row r="20" spans="2:13" ht="17.25" customHeight="1">
      <c r="B20" s="103" t="s">
        <v>186</v>
      </c>
      <c r="C20" s="86" t="s">
        <v>187</v>
      </c>
      <c r="D20" s="87">
        <f>SUMIFS('0201 4度C'!$AC:$AC,'0201 4度C'!$A:$A,"新豐6線",'0201 4度C'!$B:$B,"平均")</f>
        <v>2</v>
      </c>
      <c r="E20" s="88">
        <f>SUMIFS('0201 4度C'!$AC:$AC,'0201 4度C'!$A:$A,"新豐2線",'0201 4度C'!$B:$B,"平均")</f>
        <v>2</v>
      </c>
      <c r="F20" s="88">
        <f>SUMIFS('0201 4度C'!$AC:$AC,'0201 4度C'!$A:$A,"新豐5線",'0201 4度C'!$B:$B,"平均")</f>
        <v>3</v>
      </c>
      <c r="G20" s="88">
        <f>SUMIFS('0201 4度C'!$AC:$AC,'0201 4度C'!$A:$A,"新豐7線",'0201 4度C'!$B:$B,"平均")</f>
        <v>3</v>
      </c>
      <c r="H20" s="88">
        <f>SUMIFS('0201 4度C'!$AC:$AC,'0201 4度C'!$A:$A,"新豐3線",'0201 4度C'!$B:$B,"平均")</f>
        <v>0</v>
      </c>
      <c r="I20" s="88">
        <f>SUMIFS('0201 4度C'!$AC:$AC,'0201 4度C'!$A:$A,"新豐1線",'0201 4度C'!$B:$B,"平均")</f>
        <v>5</v>
      </c>
      <c r="J20" s="89">
        <f>SUMIFS('0201 4度C'!$AC:$AC,'0201 4度C'!$A:$A,"新豐10線",'0201 4度C'!$B:$B,"平均")</f>
        <v>1</v>
      </c>
      <c r="K20" s="90">
        <f>SUMIFS('0201 4度C'!$AC:$AC,'0201 4度C'!$A:$A,"新豐8線",'0201 4度C'!$B:$B,"平均")</f>
        <v>8</v>
      </c>
      <c r="L20" s="88">
        <f>SUMIFS('0201 4度C'!$AC:$AC,'0201 4度C'!$A:$A,"新豐9線",'0201 4度C'!$B:$B,"平均")</f>
        <v>8</v>
      </c>
      <c r="M20" s="89">
        <f>SUMIFS('0201 4度C'!$AC:$AC,'0201 4度C'!$A:$A,"新豐4線",'0201 4度C'!$B:$B,"平均")</f>
        <v>8</v>
      </c>
    </row>
    <row r="21" spans="2:13" ht="17.25" customHeight="1">
      <c r="B21" s="104"/>
      <c r="C21" s="86" t="s">
        <v>188</v>
      </c>
      <c r="D21" s="87">
        <f>SUMIFS('0201 4度C'!$AD:$AD,'0201 4度C'!$A:$A,"新豐6線",'0201 4度C'!$B:$B,"平均")</f>
        <v>0</v>
      </c>
      <c r="E21" s="88">
        <f>SUMIFS('0201 4度C'!$AD:$AD,'0201 4度C'!$A:$A,"新豐2線",'0201 4度C'!$B:$B,"平均")</f>
        <v>0</v>
      </c>
      <c r="F21" s="88">
        <f>SUMIFS('0201 4度C'!$AD:$AD,'0201 4度C'!$A:$A,"新豐5線",'0201 4度C'!$B:$B,"平均")</f>
        <v>0</v>
      </c>
      <c r="G21" s="88">
        <f>SUMIFS('0201 4度C'!$AD:$AD,'0201 4度C'!$A:$A,"新豐7線",'0201 4度C'!$B:$B,"平均")</f>
        <v>0</v>
      </c>
      <c r="H21" s="88">
        <f>SUMIFS('0201 4度C'!$AD:$AD,'0201 4度C'!$A:$A,"新豐3線",'0201 4度C'!$B:$B,"平均")</f>
        <v>0</v>
      </c>
      <c r="I21" s="88">
        <f>SUMIFS('0201 4度C'!$AD:$AD,'0201 4度C'!$A:$A,"新豐1線",'0201 4度C'!$B:$B,"平均")</f>
        <v>0</v>
      </c>
      <c r="J21" s="89">
        <f>SUMIFS('0201 4度C'!$AD:$AD,'0201 4度C'!$A:$A,"新豐10線",'0201 4度C'!$B:$B,"平均")</f>
        <v>0</v>
      </c>
      <c r="K21" s="90">
        <f>SUMIFS('0201 4度C'!$AD:$AD,'0201 4度C'!$A:$A,"新豐8線",'0201 4度C'!$B:$B,"平均")</f>
        <v>0</v>
      </c>
      <c r="L21" s="88">
        <f>SUMIFS('0201 4度C'!$AD:$AD,'0201 4度C'!$A:$A,"新豐9線",'0201 4度C'!$B:$B,"平均")</f>
        <v>0</v>
      </c>
      <c r="M21" s="89">
        <f>SUMIFS('0201 4度C'!$AD:$AD,'0201 4度C'!$A:$A,"新豐4線",'0201 4度C'!$B:$B,"平均")</f>
        <v>0</v>
      </c>
    </row>
    <row r="22" spans="2:13" ht="17.25" customHeight="1">
      <c r="B22" s="105" t="s">
        <v>189</v>
      </c>
      <c r="C22" s="106"/>
      <c r="D22" s="91">
        <f>SUMIFS('0201 4度C'!$I:$I,'0201 4度C'!$A:$A,"新豐6線",'0201 4度C'!$B:$B,"平均")</f>
        <v>17.166666666666668</v>
      </c>
      <c r="E22" s="92">
        <f>SUMIFS('0201 4度C'!$I:$I,'0201 4度C'!$A:$A,"新豐2線",'0201 4度C'!$B:$B,"平均")</f>
        <v>18</v>
      </c>
      <c r="F22" s="92">
        <f>SUMIFS('0201 4度C'!$I:$I,'0201 4度C'!$A:$A,"新豐5線",'0201 4度C'!$B:$B,"平均")</f>
        <v>16.857142857142858</v>
      </c>
      <c r="G22" s="92">
        <f>SUMIFS('0201 4度C'!$I:$I,'0201 4度C'!$A:$A,"新豐7線",'0201 4度C'!$B:$B,"平均")</f>
        <v>15.5</v>
      </c>
      <c r="H22" s="92">
        <f>SUMIFS('0201 4度C'!$I:$I,'0201 4度C'!$A:$A,"新豐3線",'0201 4度C'!$B:$B,"平均")</f>
        <v>9.8888888888888893</v>
      </c>
      <c r="I22" s="92">
        <f>SUMIFS('0201 4度C'!$I:$I,'0201 4度C'!$A:$A,"新豐1線",'0201 4度C'!$B:$B,"平均")</f>
        <v>18.8</v>
      </c>
      <c r="J22" s="93">
        <f>SUMIFS('0201 4度C'!$I:$I,'0201 4度C'!$A:$A,"新豐10線",'0201 4度C'!$B:$B,"平均")</f>
        <v>10.666666666666666</v>
      </c>
      <c r="K22" s="91">
        <f>SUMIFS('0201 4度C'!$I:$I,'0201 4度C'!$A:$A,"新豐8線",'0201 4度C'!$B:$B,"平均")</f>
        <v>18.428571428571427</v>
      </c>
      <c r="L22" s="92">
        <f>SUMIFS('0201 4度C'!$I:$I,'0201 4度C'!$A:$A,"新豐9線",'0201 4度C'!$B:$B,"平均")</f>
        <v>18</v>
      </c>
      <c r="M22" s="93">
        <f>SUMIFS('0201 4度C'!$I:$I,'0201 4度C'!$A:$A,"新豐4線",'0201 4度C'!$B:$B,"平均")</f>
        <v>15.75</v>
      </c>
    </row>
    <row r="23" spans="2:13" ht="17.25" customHeight="1">
      <c r="B23" s="105" t="s">
        <v>190</v>
      </c>
      <c r="C23" s="106"/>
      <c r="D23" s="94" t="s">
        <v>191</v>
      </c>
      <c r="E23" s="95" t="s">
        <v>192</v>
      </c>
      <c r="F23" s="95" t="s">
        <v>193</v>
      </c>
      <c r="G23" s="95" t="s">
        <v>193</v>
      </c>
      <c r="H23" s="95" t="s">
        <v>194</v>
      </c>
      <c r="I23" s="95" t="s">
        <v>191</v>
      </c>
      <c r="J23" s="96" t="s">
        <v>194</v>
      </c>
      <c r="K23" s="94" t="s">
        <v>195</v>
      </c>
      <c r="L23" s="95" t="s">
        <v>195</v>
      </c>
      <c r="M23" s="96" t="s">
        <v>195</v>
      </c>
    </row>
    <row r="24" spans="2:13" ht="17.25" customHeight="1">
      <c r="B24" s="105" t="s">
        <v>196</v>
      </c>
      <c r="C24" s="106"/>
      <c r="D24" s="94"/>
      <c r="E24" s="95"/>
      <c r="F24" s="95" t="s">
        <v>197</v>
      </c>
      <c r="G24" s="95" t="s">
        <v>191</v>
      </c>
      <c r="H24" s="95"/>
      <c r="I24" s="95"/>
      <c r="J24" s="96"/>
      <c r="K24" s="94"/>
      <c r="L24" s="95"/>
      <c r="M24" s="96"/>
    </row>
    <row r="25" spans="2:13" ht="17.25" customHeight="1" thickBot="1">
      <c r="B25" s="107" t="s">
        <v>198</v>
      </c>
      <c r="C25" s="108"/>
      <c r="D25" s="97"/>
      <c r="E25" s="98" t="s">
        <v>199</v>
      </c>
      <c r="F25" s="101" t="s">
        <v>200</v>
      </c>
      <c r="G25" s="102"/>
      <c r="H25" s="98" t="s">
        <v>201</v>
      </c>
      <c r="I25" s="98" t="s">
        <v>202</v>
      </c>
      <c r="J25" s="99" t="s">
        <v>201</v>
      </c>
      <c r="K25" s="100"/>
      <c r="L25" s="98"/>
      <c r="M25" s="9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工作表13">
    <pageSetUpPr fitToPage="1"/>
  </sheetPr>
  <dimension ref="A1:AG83"/>
  <sheetViews>
    <sheetView zoomScale="80" zoomScaleNormal="80" workbookViewId="0">
      <pane ySplit="4" topLeftCell="A5" activePane="bottomLeft" state="frozen"/>
      <selection activeCell="J13" sqref="J13"/>
      <selection pane="bottomLeft" activeCell="AC2" sqref="AC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SUM(F5:F82)</f>
        <v>171596</v>
      </c>
      <c r="E1" s="4" t="s">
        <v>2</v>
      </c>
      <c r="F1" s="1">
        <f>SUM(G5:G82)</f>
        <v>5837144.4000000004</v>
      </c>
      <c r="G1" s="1" t="s">
        <v>3</v>
      </c>
      <c r="H1" s="5">
        <f>L11+L14+L55+L66+L22+L73+L37+L45+L29+L82</f>
        <v>159.05793650793652</v>
      </c>
      <c r="I1" s="214" t="s">
        <v>4</v>
      </c>
      <c r="J1" s="214"/>
      <c r="K1" s="214"/>
      <c r="L1" s="214" t="s">
        <v>5</v>
      </c>
      <c r="M1" s="214"/>
      <c r="N1" s="214"/>
      <c r="O1" s="214" t="s">
        <v>6</v>
      </c>
      <c r="P1" s="214"/>
      <c r="Q1" s="214"/>
      <c r="R1" s="214"/>
      <c r="S1" s="214" t="s">
        <v>7</v>
      </c>
      <c r="T1" s="214"/>
      <c r="U1" s="214"/>
      <c r="V1" s="214"/>
      <c r="W1" s="214"/>
      <c r="X1" s="214"/>
      <c r="Y1" s="6" t="s">
        <v>8</v>
      </c>
      <c r="Z1" s="7" t="s">
        <v>9</v>
      </c>
      <c r="AA1" s="215" t="s">
        <v>10</v>
      </c>
      <c r="AB1" s="215"/>
      <c r="AC1" s="8" t="s">
        <v>8</v>
      </c>
      <c r="AD1" s="7" t="s">
        <v>11</v>
      </c>
      <c r="AE1" s="214" t="s">
        <v>12</v>
      </c>
      <c r="AF1" s="216"/>
      <c r="AG1" s="216"/>
    </row>
    <row r="2" spans="1:33" ht="26.25" customHeight="1">
      <c r="A2" s="35">
        <v>46054</v>
      </c>
      <c r="B2" s="36" t="s">
        <v>77</v>
      </c>
      <c r="C2" s="2" t="s">
        <v>13</v>
      </c>
      <c r="D2" s="10">
        <f>AVERAGE(N11,N14,N55,N66,N22,N73,N29,N37,N45,N82)</f>
        <v>139.54602997912158</v>
      </c>
      <c r="E2" s="11" t="s">
        <v>14</v>
      </c>
      <c r="F2" s="12">
        <f>F1/D1</f>
        <v>34.016785939066182</v>
      </c>
      <c r="G2" s="1" t="s">
        <v>15</v>
      </c>
      <c r="H2" s="13">
        <f>COUNT(H5:H82)</f>
        <v>13</v>
      </c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14">
        <f>SUM(Y11+Y14+Y22+Y29+Y37+Y45+Y55+Y66+Y73+Y82)</f>
        <v>0</v>
      </c>
      <c r="Z2" s="14">
        <f>SUM(Z11+Z14+Z22+Z29+Z37+Z45+Z55+Z66+Z73+Z82)</f>
        <v>0</v>
      </c>
      <c r="AA2" s="215"/>
      <c r="AB2" s="215"/>
      <c r="AC2" s="14">
        <f>SUM(AC11+AC14+AC22+AC29+AC37+AC45+AC55+AC66+AC73+AC82)</f>
        <v>40</v>
      </c>
      <c r="AD2" s="14">
        <f>SUM(AD11+AD14+AD22+AD29+AD37+AD45+AD55+AD66+AD73+AD82)</f>
        <v>0</v>
      </c>
      <c r="AE2" s="216"/>
      <c r="AF2" s="216"/>
      <c r="AG2" s="216"/>
    </row>
    <row r="3" spans="1:33" ht="40.5" customHeight="1">
      <c r="A3" s="164" t="s">
        <v>16</v>
      </c>
      <c r="B3" s="164" t="s">
        <v>17</v>
      </c>
      <c r="C3" s="164" t="s">
        <v>18</v>
      </c>
      <c r="D3" s="164"/>
      <c r="E3" s="212" t="s">
        <v>19</v>
      </c>
      <c r="F3" s="164" t="s">
        <v>20</v>
      </c>
      <c r="G3" s="212" t="s">
        <v>21</v>
      </c>
      <c r="H3" s="206" t="s">
        <v>22</v>
      </c>
      <c r="I3" s="204" t="s">
        <v>23</v>
      </c>
      <c r="J3" s="201" t="s">
        <v>24</v>
      </c>
      <c r="K3" s="211" t="s">
        <v>25</v>
      </c>
      <c r="L3" s="204" t="s">
        <v>23</v>
      </c>
      <c r="M3" s="201" t="s">
        <v>24</v>
      </c>
      <c r="N3" s="211" t="s">
        <v>25</v>
      </c>
      <c r="O3" s="204" t="s">
        <v>26</v>
      </c>
      <c r="P3" s="211" t="s">
        <v>27</v>
      </c>
      <c r="Q3" s="202" t="s">
        <v>28</v>
      </c>
      <c r="R3" s="182" t="s">
        <v>29</v>
      </c>
      <c r="S3" s="164" t="s">
        <v>30</v>
      </c>
      <c r="T3" s="164"/>
      <c r="U3" s="206" t="s">
        <v>31</v>
      </c>
      <c r="V3" s="206" t="s">
        <v>32</v>
      </c>
      <c r="W3" s="164" t="s">
        <v>33</v>
      </c>
      <c r="X3" s="164"/>
      <c r="Y3" s="207" t="s">
        <v>34</v>
      </c>
      <c r="Z3" s="168"/>
      <c r="AA3" s="208" t="s">
        <v>35</v>
      </c>
      <c r="AB3" s="209"/>
      <c r="AC3" s="207" t="s">
        <v>36</v>
      </c>
      <c r="AD3" s="168"/>
      <c r="AE3" s="201" t="s">
        <v>37</v>
      </c>
      <c r="AF3" s="202" t="s">
        <v>28</v>
      </c>
      <c r="AG3" s="182" t="s">
        <v>29</v>
      </c>
    </row>
    <row r="4" spans="1:33" ht="15.75" customHeight="1">
      <c r="A4" s="164"/>
      <c r="B4" s="164"/>
      <c r="C4" s="164"/>
      <c r="D4" s="164"/>
      <c r="E4" s="213"/>
      <c r="F4" s="164"/>
      <c r="G4" s="213"/>
      <c r="H4" s="206"/>
      <c r="I4" s="204"/>
      <c r="J4" s="201"/>
      <c r="K4" s="211"/>
      <c r="L4" s="204"/>
      <c r="M4" s="201"/>
      <c r="N4" s="211"/>
      <c r="O4" s="204"/>
      <c r="P4" s="211"/>
      <c r="Q4" s="202"/>
      <c r="R4" s="182"/>
      <c r="S4" s="4" t="s">
        <v>38</v>
      </c>
      <c r="T4" s="4" t="s">
        <v>39</v>
      </c>
      <c r="U4" s="206"/>
      <c r="V4" s="206"/>
      <c r="W4" s="4" t="s">
        <v>40</v>
      </c>
      <c r="X4" s="4" t="s">
        <v>41</v>
      </c>
      <c r="Y4" s="15" t="s">
        <v>42</v>
      </c>
      <c r="Z4" s="15" t="s">
        <v>43</v>
      </c>
      <c r="AA4" s="210"/>
      <c r="AB4" s="209"/>
      <c r="AC4" s="15" t="s">
        <v>44</v>
      </c>
      <c r="AD4" s="15" t="s">
        <v>45</v>
      </c>
      <c r="AE4" s="201"/>
      <c r="AF4" s="202"/>
      <c r="AG4" s="182"/>
    </row>
    <row r="5" spans="1:33">
      <c r="A5" s="203" t="s">
        <v>46</v>
      </c>
      <c r="B5" s="37" t="s">
        <v>78</v>
      </c>
      <c r="C5" s="205" t="s">
        <v>79</v>
      </c>
      <c r="D5" s="205"/>
      <c r="E5" s="37">
        <v>50.67</v>
      </c>
      <c r="F5" s="4">
        <v>1550</v>
      </c>
      <c r="G5" s="4">
        <f t="shared" ref="G5:G10" si="0">E5*F5</f>
        <v>78538.5</v>
      </c>
      <c r="H5" s="22" t="s">
        <v>139</v>
      </c>
      <c r="I5" s="16">
        <v>17</v>
      </c>
      <c r="J5" s="18">
        <v>2000</v>
      </c>
      <c r="K5" s="17">
        <f t="shared" ref="K5:K28" si="1">J5/I5</f>
        <v>117.64705882352941</v>
      </c>
      <c r="L5" s="16">
        <v>17</v>
      </c>
      <c r="M5" s="18">
        <f t="shared" ref="M5:M10" si="2">F5/V5*60</f>
        <v>1937.5000000000007</v>
      </c>
      <c r="N5" s="17">
        <f t="shared" ref="N5:N28" si="3">M5/L5</f>
        <v>113.97058823529416</v>
      </c>
      <c r="O5" s="19">
        <f t="shared" ref="O5:O28" si="4">L5-I5</f>
        <v>0</v>
      </c>
      <c r="P5" s="20">
        <f t="shared" ref="P5:P28" si="5">N5-K5</f>
        <v>-3.6764705882352473</v>
      </c>
      <c r="Q5" s="21">
        <f t="shared" ref="Q5:Q28" si="6">N5/K5</f>
        <v>0.96875000000000044</v>
      </c>
      <c r="R5" s="172">
        <f>Q11</f>
        <v>0.95973150924989159</v>
      </c>
      <c r="S5" s="28">
        <v>0.70833333333333337</v>
      </c>
      <c r="T5" s="28">
        <v>0.7416666666666667</v>
      </c>
      <c r="U5" s="4"/>
      <c r="V5" s="22">
        <f t="shared" ref="V5:V10" si="7">(T5-S5)*24*60</f>
        <v>47.999999999999986</v>
      </c>
      <c r="W5" s="23"/>
      <c r="X5" s="24"/>
      <c r="Y5" s="24"/>
      <c r="Z5" s="24"/>
      <c r="AA5" s="164"/>
      <c r="AB5" s="164"/>
      <c r="AC5" s="25">
        <v>2</v>
      </c>
      <c r="AD5" s="25"/>
      <c r="AE5" s="19">
        <f t="shared" ref="AE5:AE28" si="8">M5-J5</f>
        <v>-62.499999999999318</v>
      </c>
      <c r="AF5" s="21">
        <f t="shared" ref="AF5:AF28" si="9">M5/J5</f>
        <v>0.96875000000000033</v>
      </c>
      <c r="AG5" s="172">
        <f>AF11</f>
        <v>0.95973150924989159</v>
      </c>
    </row>
    <row r="6" spans="1:33">
      <c r="A6" s="204" t="s">
        <v>47</v>
      </c>
      <c r="B6" s="37" t="s">
        <v>78</v>
      </c>
      <c r="C6" s="205" t="s">
        <v>80</v>
      </c>
      <c r="D6" s="205"/>
      <c r="E6" s="37">
        <v>54.09</v>
      </c>
      <c r="F6" s="4">
        <v>1437</v>
      </c>
      <c r="G6" s="4">
        <f t="shared" si="0"/>
        <v>77727.33</v>
      </c>
      <c r="H6" s="22" t="s">
        <v>139</v>
      </c>
      <c r="I6" s="16">
        <v>19</v>
      </c>
      <c r="J6" s="18">
        <v>2000</v>
      </c>
      <c r="K6" s="17">
        <f t="shared" si="1"/>
        <v>105.26315789473684</v>
      </c>
      <c r="L6" s="16">
        <v>19</v>
      </c>
      <c r="M6" s="18">
        <f t="shared" si="2"/>
        <v>1916</v>
      </c>
      <c r="N6" s="17">
        <f t="shared" si="3"/>
        <v>100.84210526315789</v>
      </c>
      <c r="O6" s="19">
        <f t="shared" si="4"/>
        <v>0</v>
      </c>
      <c r="P6" s="20">
        <f t="shared" si="5"/>
        <v>-4.4210526315789451</v>
      </c>
      <c r="Q6" s="21">
        <f t="shared" si="6"/>
        <v>0.95800000000000007</v>
      </c>
      <c r="R6" s="172"/>
      <c r="S6" s="28">
        <v>0.74652777777777779</v>
      </c>
      <c r="T6" s="28">
        <v>0.77777777777777779</v>
      </c>
      <c r="U6" s="4">
        <f t="shared" ref="U6:U10" si="10">IF(S6=TIME(17,0,0),"",(S6-T5)*24*60)</f>
        <v>6.9999999999999751</v>
      </c>
      <c r="V6" s="22">
        <f t="shared" si="7"/>
        <v>45</v>
      </c>
      <c r="W6" s="23"/>
      <c r="X6" s="23"/>
      <c r="Y6" s="23"/>
      <c r="Z6" s="23"/>
      <c r="AA6" s="164"/>
      <c r="AB6" s="164"/>
      <c r="AC6" s="25"/>
      <c r="AD6" s="25"/>
      <c r="AE6" s="19">
        <f t="shared" si="8"/>
        <v>-84</v>
      </c>
      <c r="AF6" s="21">
        <f t="shared" si="9"/>
        <v>0.95799999999999996</v>
      </c>
      <c r="AG6" s="172"/>
    </row>
    <row r="7" spans="1:33">
      <c r="A7" s="204" t="s">
        <v>47</v>
      </c>
      <c r="B7" s="37" t="s">
        <v>78</v>
      </c>
      <c r="C7" s="196" t="s">
        <v>81</v>
      </c>
      <c r="D7" s="197"/>
      <c r="E7" s="37">
        <v>50.29</v>
      </c>
      <c r="F7" s="4">
        <v>1018</v>
      </c>
      <c r="G7" s="4">
        <f t="shared" si="0"/>
        <v>51195.22</v>
      </c>
      <c r="H7" s="22" t="s">
        <v>139</v>
      </c>
      <c r="I7" s="16">
        <v>16</v>
      </c>
      <c r="J7" s="18">
        <v>2000</v>
      </c>
      <c r="K7" s="17">
        <f t="shared" si="1"/>
        <v>125</v>
      </c>
      <c r="L7" s="16">
        <v>16</v>
      </c>
      <c r="M7" s="18">
        <f t="shared" si="2"/>
        <v>1908.7499999999975</v>
      </c>
      <c r="N7" s="17">
        <f t="shared" si="3"/>
        <v>119.29687499999984</v>
      </c>
      <c r="O7" s="19">
        <f t="shared" si="4"/>
        <v>0</v>
      </c>
      <c r="P7" s="20">
        <f t="shared" si="5"/>
        <v>-5.7031250000001563</v>
      </c>
      <c r="Q7" s="21">
        <f t="shared" si="6"/>
        <v>0.95437499999999875</v>
      </c>
      <c r="R7" s="172"/>
      <c r="S7" s="28">
        <v>0.78333333333333333</v>
      </c>
      <c r="T7" s="28">
        <v>0.80555555555555558</v>
      </c>
      <c r="U7" s="4">
        <f t="shared" si="10"/>
        <v>7.9999999999999716</v>
      </c>
      <c r="V7" s="22">
        <f t="shared" si="7"/>
        <v>32.000000000000043</v>
      </c>
      <c r="W7" s="23"/>
      <c r="X7" s="23"/>
      <c r="Y7" s="26"/>
      <c r="Z7" s="26"/>
      <c r="AA7" s="175"/>
      <c r="AB7" s="176"/>
      <c r="AC7" s="27"/>
      <c r="AD7" s="27"/>
      <c r="AE7" s="19">
        <f t="shared" si="8"/>
        <v>-91.250000000002501</v>
      </c>
      <c r="AF7" s="21">
        <f t="shared" si="9"/>
        <v>0.95437499999999875</v>
      </c>
      <c r="AG7" s="172"/>
    </row>
    <row r="8" spans="1:33">
      <c r="A8" s="204" t="s">
        <v>47</v>
      </c>
      <c r="B8" s="37" t="s">
        <v>78</v>
      </c>
      <c r="C8" s="196" t="s">
        <v>82</v>
      </c>
      <c r="D8" s="197"/>
      <c r="E8" s="37">
        <v>57.3</v>
      </c>
      <c r="F8" s="4">
        <v>700</v>
      </c>
      <c r="G8" s="4">
        <f t="shared" si="0"/>
        <v>40110</v>
      </c>
      <c r="H8" s="22">
        <v>2</v>
      </c>
      <c r="I8" s="16">
        <v>15</v>
      </c>
      <c r="J8" s="18">
        <v>2000</v>
      </c>
      <c r="K8" s="17">
        <f t="shared" si="1"/>
        <v>133.33333333333334</v>
      </c>
      <c r="L8" s="16">
        <v>15</v>
      </c>
      <c r="M8" s="18">
        <f t="shared" si="2"/>
        <v>1909.0909090909158</v>
      </c>
      <c r="N8" s="17">
        <f t="shared" si="3"/>
        <v>127.27272727272772</v>
      </c>
      <c r="O8" s="19">
        <f t="shared" si="4"/>
        <v>0</v>
      </c>
      <c r="P8" s="20">
        <f t="shared" si="5"/>
        <v>-6.0606060606056218</v>
      </c>
      <c r="Q8" s="21">
        <f t="shared" si="6"/>
        <v>0.95454545454545781</v>
      </c>
      <c r="R8" s="172"/>
      <c r="S8" s="28">
        <v>0.81041666666666667</v>
      </c>
      <c r="T8" s="28">
        <v>0.8256944444444444</v>
      </c>
      <c r="U8" s="4">
        <f t="shared" si="10"/>
        <v>6.9999999999999751</v>
      </c>
      <c r="V8" s="22">
        <f t="shared" si="7"/>
        <v>21.999999999999922</v>
      </c>
      <c r="W8" s="28"/>
      <c r="X8" s="28"/>
      <c r="Y8" s="29"/>
      <c r="Z8" s="29"/>
      <c r="AA8" s="175"/>
      <c r="AB8" s="176"/>
      <c r="AC8" s="27"/>
      <c r="AD8" s="27"/>
      <c r="AE8" s="19">
        <f t="shared" si="8"/>
        <v>-90.909090909084171</v>
      </c>
      <c r="AF8" s="21">
        <f t="shared" si="9"/>
        <v>0.95454545454545792</v>
      </c>
      <c r="AG8" s="172"/>
    </row>
    <row r="9" spans="1:33">
      <c r="A9" s="204" t="s">
        <v>47</v>
      </c>
      <c r="B9" s="37" t="s">
        <v>78</v>
      </c>
      <c r="C9" s="196" t="s">
        <v>83</v>
      </c>
      <c r="D9" s="197"/>
      <c r="E9" s="37">
        <v>50.67</v>
      </c>
      <c r="F9" s="4">
        <v>1092</v>
      </c>
      <c r="G9" s="4">
        <f t="shared" si="0"/>
        <v>55331.64</v>
      </c>
      <c r="H9" s="22" t="s">
        <v>139</v>
      </c>
      <c r="I9" s="16">
        <v>21</v>
      </c>
      <c r="J9" s="18">
        <v>2000</v>
      </c>
      <c r="K9" s="17">
        <f t="shared" si="1"/>
        <v>95.238095238095241</v>
      </c>
      <c r="L9" s="16">
        <v>21</v>
      </c>
      <c r="M9" s="18">
        <f t="shared" si="2"/>
        <v>1927.0588235294092</v>
      </c>
      <c r="N9" s="17">
        <f t="shared" si="3"/>
        <v>91.764705882352814</v>
      </c>
      <c r="O9" s="19">
        <f t="shared" si="4"/>
        <v>0</v>
      </c>
      <c r="P9" s="20">
        <f t="shared" si="5"/>
        <v>-3.4733893557424267</v>
      </c>
      <c r="Q9" s="21">
        <f t="shared" si="6"/>
        <v>0.96352941176470452</v>
      </c>
      <c r="R9" s="172"/>
      <c r="S9" s="28">
        <v>0.82986111111111105</v>
      </c>
      <c r="T9" s="28">
        <v>0.85347222222222219</v>
      </c>
      <c r="U9" s="4">
        <f t="shared" si="10"/>
        <v>5.9999999999999787</v>
      </c>
      <c r="V9" s="22">
        <f t="shared" si="7"/>
        <v>34.000000000000043</v>
      </c>
      <c r="W9" s="23">
        <f>T9</f>
        <v>0.85347222222222219</v>
      </c>
      <c r="X9" s="23">
        <f>S10</f>
        <v>0.89374999999999993</v>
      </c>
      <c r="Y9" s="26"/>
      <c r="Z9" s="26"/>
      <c r="AA9" s="175"/>
      <c r="AB9" s="176"/>
      <c r="AC9" s="27"/>
      <c r="AD9" s="27"/>
      <c r="AE9" s="19">
        <f t="shared" si="8"/>
        <v>-72.94117647059079</v>
      </c>
      <c r="AF9" s="21">
        <f t="shared" si="9"/>
        <v>0.96352941176470464</v>
      </c>
      <c r="AG9" s="172"/>
    </row>
    <row r="10" spans="1:33">
      <c r="A10" s="204" t="s">
        <v>47</v>
      </c>
      <c r="B10" s="37" t="s">
        <v>78</v>
      </c>
      <c r="C10" s="196" t="s">
        <v>82</v>
      </c>
      <c r="D10" s="197"/>
      <c r="E10" s="37">
        <v>57.3</v>
      </c>
      <c r="F10" s="4">
        <v>1183</v>
      </c>
      <c r="G10" s="4">
        <f t="shared" si="0"/>
        <v>67785.899999999994</v>
      </c>
      <c r="H10" s="22" t="s">
        <v>139</v>
      </c>
      <c r="I10" s="16">
        <v>15</v>
      </c>
      <c r="J10" s="18">
        <v>2000</v>
      </c>
      <c r="K10" s="17">
        <f t="shared" si="1"/>
        <v>133.33333333333334</v>
      </c>
      <c r="L10" s="16">
        <v>15</v>
      </c>
      <c r="M10" s="18">
        <f t="shared" si="2"/>
        <v>1918.3783783783767</v>
      </c>
      <c r="N10" s="17">
        <f t="shared" si="3"/>
        <v>127.89189189189179</v>
      </c>
      <c r="O10" s="19">
        <f t="shared" si="4"/>
        <v>0</v>
      </c>
      <c r="P10" s="20">
        <f t="shared" si="5"/>
        <v>-5.4414414414415546</v>
      </c>
      <c r="Q10" s="21">
        <f t="shared" si="6"/>
        <v>0.95918918918918838</v>
      </c>
      <c r="R10" s="172"/>
      <c r="S10" s="28">
        <v>0.89374999999999993</v>
      </c>
      <c r="T10" s="28">
        <v>0.9194444444444444</v>
      </c>
      <c r="U10" s="4">
        <f t="shared" si="10"/>
        <v>57.999999999999957</v>
      </c>
      <c r="V10" s="22">
        <f t="shared" si="7"/>
        <v>37.000000000000028</v>
      </c>
      <c r="W10" s="23"/>
      <c r="X10" s="23"/>
      <c r="Y10" s="26"/>
      <c r="Z10" s="26"/>
      <c r="AA10" s="175"/>
      <c r="AB10" s="176"/>
      <c r="AC10" s="27"/>
      <c r="AD10" s="27"/>
      <c r="AE10" s="19">
        <f t="shared" si="8"/>
        <v>-81.621621621623262</v>
      </c>
      <c r="AF10" s="21">
        <f t="shared" si="9"/>
        <v>0.95918918918918838</v>
      </c>
      <c r="AG10" s="172"/>
    </row>
    <row r="11" spans="1:33">
      <c r="A11" s="204" t="s">
        <v>47</v>
      </c>
      <c r="B11" s="37" t="s">
        <v>48</v>
      </c>
      <c r="C11" s="177"/>
      <c r="D11" s="177"/>
      <c r="E11" s="38"/>
      <c r="F11" s="17"/>
      <c r="G11" s="17"/>
      <c r="H11" s="4"/>
      <c r="I11" s="30">
        <v>17.166666666666668</v>
      </c>
      <c r="J11" s="18">
        <v>2000</v>
      </c>
      <c r="K11" s="17">
        <f t="shared" si="1"/>
        <v>116.50485436893203</v>
      </c>
      <c r="L11" s="30">
        <v>17.166666666666668</v>
      </c>
      <c r="M11" s="18">
        <f>AVERAGE(M5:M10)</f>
        <v>1919.4630184997832</v>
      </c>
      <c r="N11" s="17">
        <f t="shared" si="3"/>
        <v>111.81337971843396</v>
      </c>
      <c r="O11" s="19">
        <f t="shared" si="4"/>
        <v>0</v>
      </c>
      <c r="P11" s="20">
        <f t="shared" si="5"/>
        <v>-4.6914746504980656</v>
      </c>
      <c r="Q11" s="21">
        <f t="shared" si="6"/>
        <v>0.95973150924989159</v>
      </c>
      <c r="R11" s="172"/>
      <c r="S11" s="28"/>
      <c r="T11" s="28"/>
      <c r="U11" s="4"/>
      <c r="V11" s="22"/>
      <c r="W11" s="17"/>
      <c r="X11" s="17"/>
      <c r="Y11" s="31">
        <f>SUM(Y5:Y10)</f>
        <v>0</v>
      </c>
      <c r="Z11" s="31">
        <f>SUM(Z5:Z10)</f>
        <v>0</v>
      </c>
      <c r="AA11" s="168"/>
      <c r="AB11" s="168"/>
      <c r="AC11" s="31">
        <f>SUM(AC5:AC10)</f>
        <v>2</v>
      </c>
      <c r="AD11" s="31">
        <f>SUM(AD5:AD10)</f>
        <v>0</v>
      </c>
      <c r="AE11" s="19">
        <f t="shared" si="8"/>
        <v>-80.536981500216825</v>
      </c>
      <c r="AF11" s="21">
        <f t="shared" si="9"/>
        <v>0.95973150924989159</v>
      </c>
      <c r="AG11" s="172"/>
    </row>
    <row r="12" spans="1:33" ht="15.75" customHeight="1">
      <c r="A12" s="200" t="s">
        <v>49</v>
      </c>
      <c r="B12" s="37" t="s">
        <v>84</v>
      </c>
      <c r="C12" s="196" t="s">
        <v>85</v>
      </c>
      <c r="D12" s="197"/>
      <c r="E12" s="37">
        <v>39.619999999999997</v>
      </c>
      <c r="F12" s="4">
        <v>3265</v>
      </c>
      <c r="G12" s="4">
        <f t="shared" ref="G12:G13" si="11">E12*F12</f>
        <v>129359.29999999999</v>
      </c>
      <c r="H12" s="22" t="s">
        <v>139</v>
      </c>
      <c r="I12" s="16">
        <v>19</v>
      </c>
      <c r="J12" s="18">
        <v>1500</v>
      </c>
      <c r="K12" s="17">
        <f t="shared" si="1"/>
        <v>78.94736842105263</v>
      </c>
      <c r="L12" s="16">
        <v>19</v>
      </c>
      <c r="M12" s="18">
        <f t="shared" ref="M12:M13" si="12">F12/V12*60</f>
        <v>1440.4411764705876</v>
      </c>
      <c r="N12" s="17">
        <f t="shared" si="3"/>
        <v>75.812693498451978</v>
      </c>
      <c r="O12" s="19">
        <f t="shared" si="4"/>
        <v>0</v>
      </c>
      <c r="P12" s="20">
        <f t="shared" si="5"/>
        <v>-3.1346749226006523</v>
      </c>
      <c r="Q12" s="21">
        <f t="shared" si="6"/>
        <v>0.96029411764705841</v>
      </c>
      <c r="R12" s="172">
        <f>Q14</f>
        <v>0.95691561777549428</v>
      </c>
      <c r="S12" s="28">
        <v>0.20833333333333334</v>
      </c>
      <c r="T12" s="28">
        <v>0.30277777777777781</v>
      </c>
      <c r="U12" s="4"/>
      <c r="V12" s="22">
        <f t="shared" ref="V12:V13" si="13">(T12-S12)*24*60</f>
        <v>136.00000000000006</v>
      </c>
      <c r="W12" s="23"/>
      <c r="X12" s="23"/>
      <c r="Y12" s="23"/>
      <c r="Z12" s="23"/>
      <c r="AA12" s="164"/>
      <c r="AB12" s="164"/>
      <c r="AC12" s="25">
        <v>2</v>
      </c>
      <c r="AD12" s="25"/>
      <c r="AE12" s="19">
        <f t="shared" si="8"/>
        <v>-59.558823529412393</v>
      </c>
      <c r="AF12" s="21">
        <f t="shared" si="9"/>
        <v>0.96029411764705841</v>
      </c>
      <c r="AG12" s="172">
        <f>AF14</f>
        <v>0.95691561777549428</v>
      </c>
    </row>
    <row r="13" spans="1:33" ht="15.75" customHeight="1">
      <c r="A13" s="200" t="s">
        <v>50</v>
      </c>
      <c r="B13" s="37" t="s">
        <v>84</v>
      </c>
      <c r="C13" s="196" t="s">
        <v>86</v>
      </c>
      <c r="D13" s="197"/>
      <c r="E13" s="37">
        <v>39.799999999999997</v>
      </c>
      <c r="F13" s="4">
        <v>5459</v>
      </c>
      <c r="G13" s="4">
        <f t="shared" si="11"/>
        <v>217268.19999999998</v>
      </c>
      <c r="H13" s="22" t="s">
        <v>139</v>
      </c>
      <c r="I13" s="16">
        <v>17</v>
      </c>
      <c r="J13" s="18">
        <v>1500</v>
      </c>
      <c r="K13" s="17">
        <f t="shared" si="1"/>
        <v>88.235294117647058</v>
      </c>
      <c r="L13" s="16">
        <v>17</v>
      </c>
      <c r="M13" s="18">
        <f t="shared" si="12"/>
        <v>1430.3056768558952</v>
      </c>
      <c r="N13" s="17">
        <f t="shared" si="3"/>
        <v>84.135628050346781</v>
      </c>
      <c r="O13" s="19">
        <f t="shared" si="4"/>
        <v>0</v>
      </c>
      <c r="P13" s="20">
        <f t="shared" si="5"/>
        <v>-4.0996660673002765</v>
      </c>
      <c r="Q13" s="21">
        <f t="shared" si="6"/>
        <v>0.95353711790393025</v>
      </c>
      <c r="R13" s="172"/>
      <c r="S13" s="28">
        <v>0.30833333333333335</v>
      </c>
      <c r="T13" s="28">
        <v>0.46736111111111112</v>
      </c>
      <c r="U13" s="4">
        <f t="shared" ref="U13" si="14">IF(S13=TIME(17,0,0),"",(S13-T12)*24*60)</f>
        <v>7.9999999999999716</v>
      </c>
      <c r="V13" s="22">
        <f t="shared" si="13"/>
        <v>229</v>
      </c>
      <c r="W13" s="23"/>
      <c r="X13" s="23"/>
      <c r="Y13" s="23"/>
      <c r="Z13" s="23"/>
      <c r="AA13" s="164"/>
      <c r="AB13" s="164"/>
      <c r="AC13" s="25"/>
      <c r="AD13" s="25"/>
      <c r="AE13" s="19">
        <f t="shared" si="8"/>
        <v>-69.694323144104828</v>
      </c>
      <c r="AF13" s="21">
        <f t="shared" si="9"/>
        <v>0.95353711790393014</v>
      </c>
      <c r="AG13" s="172"/>
    </row>
    <row r="14" spans="1:33" ht="16.5" customHeight="1">
      <c r="A14" s="200" t="s">
        <v>49</v>
      </c>
      <c r="B14" s="37" t="s">
        <v>51</v>
      </c>
      <c r="C14" s="177"/>
      <c r="D14" s="177"/>
      <c r="E14" s="38"/>
      <c r="F14" s="18"/>
      <c r="G14" s="18"/>
      <c r="H14" s="4"/>
      <c r="I14" s="30">
        <v>18</v>
      </c>
      <c r="J14" s="18">
        <v>1500</v>
      </c>
      <c r="K14" s="17">
        <f t="shared" si="1"/>
        <v>83.333333333333329</v>
      </c>
      <c r="L14" s="30">
        <v>18</v>
      </c>
      <c r="M14" s="18">
        <f>AVERAGE(M12:M13)</f>
        <v>1435.3734266632414</v>
      </c>
      <c r="N14" s="17">
        <f t="shared" si="3"/>
        <v>79.742968147957853</v>
      </c>
      <c r="O14" s="19">
        <f t="shared" si="4"/>
        <v>0</v>
      </c>
      <c r="P14" s="20">
        <f t="shared" si="5"/>
        <v>-3.5903651853754752</v>
      </c>
      <c r="Q14" s="21">
        <f t="shared" si="6"/>
        <v>0.95691561777549428</v>
      </c>
      <c r="R14" s="172"/>
      <c r="S14" s="28"/>
      <c r="T14" s="28"/>
      <c r="U14" s="17"/>
      <c r="V14" s="22"/>
      <c r="W14" s="17"/>
      <c r="X14" s="17"/>
      <c r="Y14" s="31">
        <f>SUM(Y12:Y13)</f>
        <v>0</v>
      </c>
      <c r="Z14" s="31">
        <f>SUM(Z12:Z13)</f>
        <v>0</v>
      </c>
      <c r="AA14" s="168"/>
      <c r="AB14" s="168"/>
      <c r="AC14" s="31">
        <f>SUM(AC12:AC13)</f>
        <v>2</v>
      </c>
      <c r="AD14" s="31">
        <f>SUM(AD12:AD13)</f>
        <v>0</v>
      </c>
      <c r="AE14" s="19">
        <f t="shared" si="8"/>
        <v>-64.626573336758611</v>
      </c>
      <c r="AF14" s="21">
        <f t="shared" si="9"/>
        <v>0.95691561777549428</v>
      </c>
      <c r="AG14" s="172"/>
    </row>
    <row r="15" spans="1:33" ht="16.5" customHeight="1">
      <c r="A15" s="198" t="s">
        <v>52</v>
      </c>
      <c r="B15" s="4" t="s">
        <v>87</v>
      </c>
      <c r="C15" s="190" t="s">
        <v>88</v>
      </c>
      <c r="D15" s="190"/>
      <c r="E15" s="37">
        <v>41</v>
      </c>
      <c r="F15" s="4">
        <v>2080</v>
      </c>
      <c r="G15" s="4">
        <f t="shared" ref="G15:G21" si="15">E15*F15</f>
        <v>85280</v>
      </c>
      <c r="H15" s="22" t="s">
        <v>139</v>
      </c>
      <c r="I15" s="16">
        <v>26</v>
      </c>
      <c r="J15" s="18">
        <v>1500</v>
      </c>
      <c r="K15" s="17">
        <f t="shared" si="1"/>
        <v>57.692307692307693</v>
      </c>
      <c r="L15" s="16">
        <v>26</v>
      </c>
      <c r="M15" s="18">
        <f t="shared" ref="M15:M21" si="16">F15/V15*60</f>
        <v>1434.48275862069</v>
      </c>
      <c r="N15" s="17">
        <f t="shared" si="3"/>
        <v>55.172413793103459</v>
      </c>
      <c r="O15" s="19">
        <f t="shared" si="4"/>
        <v>0</v>
      </c>
      <c r="P15" s="20">
        <f t="shared" si="5"/>
        <v>-2.5198938992042343</v>
      </c>
      <c r="Q15" s="21">
        <f t="shared" si="6"/>
        <v>0.95632183908045998</v>
      </c>
      <c r="R15" s="172">
        <f>Q22</f>
        <v>0.96220794677804478</v>
      </c>
      <c r="S15" s="28">
        <v>0.20833333333333334</v>
      </c>
      <c r="T15" s="28">
        <v>0.26874999999999999</v>
      </c>
      <c r="U15" s="4"/>
      <c r="V15" s="22">
        <f t="shared" ref="V15:V21" si="17">(T15-S15)*24*60</f>
        <v>86.999999999999972</v>
      </c>
      <c r="W15" s="28"/>
      <c r="X15" s="28"/>
      <c r="Y15" s="28"/>
      <c r="Z15" s="28"/>
      <c r="AA15" s="164"/>
      <c r="AB15" s="164"/>
      <c r="AC15" s="25">
        <v>3</v>
      </c>
      <c r="AD15" s="25"/>
      <c r="AE15" s="19">
        <f t="shared" si="8"/>
        <v>-65.517241379310008</v>
      </c>
      <c r="AF15" s="21">
        <f t="shared" si="9"/>
        <v>0.95632183908045998</v>
      </c>
      <c r="AG15" s="172">
        <f>AF22</f>
        <v>0.96220794677804478</v>
      </c>
    </row>
    <row r="16" spans="1:33" ht="16.5" customHeight="1">
      <c r="A16" s="199" t="s">
        <v>53</v>
      </c>
      <c r="B16" s="4" t="s">
        <v>89</v>
      </c>
      <c r="C16" s="190" t="s">
        <v>90</v>
      </c>
      <c r="D16" s="190"/>
      <c r="E16" s="37">
        <v>72.400000000000006</v>
      </c>
      <c r="F16" s="4">
        <v>659</v>
      </c>
      <c r="G16" s="4">
        <f t="shared" si="15"/>
        <v>47711.600000000006</v>
      </c>
      <c r="H16" s="22" t="s">
        <v>139</v>
      </c>
      <c r="I16" s="16">
        <v>18</v>
      </c>
      <c r="J16" s="18">
        <v>1500</v>
      </c>
      <c r="K16" s="17">
        <f t="shared" si="1"/>
        <v>83.333333333333329</v>
      </c>
      <c r="L16" s="16">
        <v>18</v>
      </c>
      <c r="M16" s="18">
        <f t="shared" si="16"/>
        <v>1464.4444444444453</v>
      </c>
      <c r="N16" s="17">
        <f t="shared" si="3"/>
        <v>81.358024691358068</v>
      </c>
      <c r="O16" s="19">
        <f t="shared" si="4"/>
        <v>0</v>
      </c>
      <c r="P16" s="20">
        <f t="shared" si="5"/>
        <v>-1.9753086419752606</v>
      </c>
      <c r="Q16" s="21">
        <f t="shared" si="6"/>
        <v>0.97629629629629688</v>
      </c>
      <c r="R16" s="172"/>
      <c r="S16" s="28">
        <v>0.27361111111111108</v>
      </c>
      <c r="T16" s="28">
        <v>0.29236111111111107</v>
      </c>
      <c r="U16" s="4">
        <f t="shared" ref="U16:U21" si="18">IF(S16=TIME(17,0,0),"",(S16-T15)*24*60)</f>
        <v>6.9999999999999751</v>
      </c>
      <c r="V16" s="22">
        <f t="shared" si="17"/>
        <v>26.999999999999986</v>
      </c>
      <c r="W16" s="23"/>
      <c r="X16" s="23"/>
      <c r="Y16" s="23"/>
      <c r="Z16" s="23"/>
      <c r="AA16" s="164"/>
      <c r="AB16" s="164"/>
      <c r="AC16" s="25"/>
      <c r="AD16" s="25"/>
      <c r="AE16" s="19">
        <f t="shared" si="8"/>
        <v>-35.555555555554747</v>
      </c>
      <c r="AF16" s="21">
        <f t="shared" si="9"/>
        <v>0.97629629629629688</v>
      </c>
      <c r="AG16" s="172"/>
    </row>
    <row r="17" spans="1:33" ht="16.5" customHeight="1">
      <c r="A17" s="199" t="s">
        <v>53</v>
      </c>
      <c r="B17" s="4" t="s">
        <v>78</v>
      </c>
      <c r="C17" s="190" t="s">
        <v>91</v>
      </c>
      <c r="D17" s="190"/>
      <c r="E17" s="37">
        <v>50.98</v>
      </c>
      <c r="F17" s="4">
        <v>1000</v>
      </c>
      <c r="G17" s="4">
        <f t="shared" si="15"/>
        <v>50980</v>
      </c>
      <c r="H17" s="22">
        <v>2</v>
      </c>
      <c r="I17" s="16">
        <v>16</v>
      </c>
      <c r="J17" s="18">
        <v>2000</v>
      </c>
      <c r="K17" s="17">
        <f t="shared" si="1"/>
        <v>125</v>
      </c>
      <c r="L17" s="16">
        <v>16</v>
      </c>
      <c r="M17" s="18">
        <f t="shared" si="16"/>
        <v>1935.483870967739</v>
      </c>
      <c r="N17" s="17">
        <f t="shared" si="3"/>
        <v>120.96774193548369</v>
      </c>
      <c r="O17" s="19">
        <f t="shared" si="4"/>
        <v>0</v>
      </c>
      <c r="P17" s="20">
        <f t="shared" si="5"/>
        <v>-4.0322580645163129</v>
      </c>
      <c r="Q17" s="21">
        <f t="shared" si="6"/>
        <v>0.96774193548386944</v>
      </c>
      <c r="R17" s="172"/>
      <c r="S17" s="28">
        <v>0.70833333333333337</v>
      </c>
      <c r="T17" s="28">
        <v>0.72986111111111118</v>
      </c>
      <c r="U17" s="4" t="str">
        <f t="shared" si="18"/>
        <v/>
      </c>
      <c r="V17" s="22">
        <f t="shared" si="17"/>
        <v>31.00000000000005</v>
      </c>
      <c r="W17" s="23"/>
      <c r="X17" s="23"/>
      <c r="Y17" s="23"/>
      <c r="Z17" s="23"/>
      <c r="AA17" s="164"/>
      <c r="AB17" s="164"/>
      <c r="AC17" s="25"/>
      <c r="AD17" s="25"/>
      <c r="AE17" s="19">
        <f t="shared" si="8"/>
        <v>-64.516129032261006</v>
      </c>
      <c r="AF17" s="21">
        <f t="shared" si="9"/>
        <v>0.96774193548386944</v>
      </c>
      <c r="AG17" s="172"/>
    </row>
    <row r="18" spans="1:33" ht="16.5" customHeight="1">
      <c r="A18" s="199" t="s">
        <v>54</v>
      </c>
      <c r="B18" s="4" t="s">
        <v>78</v>
      </c>
      <c r="C18" s="190" t="s">
        <v>92</v>
      </c>
      <c r="D18" s="190"/>
      <c r="E18" s="37">
        <v>50.92</v>
      </c>
      <c r="F18" s="4">
        <v>800</v>
      </c>
      <c r="G18" s="4">
        <f t="shared" si="15"/>
        <v>40736</v>
      </c>
      <c r="H18" s="22">
        <v>2</v>
      </c>
      <c r="I18" s="16">
        <v>15</v>
      </c>
      <c r="J18" s="18">
        <v>2000</v>
      </c>
      <c r="K18" s="17">
        <f t="shared" si="1"/>
        <v>133.33333333333334</v>
      </c>
      <c r="L18" s="16">
        <v>15</v>
      </c>
      <c r="M18" s="18">
        <f t="shared" si="16"/>
        <v>1919.9999999999945</v>
      </c>
      <c r="N18" s="17">
        <f t="shared" si="3"/>
        <v>127.99999999999963</v>
      </c>
      <c r="O18" s="19">
        <f t="shared" si="4"/>
        <v>0</v>
      </c>
      <c r="P18" s="20">
        <f t="shared" si="5"/>
        <v>-5.3333333333337123</v>
      </c>
      <c r="Q18" s="21">
        <f t="shared" si="6"/>
        <v>0.95999999999999719</v>
      </c>
      <c r="R18" s="172"/>
      <c r="S18" s="28">
        <v>0.73541666666666672</v>
      </c>
      <c r="T18" s="28">
        <v>0.75277777777777788</v>
      </c>
      <c r="U18" s="4">
        <f t="shared" si="18"/>
        <v>7.9999999999999716</v>
      </c>
      <c r="V18" s="22">
        <f t="shared" si="17"/>
        <v>25.000000000000071</v>
      </c>
      <c r="W18" s="23"/>
      <c r="X18" s="23"/>
      <c r="Y18" s="23"/>
      <c r="Z18" s="23"/>
      <c r="AA18" s="164"/>
      <c r="AB18" s="164"/>
      <c r="AC18" s="25"/>
      <c r="AD18" s="25"/>
      <c r="AE18" s="19">
        <f t="shared" si="8"/>
        <v>-80.000000000005457</v>
      </c>
      <c r="AF18" s="21">
        <f t="shared" si="9"/>
        <v>0.9599999999999973</v>
      </c>
      <c r="AG18" s="172"/>
    </row>
    <row r="19" spans="1:33" ht="16.5" customHeight="1">
      <c r="A19" s="199" t="s">
        <v>55</v>
      </c>
      <c r="B19" s="4" t="s">
        <v>78</v>
      </c>
      <c r="C19" s="190" t="s">
        <v>93</v>
      </c>
      <c r="D19" s="190"/>
      <c r="E19" s="37">
        <v>50.67</v>
      </c>
      <c r="F19" s="4">
        <v>1745</v>
      </c>
      <c r="G19" s="4">
        <f t="shared" si="15"/>
        <v>88419.150000000009</v>
      </c>
      <c r="H19" s="22" t="s">
        <v>139</v>
      </c>
      <c r="I19" s="16">
        <v>15</v>
      </c>
      <c r="J19" s="18">
        <v>2000</v>
      </c>
      <c r="K19" s="17">
        <f t="shared" si="1"/>
        <v>133.33333333333334</v>
      </c>
      <c r="L19" s="16">
        <v>15</v>
      </c>
      <c r="M19" s="18">
        <f t="shared" si="16"/>
        <v>1903.6363636363649</v>
      </c>
      <c r="N19" s="17">
        <f t="shared" si="3"/>
        <v>126.90909090909099</v>
      </c>
      <c r="O19" s="19">
        <f t="shared" si="4"/>
        <v>0</v>
      </c>
      <c r="P19" s="20">
        <f t="shared" si="5"/>
        <v>-6.424242424242351</v>
      </c>
      <c r="Q19" s="21">
        <f t="shared" si="6"/>
        <v>0.95181818181818234</v>
      </c>
      <c r="R19" s="172"/>
      <c r="S19" s="28">
        <v>0.75833333333333341</v>
      </c>
      <c r="T19" s="28">
        <v>0.79652777777777783</v>
      </c>
      <c r="U19" s="4">
        <f t="shared" si="18"/>
        <v>7.9999999999999716</v>
      </c>
      <c r="V19" s="22">
        <f t="shared" si="17"/>
        <v>54.999999999999964</v>
      </c>
      <c r="W19" s="23"/>
      <c r="X19" s="23"/>
      <c r="Y19" s="23"/>
      <c r="Z19" s="23"/>
      <c r="AA19" s="164"/>
      <c r="AB19" s="164"/>
      <c r="AC19" s="25"/>
      <c r="AD19" s="25"/>
      <c r="AE19" s="19">
        <f t="shared" si="8"/>
        <v>-96.363636363635123</v>
      </c>
      <c r="AF19" s="21">
        <f t="shared" si="9"/>
        <v>0.95181818181818245</v>
      </c>
      <c r="AG19" s="172"/>
    </row>
    <row r="20" spans="1:33" ht="16.5" customHeight="1">
      <c r="A20" s="199" t="s">
        <v>54</v>
      </c>
      <c r="B20" s="4" t="s">
        <v>78</v>
      </c>
      <c r="C20" s="217" t="s">
        <v>94</v>
      </c>
      <c r="D20" s="218"/>
      <c r="E20" s="37">
        <v>57.3</v>
      </c>
      <c r="F20" s="4">
        <v>2079</v>
      </c>
      <c r="G20" s="4">
        <f t="shared" si="15"/>
        <v>119126.7</v>
      </c>
      <c r="H20" s="22" t="s">
        <v>139</v>
      </c>
      <c r="I20" s="16">
        <v>13</v>
      </c>
      <c r="J20" s="18">
        <v>2000</v>
      </c>
      <c r="K20" s="17">
        <f t="shared" si="1"/>
        <v>153.84615384615384</v>
      </c>
      <c r="L20" s="16">
        <v>13</v>
      </c>
      <c r="M20" s="18">
        <f t="shared" si="16"/>
        <v>1919.0769230769251</v>
      </c>
      <c r="N20" s="17">
        <f t="shared" si="3"/>
        <v>147.62130177514808</v>
      </c>
      <c r="O20" s="19">
        <f t="shared" si="4"/>
        <v>0</v>
      </c>
      <c r="P20" s="20">
        <f t="shared" si="5"/>
        <v>-6.2248520710057562</v>
      </c>
      <c r="Q20" s="21">
        <f t="shared" si="6"/>
        <v>0.95953846153846256</v>
      </c>
      <c r="R20" s="172"/>
      <c r="S20" s="28">
        <v>0.80069444444444449</v>
      </c>
      <c r="T20" s="28">
        <v>0.84583333333333333</v>
      </c>
      <c r="U20" s="4">
        <f t="shared" si="18"/>
        <v>5.9999999999999787</v>
      </c>
      <c r="V20" s="22">
        <f t="shared" si="17"/>
        <v>64.999999999999929</v>
      </c>
      <c r="W20" s="23">
        <f>T20</f>
        <v>0.84583333333333333</v>
      </c>
      <c r="X20" s="23">
        <f>S21</f>
        <v>0.88680555555555551</v>
      </c>
      <c r="Y20" s="26"/>
      <c r="Z20" s="26"/>
      <c r="AA20" s="175"/>
      <c r="AB20" s="176"/>
      <c r="AC20" s="25"/>
      <c r="AD20" s="25"/>
      <c r="AE20" s="19">
        <f t="shared" si="8"/>
        <v>-80.923076923074859</v>
      </c>
      <c r="AF20" s="21">
        <f t="shared" si="9"/>
        <v>0.95953846153846256</v>
      </c>
      <c r="AG20" s="172"/>
    </row>
    <row r="21" spans="1:33" ht="16.5" customHeight="1">
      <c r="A21" s="199" t="s">
        <v>56</v>
      </c>
      <c r="B21" s="4" t="s">
        <v>78</v>
      </c>
      <c r="C21" s="39" t="s">
        <v>92</v>
      </c>
      <c r="D21" s="40"/>
      <c r="E21" s="37">
        <v>50.92</v>
      </c>
      <c r="F21" s="4">
        <v>1835</v>
      </c>
      <c r="G21" s="4">
        <f t="shared" si="15"/>
        <v>93438.2</v>
      </c>
      <c r="H21" s="22" t="s">
        <v>139</v>
      </c>
      <c r="I21" s="16">
        <v>15</v>
      </c>
      <c r="J21" s="18">
        <v>2000</v>
      </c>
      <c r="K21" s="17">
        <f t="shared" si="1"/>
        <v>133.33333333333334</v>
      </c>
      <c r="L21" s="16">
        <v>15</v>
      </c>
      <c r="M21" s="18">
        <f t="shared" si="16"/>
        <v>1931.5789473684226</v>
      </c>
      <c r="N21" s="17">
        <f t="shared" si="3"/>
        <v>128.77192982456151</v>
      </c>
      <c r="O21" s="19">
        <f t="shared" si="4"/>
        <v>0</v>
      </c>
      <c r="P21" s="20">
        <f t="shared" si="5"/>
        <v>-4.5614035087718321</v>
      </c>
      <c r="Q21" s="21">
        <f t="shared" si="6"/>
        <v>0.96578947368421131</v>
      </c>
      <c r="R21" s="172"/>
      <c r="S21" s="28">
        <v>0.88680555555555551</v>
      </c>
      <c r="T21" s="28">
        <v>0.92638888888888882</v>
      </c>
      <c r="U21" s="4">
        <f t="shared" si="18"/>
        <v>58.99999999999995</v>
      </c>
      <c r="V21" s="22">
        <f t="shared" si="17"/>
        <v>56.999999999999957</v>
      </c>
      <c r="W21" s="23"/>
      <c r="X21" s="23"/>
      <c r="Y21" s="26"/>
      <c r="Z21" s="26"/>
      <c r="AA21" s="175"/>
      <c r="AB21" s="176"/>
      <c r="AC21" s="25"/>
      <c r="AD21" s="25"/>
      <c r="AE21" s="19">
        <f t="shared" si="8"/>
        <v>-68.421052631577368</v>
      </c>
      <c r="AF21" s="21">
        <f t="shared" si="9"/>
        <v>0.96578947368421131</v>
      </c>
      <c r="AG21" s="172"/>
    </row>
    <row r="22" spans="1:33" ht="16.5" customHeight="1">
      <c r="A22" s="199" t="s">
        <v>53</v>
      </c>
      <c r="B22" s="37" t="s">
        <v>57</v>
      </c>
      <c r="C22" s="177"/>
      <c r="D22" s="177"/>
      <c r="E22" s="38"/>
      <c r="F22" s="17"/>
      <c r="G22" s="17"/>
      <c r="H22" s="4"/>
      <c r="I22" s="30">
        <v>16.857142857142858</v>
      </c>
      <c r="J22" s="18">
        <v>1857.1428571428571</v>
      </c>
      <c r="K22" s="17">
        <f t="shared" si="1"/>
        <v>110.16949152542372</v>
      </c>
      <c r="L22" s="30">
        <v>16.857142857142858</v>
      </c>
      <c r="M22" s="18">
        <f>AVERAGE(M15:M21)</f>
        <v>1786.9576154449403</v>
      </c>
      <c r="N22" s="17">
        <f t="shared" si="3"/>
        <v>106.00596023825916</v>
      </c>
      <c r="O22" s="19">
        <f t="shared" si="4"/>
        <v>0</v>
      </c>
      <c r="P22" s="20">
        <f t="shared" si="5"/>
        <v>-4.1635312871645596</v>
      </c>
      <c r="Q22" s="21">
        <f t="shared" si="6"/>
        <v>0.96220794677804478</v>
      </c>
      <c r="R22" s="172"/>
      <c r="S22" s="28"/>
      <c r="T22" s="28"/>
      <c r="U22" s="4"/>
      <c r="V22" s="22"/>
      <c r="W22" s="17"/>
      <c r="X22" s="17"/>
      <c r="Y22" s="31">
        <f>SUM(Y15:Y21)</f>
        <v>0</v>
      </c>
      <c r="Z22" s="31">
        <f>SUM(Z15:Z21)</f>
        <v>0</v>
      </c>
      <c r="AA22" s="168"/>
      <c r="AB22" s="168"/>
      <c r="AC22" s="31">
        <f>SUM(AC15:AC21)</f>
        <v>3</v>
      </c>
      <c r="AD22" s="31">
        <f>SUM(AD15:AD21)</f>
        <v>0</v>
      </c>
      <c r="AE22" s="19">
        <f t="shared" si="8"/>
        <v>-70.185241697916808</v>
      </c>
      <c r="AF22" s="21">
        <f t="shared" si="9"/>
        <v>0.96220794677804478</v>
      </c>
      <c r="AG22" s="172"/>
    </row>
    <row r="23" spans="1:33" ht="15.75" customHeight="1">
      <c r="A23" s="194" t="s">
        <v>58</v>
      </c>
      <c r="B23" s="37" t="s">
        <v>78</v>
      </c>
      <c r="C23" s="190" t="s">
        <v>95</v>
      </c>
      <c r="D23" s="190"/>
      <c r="E23" s="37">
        <v>57.73</v>
      </c>
      <c r="F23" s="4">
        <v>2887</v>
      </c>
      <c r="G23" s="4">
        <f t="shared" ref="G23:G28" si="19">E23*F23</f>
        <v>166666.50999999998</v>
      </c>
      <c r="H23" s="22" t="s">
        <v>139</v>
      </c>
      <c r="I23" s="16">
        <v>14</v>
      </c>
      <c r="J23" s="18">
        <v>2000</v>
      </c>
      <c r="K23" s="17">
        <f t="shared" si="1"/>
        <v>142.85714285714286</v>
      </c>
      <c r="L23" s="16">
        <v>14</v>
      </c>
      <c r="M23" s="18">
        <f t="shared" ref="M23:M28" si="20">F23/V23*60</f>
        <v>1903.5164835164828</v>
      </c>
      <c r="N23" s="17">
        <f t="shared" si="3"/>
        <v>135.96546310832019</v>
      </c>
      <c r="O23" s="19">
        <f t="shared" si="4"/>
        <v>0</v>
      </c>
      <c r="P23" s="20">
        <f t="shared" si="5"/>
        <v>-6.8916797488226678</v>
      </c>
      <c r="Q23" s="21">
        <f t="shared" si="6"/>
        <v>0.95175824175824131</v>
      </c>
      <c r="R23" s="172">
        <f>Q29</f>
        <v>0.9607024793563933</v>
      </c>
      <c r="S23" s="28">
        <v>0.20833333333333334</v>
      </c>
      <c r="T23" s="28">
        <v>0.27152777777777781</v>
      </c>
      <c r="U23" s="4"/>
      <c r="V23" s="22">
        <f t="shared" ref="V23:V28" si="21">(T23-S23)*24*60</f>
        <v>91.000000000000043</v>
      </c>
      <c r="W23" s="28"/>
      <c r="X23" s="28"/>
      <c r="Y23" s="28"/>
      <c r="Z23" s="28"/>
      <c r="AA23" s="164"/>
      <c r="AB23" s="164"/>
      <c r="AC23" s="25">
        <v>3</v>
      </c>
      <c r="AD23" s="25"/>
      <c r="AE23" s="19">
        <f t="shared" si="8"/>
        <v>-96.483516483517178</v>
      </c>
      <c r="AF23" s="21">
        <f t="shared" si="9"/>
        <v>0.95175824175824142</v>
      </c>
      <c r="AG23" s="172">
        <f>AF29</f>
        <v>0.96070247935639319</v>
      </c>
    </row>
    <row r="24" spans="1:33" ht="15.75" customHeight="1">
      <c r="A24" s="195" t="s">
        <v>59</v>
      </c>
      <c r="B24" s="37" t="s">
        <v>78</v>
      </c>
      <c r="C24" s="190" t="s">
        <v>96</v>
      </c>
      <c r="D24" s="190"/>
      <c r="E24" s="37">
        <v>53.68</v>
      </c>
      <c r="F24" s="4">
        <v>1586</v>
      </c>
      <c r="G24" s="4">
        <f t="shared" si="19"/>
        <v>85136.48</v>
      </c>
      <c r="H24" s="22" t="s">
        <v>139</v>
      </c>
      <c r="I24" s="16">
        <v>16</v>
      </c>
      <c r="J24" s="18">
        <v>2000</v>
      </c>
      <c r="K24" s="17">
        <f t="shared" si="1"/>
        <v>125</v>
      </c>
      <c r="L24" s="16">
        <v>16</v>
      </c>
      <c r="M24" s="18">
        <f t="shared" si="20"/>
        <v>1942.0408163265311</v>
      </c>
      <c r="N24" s="17">
        <f t="shared" si="3"/>
        <v>121.37755102040819</v>
      </c>
      <c r="O24" s="19">
        <f t="shared" si="4"/>
        <v>0</v>
      </c>
      <c r="P24" s="20">
        <f t="shared" si="5"/>
        <v>-3.6224489795918089</v>
      </c>
      <c r="Q24" s="21">
        <f t="shared" si="6"/>
        <v>0.97102040816326551</v>
      </c>
      <c r="R24" s="172"/>
      <c r="S24" s="28">
        <v>0.27638888888888891</v>
      </c>
      <c r="T24" s="28">
        <v>0.31041666666666667</v>
      </c>
      <c r="U24" s="4">
        <f t="shared" ref="U24:U28" si="22">IF(S24=TIME(17,0,0),"",(S24-T23)*24*60)</f>
        <v>6.9999999999999751</v>
      </c>
      <c r="V24" s="22">
        <f t="shared" si="21"/>
        <v>48.999999999999986</v>
      </c>
      <c r="W24" s="23"/>
      <c r="X24" s="4"/>
      <c r="Y24" s="4"/>
      <c r="Z24" s="4"/>
      <c r="AA24" s="164"/>
      <c r="AB24" s="164"/>
      <c r="AC24" s="25"/>
      <c r="AD24" s="25"/>
      <c r="AE24" s="19">
        <f t="shared" si="8"/>
        <v>-57.959183673468942</v>
      </c>
      <c r="AF24" s="21">
        <f t="shared" si="9"/>
        <v>0.97102040816326551</v>
      </c>
      <c r="AG24" s="172"/>
    </row>
    <row r="25" spans="1:33" ht="15.75" customHeight="1">
      <c r="A25" s="195" t="s">
        <v>58</v>
      </c>
      <c r="B25" s="37" t="s">
        <v>78</v>
      </c>
      <c r="C25" s="190" t="s">
        <v>97</v>
      </c>
      <c r="D25" s="190"/>
      <c r="E25" s="37">
        <v>50.49</v>
      </c>
      <c r="F25" s="4">
        <v>2213</v>
      </c>
      <c r="G25" s="4">
        <f t="shared" si="19"/>
        <v>111734.37000000001</v>
      </c>
      <c r="H25" s="22" t="s">
        <v>139</v>
      </c>
      <c r="I25" s="16">
        <v>15</v>
      </c>
      <c r="J25" s="18">
        <v>2000</v>
      </c>
      <c r="K25" s="17">
        <f t="shared" si="1"/>
        <v>133.33333333333334</v>
      </c>
      <c r="L25" s="16">
        <v>15</v>
      </c>
      <c r="M25" s="18">
        <f t="shared" si="20"/>
        <v>1924.3478260869547</v>
      </c>
      <c r="N25" s="17">
        <f t="shared" si="3"/>
        <v>128.28985507246364</v>
      </c>
      <c r="O25" s="19">
        <f t="shared" si="4"/>
        <v>0</v>
      </c>
      <c r="P25" s="20">
        <f t="shared" si="5"/>
        <v>-5.0434782608697049</v>
      </c>
      <c r="Q25" s="21">
        <f t="shared" si="6"/>
        <v>0.96217391304347721</v>
      </c>
      <c r="R25" s="172"/>
      <c r="S25" s="28">
        <v>0.70833333333333337</v>
      </c>
      <c r="T25" s="28">
        <v>0.75625000000000009</v>
      </c>
      <c r="U25" s="4" t="str">
        <f t="shared" si="22"/>
        <v/>
      </c>
      <c r="V25" s="22">
        <f t="shared" si="21"/>
        <v>69.000000000000071</v>
      </c>
      <c r="W25" s="23"/>
      <c r="X25" s="4"/>
      <c r="Y25" s="4"/>
      <c r="Z25" s="4"/>
      <c r="AA25" s="164"/>
      <c r="AB25" s="164"/>
      <c r="AC25" s="25"/>
      <c r="AD25" s="25"/>
      <c r="AE25" s="19">
        <f t="shared" si="8"/>
        <v>-75.652173913045317</v>
      </c>
      <c r="AF25" s="21">
        <f t="shared" si="9"/>
        <v>0.96217391304347732</v>
      </c>
      <c r="AG25" s="172"/>
    </row>
    <row r="26" spans="1:33" ht="15.75" customHeight="1">
      <c r="A26" s="195" t="s">
        <v>60</v>
      </c>
      <c r="B26" s="37" t="s">
        <v>78</v>
      </c>
      <c r="C26" s="190" t="s">
        <v>98</v>
      </c>
      <c r="D26" s="190"/>
      <c r="E26" s="37">
        <v>50.67</v>
      </c>
      <c r="F26" s="4">
        <v>1317</v>
      </c>
      <c r="G26" s="4">
        <f t="shared" si="19"/>
        <v>66732.39</v>
      </c>
      <c r="H26" s="22" t="s">
        <v>139</v>
      </c>
      <c r="I26" s="16">
        <v>16</v>
      </c>
      <c r="J26" s="18">
        <v>2000</v>
      </c>
      <c r="K26" s="17">
        <f t="shared" si="1"/>
        <v>125</v>
      </c>
      <c r="L26" s="16">
        <v>16</v>
      </c>
      <c r="M26" s="18">
        <f t="shared" si="20"/>
        <v>1927.317073170731</v>
      </c>
      <c r="N26" s="17">
        <f t="shared" si="3"/>
        <v>120.45731707317069</v>
      </c>
      <c r="O26" s="19">
        <f t="shared" si="4"/>
        <v>0</v>
      </c>
      <c r="P26" s="20">
        <f t="shared" si="5"/>
        <v>-4.5426829268293147</v>
      </c>
      <c r="Q26" s="21">
        <f t="shared" si="6"/>
        <v>0.96365853658536549</v>
      </c>
      <c r="R26" s="172"/>
      <c r="S26" s="28">
        <v>0.76111111111111118</v>
      </c>
      <c r="T26" s="28">
        <v>0.78958333333333341</v>
      </c>
      <c r="U26" s="4">
        <f t="shared" si="22"/>
        <v>6.9999999999999751</v>
      </c>
      <c r="V26" s="22">
        <f t="shared" si="21"/>
        <v>41.000000000000014</v>
      </c>
      <c r="W26" s="23"/>
      <c r="X26" s="4"/>
      <c r="Y26" s="4"/>
      <c r="Z26" s="4"/>
      <c r="AA26" s="164"/>
      <c r="AB26" s="164"/>
      <c r="AC26" s="25"/>
      <c r="AD26" s="25"/>
      <c r="AE26" s="19">
        <f t="shared" si="8"/>
        <v>-72.682926829269036</v>
      </c>
      <c r="AF26" s="21">
        <f t="shared" si="9"/>
        <v>0.96365853658536549</v>
      </c>
      <c r="AG26" s="172"/>
    </row>
    <row r="27" spans="1:33" ht="15.75" customHeight="1">
      <c r="A27" s="195" t="s">
        <v>58</v>
      </c>
      <c r="B27" s="37" t="s">
        <v>78</v>
      </c>
      <c r="C27" s="190" t="s">
        <v>99</v>
      </c>
      <c r="D27" s="190"/>
      <c r="E27" s="37">
        <v>53.68</v>
      </c>
      <c r="F27" s="4">
        <v>2177</v>
      </c>
      <c r="G27" s="4">
        <f t="shared" si="19"/>
        <v>116861.36</v>
      </c>
      <c r="H27" s="22" t="s">
        <v>139</v>
      </c>
      <c r="I27" s="16">
        <v>16</v>
      </c>
      <c r="J27" s="18">
        <v>1500</v>
      </c>
      <c r="K27" s="17">
        <f t="shared" si="1"/>
        <v>93.75</v>
      </c>
      <c r="L27" s="16">
        <v>16</v>
      </c>
      <c r="M27" s="18">
        <f t="shared" si="20"/>
        <v>1435.3846153846155</v>
      </c>
      <c r="N27" s="17">
        <f t="shared" si="3"/>
        <v>89.711538461538467</v>
      </c>
      <c r="O27" s="19">
        <f t="shared" si="4"/>
        <v>0</v>
      </c>
      <c r="P27" s="20">
        <f t="shared" si="5"/>
        <v>-4.038461538461533</v>
      </c>
      <c r="Q27" s="21">
        <f t="shared" si="6"/>
        <v>0.95692307692307699</v>
      </c>
      <c r="R27" s="172"/>
      <c r="S27" s="28">
        <v>0.79375000000000007</v>
      </c>
      <c r="T27" s="28">
        <v>0.85694444444444451</v>
      </c>
      <c r="U27" s="4">
        <f t="shared" si="22"/>
        <v>5.9999999999999787</v>
      </c>
      <c r="V27" s="22">
        <f t="shared" si="21"/>
        <v>91</v>
      </c>
      <c r="W27" s="23">
        <f>T27</f>
        <v>0.85694444444444451</v>
      </c>
      <c r="X27" s="23">
        <f>S28</f>
        <v>0.89583333333333337</v>
      </c>
      <c r="Y27" s="4"/>
      <c r="Z27" s="4"/>
      <c r="AA27" s="164"/>
      <c r="AB27" s="164"/>
      <c r="AC27" s="25"/>
      <c r="AD27" s="25"/>
      <c r="AE27" s="19">
        <f t="shared" si="8"/>
        <v>-64.615384615384528</v>
      </c>
      <c r="AF27" s="21">
        <f t="shared" si="9"/>
        <v>0.95692307692307699</v>
      </c>
      <c r="AG27" s="172"/>
    </row>
    <row r="28" spans="1:33" ht="15.75" customHeight="1">
      <c r="A28" s="195" t="s">
        <v>58</v>
      </c>
      <c r="B28" s="37" t="s">
        <v>78</v>
      </c>
      <c r="C28" s="190" t="s">
        <v>91</v>
      </c>
      <c r="D28" s="190"/>
      <c r="E28" s="37">
        <v>50.98</v>
      </c>
      <c r="F28" s="4">
        <v>1692</v>
      </c>
      <c r="G28" s="4">
        <f t="shared" si="19"/>
        <v>86258.159999999989</v>
      </c>
      <c r="H28" s="22" t="s">
        <v>139</v>
      </c>
      <c r="I28" s="16">
        <v>16</v>
      </c>
      <c r="J28" s="18">
        <v>2000</v>
      </c>
      <c r="K28" s="17">
        <f t="shared" si="1"/>
        <v>125</v>
      </c>
      <c r="L28" s="16">
        <v>16</v>
      </c>
      <c r="M28" s="18">
        <f t="shared" si="20"/>
        <v>1915.4716981132085</v>
      </c>
      <c r="N28" s="17">
        <f t="shared" si="3"/>
        <v>119.71698113207553</v>
      </c>
      <c r="O28" s="19">
        <f t="shared" si="4"/>
        <v>0</v>
      </c>
      <c r="P28" s="20">
        <f t="shared" si="5"/>
        <v>-5.2830188679244685</v>
      </c>
      <c r="Q28" s="21">
        <f t="shared" si="6"/>
        <v>0.95773584905660425</v>
      </c>
      <c r="R28" s="172"/>
      <c r="S28" s="28">
        <v>0.89583333333333337</v>
      </c>
      <c r="T28" s="28">
        <v>0.93263888888888891</v>
      </c>
      <c r="U28" s="4">
        <f t="shared" si="22"/>
        <v>55.999999999999957</v>
      </c>
      <c r="V28" s="22">
        <f t="shared" si="21"/>
        <v>52.999999999999972</v>
      </c>
      <c r="W28" s="23"/>
      <c r="X28" s="28"/>
      <c r="Y28" s="28"/>
      <c r="Z28" s="28"/>
      <c r="AA28" s="164"/>
      <c r="AB28" s="164"/>
      <c r="AC28" s="25"/>
      <c r="AD28" s="25"/>
      <c r="AE28" s="19">
        <f t="shared" si="8"/>
        <v>-84.528301886791496</v>
      </c>
      <c r="AF28" s="21">
        <f t="shared" si="9"/>
        <v>0.95773584905660425</v>
      </c>
      <c r="AG28" s="172"/>
    </row>
    <row r="29" spans="1:33" ht="15.75" customHeight="1">
      <c r="A29" s="195" t="s">
        <v>58</v>
      </c>
      <c r="B29" s="37" t="s">
        <v>48</v>
      </c>
      <c r="C29" s="177"/>
      <c r="D29" s="177"/>
      <c r="E29" s="38"/>
      <c r="F29" s="4"/>
      <c r="G29" s="4"/>
      <c r="H29" s="4"/>
      <c r="I29" s="30">
        <v>15.5</v>
      </c>
      <c r="J29" s="18">
        <v>1916.6666666666667</v>
      </c>
      <c r="K29" s="17">
        <f t="shared" ref="K29:K57" si="23">J29/I29</f>
        <v>123.65591397849462</v>
      </c>
      <c r="L29" s="30">
        <v>15.5</v>
      </c>
      <c r="M29" s="18">
        <f>AVERAGE(M23:M28)</f>
        <v>1841.3464187664204</v>
      </c>
      <c r="N29" s="17">
        <f t="shared" ref="N29:N57" si="24">M29/L29</f>
        <v>118.79654314622067</v>
      </c>
      <c r="O29" s="19">
        <f t="shared" ref="O29:O57" si="25">L29-I29</f>
        <v>0</v>
      </c>
      <c r="P29" s="20">
        <f t="shared" ref="P29:P57" si="26">N29-K29</f>
        <v>-4.8593708322739531</v>
      </c>
      <c r="Q29" s="21">
        <f t="shared" ref="Q29:Q57" si="27">N29/K29</f>
        <v>0.9607024793563933</v>
      </c>
      <c r="R29" s="172"/>
      <c r="S29" s="28"/>
      <c r="T29" s="28"/>
      <c r="U29" s="17"/>
      <c r="V29" s="22"/>
      <c r="W29" s="17"/>
      <c r="X29" s="17"/>
      <c r="Y29" s="31">
        <f>SUM(Y23:Y28)</f>
        <v>0</v>
      </c>
      <c r="Z29" s="31">
        <f>SUM(Z23:Z28)</f>
        <v>0</v>
      </c>
      <c r="AA29" s="168"/>
      <c r="AB29" s="168"/>
      <c r="AC29" s="31">
        <f>SUM(AC23:AC28)</f>
        <v>3</v>
      </c>
      <c r="AD29" s="31">
        <f>SUM(AD23:AD28)</f>
        <v>0</v>
      </c>
      <c r="AE29" s="19">
        <f t="shared" ref="AE29:AE57" si="28">M29-J29</f>
        <v>-75.320247900246386</v>
      </c>
      <c r="AF29" s="21">
        <f t="shared" ref="AF29:AF57" si="29">M29/J29</f>
        <v>0.96070247935639319</v>
      </c>
      <c r="AG29" s="172"/>
    </row>
    <row r="30" spans="1:33" ht="15.75" customHeight="1">
      <c r="A30" s="193" t="s">
        <v>61</v>
      </c>
      <c r="B30" s="37" t="s">
        <v>100</v>
      </c>
      <c r="C30" s="190" t="s">
        <v>101</v>
      </c>
      <c r="D30" s="190"/>
      <c r="E30" s="37">
        <v>31.29</v>
      </c>
      <c r="F30" s="4">
        <v>5000</v>
      </c>
      <c r="G30" s="4">
        <f t="shared" ref="G30:G36" si="30">E30*F30</f>
        <v>156450</v>
      </c>
      <c r="H30" s="22">
        <v>2</v>
      </c>
      <c r="I30" s="16">
        <v>18</v>
      </c>
      <c r="J30" s="18">
        <v>2400</v>
      </c>
      <c r="K30" s="17">
        <f t="shared" si="23"/>
        <v>133.33333333333334</v>
      </c>
      <c r="L30" s="16">
        <v>18</v>
      </c>
      <c r="M30" s="18">
        <f t="shared" ref="M30:M36" si="31">F30/V30*60</f>
        <v>2290.0763358778627</v>
      </c>
      <c r="N30" s="17">
        <f t="shared" si="24"/>
        <v>127.2264631043257</v>
      </c>
      <c r="O30" s="19">
        <f t="shared" si="25"/>
        <v>0</v>
      </c>
      <c r="P30" s="20">
        <f t="shared" si="26"/>
        <v>-6.1068702290076402</v>
      </c>
      <c r="Q30" s="21">
        <f t="shared" si="27"/>
        <v>0.95419847328244267</v>
      </c>
      <c r="R30" s="172">
        <f>Q37</f>
        <v>0.9555793369467106</v>
      </c>
      <c r="S30" s="28">
        <v>0.125</v>
      </c>
      <c r="T30" s="28">
        <v>0.21597222222222223</v>
      </c>
      <c r="U30" s="4"/>
      <c r="V30" s="22">
        <f t="shared" ref="V30:V36" si="32">(T30-S30)*24*60</f>
        <v>131</v>
      </c>
      <c r="W30" s="23">
        <f>T30</f>
        <v>0.21597222222222223</v>
      </c>
      <c r="X30" s="23">
        <f>S31</f>
        <v>0.23680555555555557</v>
      </c>
      <c r="Y30" s="23"/>
      <c r="Z30" s="23"/>
      <c r="AA30" s="164"/>
      <c r="AB30" s="164"/>
      <c r="AC30" s="25">
        <v>8</v>
      </c>
      <c r="AD30" s="25"/>
      <c r="AE30" s="19">
        <f t="shared" si="28"/>
        <v>-109.92366412213732</v>
      </c>
      <c r="AF30" s="21">
        <f t="shared" si="29"/>
        <v>0.95419847328244278</v>
      </c>
      <c r="AG30" s="172">
        <f>AF37</f>
        <v>0.9555793369467106</v>
      </c>
    </row>
    <row r="31" spans="1:33" ht="15.75" customHeight="1">
      <c r="A31" s="193" t="s">
        <v>61</v>
      </c>
      <c r="B31" s="37" t="s">
        <v>100</v>
      </c>
      <c r="C31" s="190" t="s">
        <v>102</v>
      </c>
      <c r="D31" s="190"/>
      <c r="E31" s="37">
        <v>26.2</v>
      </c>
      <c r="F31" s="4">
        <v>2800</v>
      </c>
      <c r="G31" s="4">
        <f t="shared" si="30"/>
        <v>73360</v>
      </c>
      <c r="H31" s="22">
        <v>2</v>
      </c>
      <c r="I31" s="16">
        <v>20</v>
      </c>
      <c r="J31" s="18">
        <v>2400</v>
      </c>
      <c r="K31" s="17">
        <f t="shared" si="23"/>
        <v>120</v>
      </c>
      <c r="L31" s="16">
        <v>20</v>
      </c>
      <c r="M31" s="18">
        <f t="shared" si="31"/>
        <v>2301.3698630136978</v>
      </c>
      <c r="N31" s="17">
        <f t="shared" si="24"/>
        <v>115.06849315068489</v>
      </c>
      <c r="O31" s="19">
        <f t="shared" si="25"/>
        <v>0</v>
      </c>
      <c r="P31" s="20">
        <f t="shared" si="26"/>
        <v>-4.9315068493151131</v>
      </c>
      <c r="Q31" s="21">
        <f t="shared" si="27"/>
        <v>0.95890410958904071</v>
      </c>
      <c r="R31" s="172"/>
      <c r="S31" s="28">
        <v>0.23680555555555557</v>
      </c>
      <c r="T31" s="28">
        <v>0.28750000000000003</v>
      </c>
      <c r="U31" s="4">
        <f t="shared" ref="U31:U36" si="33">(S31-T30)*24*60</f>
        <v>30.000000000000014</v>
      </c>
      <c r="V31" s="22">
        <f t="shared" si="32"/>
        <v>73.000000000000014</v>
      </c>
      <c r="W31" s="23"/>
      <c r="X31" s="23"/>
      <c r="Y31" s="23"/>
      <c r="Z31" s="23"/>
      <c r="AA31" s="164"/>
      <c r="AB31" s="164"/>
      <c r="AC31" s="25"/>
      <c r="AD31" s="25"/>
      <c r="AE31" s="19">
        <f t="shared" si="28"/>
        <v>-98.630136986302205</v>
      </c>
      <c r="AF31" s="21">
        <f t="shared" si="29"/>
        <v>0.95890410958904071</v>
      </c>
      <c r="AG31" s="172"/>
    </row>
    <row r="32" spans="1:33" ht="15.75" customHeight="1">
      <c r="A32" s="193" t="s">
        <v>61</v>
      </c>
      <c r="B32" s="37" t="s">
        <v>100</v>
      </c>
      <c r="C32" s="190" t="s">
        <v>103</v>
      </c>
      <c r="D32" s="190"/>
      <c r="E32" s="37">
        <v>25.99</v>
      </c>
      <c r="F32" s="4">
        <v>4320</v>
      </c>
      <c r="G32" s="4">
        <f t="shared" si="30"/>
        <v>112276.79999999999</v>
      </c>
      <c r="H32" s="22" t="s">
        <v>139</v>
      </c>
      <c r="I32" s="16">
        <v>14</v>
      </c>
      <c r="J32" s="18">
        <v>2400</v>
      </c>
      <c r="K32" s="17">
        <f t="shared" si="23"/>
        <v>171.42857142857142</v>
      </c>
      <c r="L32" s="16">
        <v>14</v>
      </c>
      <c r="M32" s="18">
        <f t="shared" si="31"/>
        <v>2293.8053097345132</v>
      </c>
      <c r="N32" s="17">
        <f t="shared" si="24"/>
        <v>163.8432364096081</v>
      </c>
      <c r="O32" s="19">
        <f t="shared" si="25"/>
        <v>0</v>
      </c>
      <c r="P32" s="20">
        <f t="shared" si="26"/>
        <v>-7.5853350189633204</v>
      </c>
      <c r="Q32" s="21">
        <f t="shared" si="27"/>
        <v>0.95575221238938057</v>
      </c>
      <c r="R32" s="172"/>
      <c r="S32" s="28">
        <v>0.29305555555555557</v>
      </c>
      <c r="T32" s="28">
        <v>0.37152777777777779</v>
      </c>
      <c r="U32" s="4">
        <f t="shared" si="33"/>
        <v>7.9999999999999716</v>
      </c>
      <c r="V32" s="22">
        <f t="shared" si="32"/>
        <v>113</v>
      </c>
      <c r="W32" s="23"/>
      <c r="X32" s="23"/>
      <c r="Y32" s="23"/>
      <c r="Z32" s="23"/>
      <c r="AA32" s="164"/>
      <c r="AB32" s="164"/>
      <c r="AC32" s="25"/>
      <c r="AD32" s="25"/>
      <c r="AE32" s="19">
        <f t="shared" si="28"/>
        <v>-106.19469026548677</v>
      </c>
      <c r="AF32" s="21">
        <f t="shared" si="29"/>
        <v>0.95575221238938046</v>
      </c>
      <c r="AG32" s="172"/>
    </row>
    <row r="33" spans="1:33" ht="15.75" customHeight="1">
      <c r="A33" s="193" t="s">
        <v>61</v>
      </c>
      <c r="B33" s="37" t="s">
        <v>100</v>
      </c>
      <c r="C33" s="190" t="s">
        <v>104</v>
      </c>
      <c r="D33" s="190"/>
      <c r="E33" s="37">
        <v>20.52</v>
      </c>
      <c r="F33" s="4">
        <v>4428</v>
      </c>
      <c r="G33" s="4">
        <f t="shared" si="30"/>
        <v>90862.56</v>
      </c>
      <c r="H33" s="22" t="s">
        <v>139</v>
      </c>
      <c r="I33" s="16">
        <v>18</v>
      </c>
      <c r="J33" s="18">
        <v>2400</v>
      </c>
      <c r="K33" s="17">
        <f t="shared" si="23"/>
        <v>133.33333333333334</v>
      </c>
      <c r="L33" s="16">
        <v>18</v>
      </c>
      <c r="M33" s="18">
        <f t="shared" si="31"/>
        <v>2290.344827586207</v>
      </c>
      <c r="N33" s="17">
        <f t="shared" si="24"/>
        <v>127.24137931034483</v>
      </c>
      <c r="O33" s="19">
        <f t="shared" si="25"/>
        <v>0</v>
      </c>
      <c r="P33" s="20">
        <f t="shared" si="26"/>
        <v>-6.0919540229885172</v>
      </c>
      <c r="Q33" s="21">
        <f t="shared" si="27"/>
        <v>0.95431034482758614</v>
      </c>
      <c r="R33" s="172"/>
      <c r="S33" s="28">
        <v>0.37638888888888888</v>
      </c>
      <c r="T33" s="28">
        <v>0.45694444444444443</v>
      </c>
      <c r="U33" s="4">
        <f t="shared" si="33"/>
        <v>6.9999999999999751</v>
      </c>
      <c r="V33" s="22">
        <f t="shared" si="32"/>
        <v>115.99999999999999</v>
      </c>
      <c r="W33" s="23"/>
      <c r="X33" s="23"/>
      <c r="Y33" s="23"/>
      <c r="Z33" s="23"/>
      <c r="AA33" s="164"/>
      <c r="AB33" s="164"/>
      <c r="AC33" s="25"/>
      <c r="AD33" s="25"/>
      <c r="AE33" s="19">
        <f t="shared" si="28"/>
        <v>-109.65517241379303</v>
      </c>
      <c r="AF33" s="21">
        <f t="shared" si="29"/>
        <v>0.95431034482758625</v>
      </c>
      <c r="AG33" s="172"/>
    </row>
    <row r="34" spans="1:33" ht="15.75" customHeight="1">
      <c r="A34" s="193" t="s">
        <v>61</v>
      </c>
      <c r="B34" s="37" t="s">
        <v>100</v>
      </c>
      <c r="C34" s="190" t="s">
        <v>105</v>
      </c>
      <c r="D34" s="190"/>
      <c r="E34" s="37">
        <v>25.98</v>
      </c>
      <c r="F34" s="4">
        <v>3229</v>
      </c>
      <c r="G34" s="4">
        <f t="shared" si="30"/>
        <v>83889.42</v>
      </c>
      <c r="H34" s="22" t="s">
        <v>139</v>
      </c>
      <c r="I34" s="16">
        <v>21</v>
      </c>
      <c r="J34" s="18">
        <v>2400</v>
      </c>
      <c r="K34" s="17">
        <f t="shared" si="23"/>
        <v>114.28571428571429</v>
      </c>
      <c r="L34" s="16">
        <v>21</v>
      </c>
      <c r="M34" s="18">
        <f t="shared" si="31"/>
        <v>2306.4285714285729</v>
      </c>
      <c r="N34" s="17">
        <f t="shared" si="24"/>
        <v>109.82993197278918</v>
      </c>
      <c r="O34" s="19">
        <f t="shared" si="25"/>
        <v>0</v>
      </c>
      <c r="P34" s="20">
        <f t="shared" si="26"/>
        <v>-4.4557823129251091</v>
      </c>
      <c r="Q34" s="21">
        <f t="shared" si="27"/>
        <v>0.96101190476190534</v>
      </c>
      <c r="R34" s="172"/>
      <c r="S34" s="28">
        <v>0.46041666666666664</v>
      </c>
      <c r="T34" s="28">
        <v>0.51874999999999993</v>
      </c>
      <c r="U34" s="4">
        <f t="shared" si="33"/>
        <v>4.9999999999999822</v>
      </c>
      <c r="V34" s="22">
        <f t="shared" si="32"/>
        <v>83.999999999999943</v>
      </c>
      <c r="W34" s="23">
        <f>T34</f>
        <v>0.51874999999999993</v>
      </c>
      <c r="X34" s="23">
        <f>S35</f>
        <v>0.55972222222222212</v>
      </c>
      <c r="Y34" s="23"/>
      <c r="Z34" s="23"/>
      <c r="AA34" s="164"/>
      <c r="AB34" s="164"/>
      <c r="AC34" s="25"/>
      <c r="AD34" s="25"/>
      <c r="AE34" s="19">
        <f t="shared" si="28"/>
        <v>-93.571428571427077</v>
      </c>
      <c r="AF34" s="21">
        <f t="shared" si="29"/>
        <v>0.96101190476190534</v>
      </c>
      <c r="AG34" s="172"/>
    </row>
    <row r="35" spans="1:33" ht="15.75" customHeight="1">
      <c r="A35" s="193" t="s">
        <v>62</v>
      </c>
      <c r="B35" s="37" t="s">
        <v>100</v>
      </c>
      <c r="C35" s="190" t="s">
        <v>101</v>
      </c>
      <c r="D35" s="190"/>
      <c r="E35" s="37">
        <v>31.29</v>
      </c>
      <c r="F35" s="4">
        <v>4449</v>
      </c>
      <c r="G35" s="4">
        <f t="shared" si="30"/>
        <v>139209.21</v>
      </c>
      <c r="H35" s="22" t="s">
        <v>139</v>
      </c>
      <c r="I35" s="16">
        <v>18</v>
      </c>
      <c r="J35" s="18">
        <v>2400</v>
      </c>
      <c r="K35" s="17">
        <f t="shared" si="23"/>
        <v>133.33333333333334</v>
      </c>
      <c r="L35" s="16">
        <v>18</v>
      </c>
      <c r="M35" s="18">
        <f t="shared" si="31"/>
        <v>2281.5384615384605</v>
      </c>
      <c r="N35" s="17">
        <f t="shared" si="24"/>
        <v>126.75213675213669</v>
      </c>
      <c r="O35" s="19">
        <f t="shared" si="25"/>
        <v>0</v>
      </c>
      <c r="P35" s="20">
        <f t="shared" si="26"/>
        <v>-6.5811965811966502</v>
      </c>
      <c r="Q35" s="21">
        <f t="shared" si="27"/>
        <v>0.95064102564102515</v>
      </c>
      <c r="R35" s="172"/>
      <c r="S35" s="28">
        <v>0.55972222222222212</v>
      </c>
      <c r="T35" s="28">
        <v>0.64097222222222217</v>
      </c>
      <c r="U35" s="4">
        <f t="shared" si="33"/>
        <v>58.99999999999995</v>
      </c>
      <c r="V35" s="22">
        <f t="shared" si="32"/>
        <v>117.00000000000006</v>
      </c>
      <c r="W35" s="23"/>
      <c r="X35" s="23"/>
      <c r="Y35" s="23"/>
      <c r="Z35" s="23"/>
      <c r="AA35" s="164"/>
      <c r="AB35" s="164"/>
      <c r="AC35" s="25"/>
      <c r="AD35" s="25"/>
      <c r="AE35" s="19">
        <f t="shared" si="28"/>
        <v>-118.46153846153948</v>
      </c>
      <c r="AF35" s="21">
        <f t="shared" si="29"/>
        <v>0.95064102564102526</v>
      </c>
      <c r="AG35" s="172"/>
    </row>
    <row r="36" spans="1:33" ht="15.75" customHeight="1">
      <c r="A36" s="193" t="s">
        <v>61</v>
      </c>
      <c r="B36" s="37" t="s">
        <v>100</v>
      </c>
      <c r="C36" s="190" t="s">
        <v>102</v>
      </c>
      <c r="D36" s="190"/>
      <c r="E36" s="37">
        <v>26.2</v>
      </c>
      <c r="F36" s="4">
        <v>2252</v>
      </c>
      <c r="G36" s="4">
        <f t="shared" si="30"/>
        <v>59002.400000000001</v>
      </c>
      <c r="H36" s="22" t="s">
        <v>139</v>
      </c>
      <c r="I36" s="16">
        <v>20</v>
      </c>
      <c r="J36" s="18">
        <v>2400</v>
      </c>
      <c r="K36" s="17">
        <f t="shared" si="23"/>
        <v>120</v>
      </c>
      <c r="L36" s="16">
        <v>20</v>
      </c>
      <c r="M36" s="18">
        <f t="shared" si="31"/>
        <v>2290.1694915254257</v>
      </c>
      <c r="N36" s="17">
        <f t="shared" si="24"/>
        <v>114.50847457627128</v>
      </c>
      <c r="O36" s="19">
        <f t="shared" si="25"/>
        <v>0</v>
      </c>
      <c r="P36" s="20">
        <f t="shared" si="26"/>
        <v>-5.4915254237287172</v>
      </c>
      <c r="Q36" s="21">
        <f t="shared" si="27"/>
        <v>0.95423728813559405</v>
      </c>
      <c r="R36" s="172"/>
      <c r="S36" s="28">
        <v>0.64513888888888882</v>
      </c>
      <c r="T36" s="28">
        <v>0.68611111111111101</v>
      </c>
      <c r="U36" s="4">
        <f t="shared" si="33"/>
        <v>5.9999999999999787</v>
      </c>
      <c r="V36" s="22">
        <f t="shared" si="32"/>
        <v>58.99999999999995</v>
      </c>
      <c r="W36" s="23"/>
      <c r="X36" s="23"/>
      <c r="Y36" s="23"/>
      <c r="Z36" s="23"/>
      <c r="AA36" s="164"/>
      <c r="AB36" s="164"/>
      <c r="AC36" s="25"/>
      <c r="AD36" s="25"/>
      <c r="AE36" s="19">
        <f t="shared" si="28"/>
        <v>-109.83050847457434</v>
      </c>
      <c r="AF36" s="21">
        <f t="shared" si="29"/>
        <v>0.95423728813559405</v>
      </c>
      <c r="AG36" s="172"/>
    </row>
    <row r="37" spans="1:33" ht="15.75" customHeight="1">
      <c r="A37" s="193" t="s">
        <v>61</v>
      </c>
      <c r="B37" s="37" t="s">
        <v>63</v>
      </c>
      <c r="C37" s="177"/>
      <c r="D37" s="177"/>
      <c r="E37" s="38"/>
      <c r="F37" s="4"/>
      <c r="G37" s="4"/>
      <c r="H37" s="4"/>
      <c r="I37" s="30">
        <v>18.428571428571427</v>
      </c>
      <c r="J37" s="18">
        <v>2400</v>
      </c>
      <c r="K37" s="17">
        <f t="shared" si="23"/>
        <v>130.23255813953489</v>
      </c>
      <c r="L37" s="30">
        <v>18.428571428571427</v>
      </c>
      <c r="M37" s="18">
        <f>AVERAGE(M30:M36)</f>
        <v>2293.3904086721054</v>
      </c>
      <c r="N37" s="17">
        <f t="shared" si="24"/>
        <v>124.44754155585069</v>
      </c>
      <c r="O37" s="19">
        <f t="shared" si="25"/>
        <v>0</v>
      </c>
      <c r="P37" s="20">
        <f t="shared" si="26"/>
        <v>-5.7850165836841967</v>
      </c>
      <c r="Q37" s="21">
        <f t="shared" si="27"/>
        <v>0.9555793369467106</v>
      </c>
      <c r="R37" s="172"/>
      <c r="S37" s="28"/>
      <c r="T37" s="28"/>
      <c r="U37" s="4"/>
      <c r="V37" s="22"/>
      <c r="W37" s="4"/>
      <c r="X37" s="4"/>
      <c r="Y37" s="31">
        <f>SUM(Y30:Y36)</f>
        <v>0</v>
      </c>
      <c r="Z37" s="31">
        <f>SUM(Z30:Z36)</f>
        <v>0</v>
      </c>
      <c r="AA37" s="168"/>
      <c r="AB37" s="168"/>
      <c r="AC37" s="31">
        <f>SUM(AC30:AC36)</f>
        <v>8</v>
      </c>
      <c r="AD37" s="31">
        <f>SUM(AD30:AD36)</f>
        <v>0</v>
      </c>
      <c r="AE37" s="19">
        <f t="shared" si="28"/>
        <v>-106.60959132789458</v>
      </c>
      <c r="AF37" s="21">
        <f t="shared" si="29"/>
        <v>0.9555793369467106</v>
      </c>
      <c r="AG37" s="172"/>
    </row>
    <row r="38" spans="1:33" ht="15.75" customHeight="1">
      <c r="A38" s="191" t="s">
        <v>64</v>
      </c>
      <c r="B38" s="37" t="s">
        <v>100</v>
      </c>
      <c r="C38" s="165" t="s">
        <v>106</v>
      </c>
      <c r="D38" s="165"/>
      <c r="E38" s="37">
        <v>26.2</v>
      </c>
      <c r="F38" s="4">
        <v>3800</v>
      </c>
      <c r="G38" s="4">
        <f t="shared" ref="G38:G44" si="34">E38*F38</f>
        <v>99560</v>
      </c>
      <c r="H38" s="22">
        <v>2</v>
      </c>
      <c r="I38" s="16">
        <v>18</v>
      </c>
      <c r="J38" s="18">
        <v>2400</v>
      </c>
      <c r="K38" s="17">
        <f t="shared" si="23"/>
        <v>133.33333333333334</v>
      </c>
      <c r="L38" s="16">
        <v>18</v>
      </c>
      <c r="M38" s="18">
        <f t="shared" ref="M38:M44" si="35">F38/V38*60</f>
        <v>2303.0303030303039</v>
      </c>
      <c r="N38" s="17">
        <f t="shared" si="24"/>
        <v>127.946127946128</v>
      </c>
      <c r="O38" s="19">
        <f t="shared" si="25"/>
        <v>0</v>
      </c>
      <c r="P38" s="20">
        <f t="shared" si="26"/>
        <v>-5.3872053872053414</v>
      </c>
      <c r="Q38" s="21">
        <f t="shared" si="27"/>
        <v>0.95959595959595989</v>
      </c>
      <c r="R38" s="172">
        <f>Q45</f>
        <v>0.95652080122409622</v>
      </c>
      <c r="S38" s="28">
        <v>0.125</v>
      </c>
      <c r="T38" s="28">
        <v>0.19374999999999998</v>
      </c>
      <c r="U38" s="4"/>
      <c r="V38" s="22">
        <f t="shared" ref="V38:V44" si="36">(T38-S38)*24*60</f>
        <v>98.999999999999972</v>
      </c>
      <c r="W38" s="28">
        <f>T38</f>
        <v>0.19374999999999998</v>
      </c>
      <c r="X38" s="28">
        <f>S39</f>
        <v>0.21249999999999997</v>
      </c>
      <c r="Y38" s="28"/>
      <c r="Z38" s="28"/>
      <c r="AA38" s="164"/>
      <c r="AB38" s="164"/>
      <c r="AC38" s="25">
        <v>8</v>
      </c>
      <c r="AD38" s="25"/>
      <c r="AE38" s="19">
        <f t="shared" si="28"/>
        <v>-96.969696969696088</v>
      </c>
      <c r="AF38" s="21">
        <f t="shared" si="29"/>
        <v>0.95959595959596</v>
      </c>
      <c r="AG38" s="172">
        <f>AF45</f>
        <v>0.95652080122409622</v>
      </c>
    </row>
    <row r="39" spans="1:33" ht="15.75" customHeight="1">
      <c r="A39" s="191" t="s">
        <v>64</v>
      </c>
      <c r="B39" s="37" t="s">
        <v>100</v>
      </c>
      <c r="C39" s="165" t="s">
        <v>107</v>
      </c>
      <c r="D39" s="165"/>
      <c r="E39" s="37">
        <v>26.18</v>
      </c>
      <c r="F39" s="4">
        <v>2326</v>
      </c>
      <c r="G39" s="4">
        <f t="shared" si="34"/>
        <v>60894.68</v>
      </c>
      <c r="H39" s="22" t="s">
        <v>139</v>
      </c>
      <c r="I39" s="16">
        <v>19</v>
      </c>
      <c r="J39" s="18">
        <v>2400</v>
      </c>
      <c r="K39" s="17">
        <f t="shared" si="23"/>
        <v>126.31578947368421</v>
      </c>
      <c r="L39" s="16">
        <v>19</v>
      </c>
      <c r="M39" s="18">
        <f t="shared" si="35"/>
        <v>2287.8688524590152</v>
      </c>
      <c r="N39" s="17">
        <f t="shared" si="24"/>
        <v>120.41415012942186</v>
      </c>
      <c r="O39" s="19">
        <f t="shared" si="25"/>
        <v>0</v>
      </c>
      <c r="P39" s="20">
        <f t="shared" si="26"/>
        <v>-5.9016393442623496</v>
      </c>
      <c r="Q39" s="21">
        <f t="shared" si="27"/>
        <v>0.95327868852458975</v>
      </c>
      <c r="R39" s="172"/>
      <c r="S39" s="28">
        <v>0.21249999999999997</v>
      </c>
      <c r="T39" s="28">
        <v>0.25486111111111109</v>
      </c>
      <c r="U39" s="4">
        <f t="shared" ref="U39:U44" si="37">(S39-T38)*24*60</f>
        <v>26.999999999999986</v>
      </c>
      <c r="V39" s="22">
        <f t="shared" si="36"/>
        <v>61.000000000000021</v>
      </c>
      <c r="W39" s="4"/>
      <c r="X39" s="4"/>
      <c r="Y39" s="4"/>
      <c r="Z39" s="4"/>
      <c r="AA39" s="164"/>
      <c r="AB39" s="164"/>
      <c r="AC39" s="25"/>
      <c r="AD39" s="25"/>
      <c r="AE39" s="19">
        <f t="shared" si="28"/>
        <v>-112.13114754098478</v>
      </c>
      <c r="AF39" s="21">
        <f t="shared" si="29"/>
        <v>0.95327868852458963</v>
      </c>
      <c r="AG39" s="172"/>
    </row>
    <row r="40" spans="1:33">
      <c r="A40" s="192" t="s">
        <v>65</v>
      </c>
      <c r="B40" s="37" t="s">
        <v>100</v>
      </c>
      <c r="C40" s="165" t="s">
        <v>108</v>
      </c>
      <c r="D40" s="165"/>
      <c r="E40" s="37">
        <v>26.39</v>
      </c>
      <c r="F40" s="4">
        <v>6281</v>
      </c>
      <c r="G40" s="4">
        <f t="shared" si="34"/>
        <v>165755.59</v>
      </c>
      <c r="H40" s="22" t="s">
        <v>139</v>
      </c>
      <c r="I40" s="16">
        <v>19</v>
      </c>
      <c r="J40" s="18">
        <v>2400</v>
      </c>
      <c r="K40" s="17">
        <f t="shared" si="23"/>
        <v>126.31578947368421</v>
      </c>
      <c r="L40" s="16">
        <v>19</v>
      </c>
      <c r="M40" s="18">
        <f t="shared" si="35"/>
        <v>2284</v>
      </c>
      <c r="N40" s="17">
        <f t="shared" si="24"/>
        <v>120.21052631578948</v>
      </c>
      <c r="O40" s="19">
        <f t="shared" si="25"/>
        <v>0</v>
      </c>
      <c r="P40" s="20">
        <f t="shared" si="26"/>
        <v>-6.1052631578947256</v>
      </c>
      <c r="Q40" s="21">
        <f t="shared" si="27"/>
        <v>0.95166666666666677</v>
      </c>
      <c r="R40" s="172"/>
      <c r="S40" s="28">
        <v>0.2583333333333333</v>
      </c>
      <c r="T40" s="28">
        <v>0.37291666666666662</v>
      </c>
      <c r="U40" s="4">
        <f t="shared" si="37"/>
        <v>4.9999999999999822</v>
      </c>
      <c r="V40" s="22">
        <f t="shared" si="36"/>
        <v>164.99999999999997</v>
      </c>
      <c r="W40" s="4"/>
      <c r="X40" s="4"/>
      <c r="Y40" s="4"/>
      <c r="Z40" s="4"/>
      <c r="AA40" s="164"/>
      <c r="AB40" s="164"/>
      <c r="AC40" s="25"/>
      <c r="AD40" s="25"/>
      <c r="AE40" s="19">
        <f t="shared" si="28"/>
        <v>-116</v>
      </c>
      <c r="AF40" s="21">
        <f t="shared" si="29"/>
        <v>0.95166666666666666</v>
      </c>
      <c r="AG40" s="172"/>
    </row>
    <row r="41" spans="1:33">
      <c r="A41" s="192" t="s">
        <v>64</v>
      </c>
      <c r="B41" s="37" t="s">
        <v>100</v>
      </c>
      <c r="C41" s="165" t="s">
        <v>109</v>
      </c>
      <c r="D41" s="165"/>
      <c r="E41" s="37">
        <v>24.45</v>
      </c>
      <c r="F41" s="4">
        <v>2676</v>
      </c>
      <c r="G41" s="4">
        <f t="shared" si="34"/>
        <v>65428.2</v>
      </c>
      <c r="H41" s="22" t="s">
        <v>139</v>
      </c>
      <c r="I41" s="16">
        <v>20</v>
      </c>
      <c r="J41" s="18">
        <v>2400</v>
      </c>
      <c r="K41" s="17">
        <f t="shared" si="23"/>
        <v>120</v>
      </c>
      <c r="L41" s="16">
        <v>20</v>
      </c>
      <c r="M41" s="18">
        <f t="shared" si="35"/>
        <v>2293.7142857142862</v>
      </c>
      <c r="N41" s="17">
        <f t="shared" si="24"/>
        <v>114.68571428571431</v>
      </c>
      <c r="O41" s="19">
        <f t="shared" si="25"/>
        <v>0</v>
      </c>
      <c r="P41" s="20">
        <f t="shared" si="26"/>
        <v>-5.3142857142856883</v>
      </c>
      <c r="Q41" s="21">
        <f t="shared" si="27"/>
        <v>0.95571428571428596</v>
      </c>
      <c r="R41" s="172"/>
      <c r="S41" s="28">
        <v>0.37708333333333327</v>
      </c>
      <c r="T41" s="28">
        <v>0.42569444444444438</v>
      </c>
      <c r="U41" s="4">
        <f t="shared" si="37"/>
        <v>5.9999999999999787</v>
      </c>
      <c r="V41" s="22">
        <f t="shared" si="36"/>
        <v>69.999999999999986</v>
      </c>
      <c r="W41" s="23"/>
      <c r="X41" s="23"/>
      <c r="Y41" s="23"/>
      <c r="Z41" s="23"/>
      <c r="AA41" s="164"/>
      <c r="AB41" s="164"/>
      <c r="AC41" s="25"/>
      <c r="AD41" s="25"/>
      <c r="AE41" s="19">
        <f t="shared" si="28"/>
        <v>-106.28571428571377</v>
      </c>
      <c r="AF41" s="21">
        <f t="shared" si="29"/>
        <v>0.95571428571428596</v>
      </c>
      <c r="AG41" s="172"/>
    </row>
    <row r="42" spans="1:33">
      <c r="A42" s="192" t="s">
        <v>64</v>
      </c>
      <c r="B42" s="37" t="s">
        <v>100</v>
      </c>
      <c r="C42" s="165" t="s">
        <v>110</v>
      </c>
      <c r="D42" s="165"/>
      <c r="E42" s="37">
        <v>22.69</v>
      </c>
      <c r="F42" s="4">
        <v>3800</v>
      </c>
      <c r="G42" s="4">
        <f t="shared" si="34"/>
        <v>86222</v>
      </c>
      <c r="H42" s="22">
        <v>2</v>
      </c>
      <c r="I42" s="16">
        <v>16</v>
      </c>
      <c r="J42" s="18">
        <v>2400</v>
      </c>
      <c r="K42" s="17">
        <f t="shared" si="23"/>
        <v>150</v>
      </c>
      <c r="L42" s="16">
        <v>16</v>
      </c>
      <c r="M42" s="18">
        <f t="shared" si="35"/>
        <v>2303.0303030303039</v>
      </c>
      <c r="N42" s="17">
        <f t="shared" si="24"/>
        <v>143.93939393939399</v>
      </c>
      <c r="O42" s="19">
        <f t="shared" si="25"/>
        <v>0</v>
      </c>
      <c r="P42" s="20">
        <f t="shared" si="26"/>
        <v>-6.0606060606060055</v>
      </c>
      <c r="Q42" s="21">
        <f t="shared" si="27"/>
        <v>0.95959595959596</v>
      </c>
      <c r="R42" s="172"/>
      <c r="S42" s="28">
        <v>0.42916666666666659</v>
      </c>
      <c r="T42" s="28">
        <v>0.49791666666666656</v>
      </c>
      <c r="U42" s="4">
        <f t="shared" si="37"/>
        <v>4.9999999999999822</v>
      </c>
      <c r="V42" s="22">
        <f t="shared" si="36"/>
        <v>98.999999999999972</v>
      </c>
      <c r="W42" s="23">
        <f>T42</f>
        <v>0.49791666666666656</v>
      </c>
      <c r="X42" s="23">
        <f>S43</f>
        <v>0.53958333333333319</v>
      </c>
      <c r="Y42" s="23"/>
      <c r="Z42" s="23"/>
      <c r="AA42" s="164"/>
      <c r="AB42" s="164"/>
      <c r="AC42" s="25"/>
      <c r="AD42" s="25"/>
      <c r="AE42" s="19">
        <f t="shared" si="28"/>
        <v>-96.969696969696088</v>
      </c>
      <c r="AF42" s="21">
        <f t="shared" si="29"/>
        <v>0.95959595959596</v>
      </c>
      <c r="AG42" s="172"/>
    </row>
    <row r="43" spans="1:33">
      <c r="A43" s="192" t="s">
        <v>64</v>
      </c>
      <c r="B43" s="37" t="s">
        <v>100</v>
      </c>
      <c r="C43" s="165" t="s">
        <v>110</v>
      </c>
      <c r="D43" s="165"/>
      <c r="E43" s="37">
        <v>22.69</v>
      </c>
      <c r="F43" s="4">
        <v>4865</v>
      </c>
      <c r="G43" s="4">
        <f t="shared" si="34"/>
        <v>110386.85</v>
      </c>
      <c r="H43" s="22" t="s">
        <v>139</v>
      </c>
      <c r="I43" s="16">
        <v>16</v>
      </c>
      <c r="J43" s="18">
        <v>2400</v>
      </c>
      <c r="K43" s="17">
        <f t="shared" si="23"/>
        <v>150</v>
      </c>
      <c r="L43" s="16">
        <v>16</v>
      </c>
      <c r="M43" s="18">
        <f t="shared" si="35"/>
        <v>2298.4251968503931</v>
      </c>
      <c r="N43" s="17">
        <f t="shared" si="24"/>
        <v>143.65157480314957</v>
      </c>
      <c r="O43" s="19">
        <f t="shared" si="25"/>
        <v>0</v>
      </c>
      <c r="P43" s="20">
        <f t="shared" si="26"/>
        <v>-6.3484251968504282</v>
      </c>
      <c r="Q43" s="21">
        <f t="shared" si="27"/>
        <v>0.95767716535433045</v>
      </c>
      <c r="R43" s="172"/>
      <c r="S43" s="28">
        <v>0.53958333333333319</v>
      </c>
      <c r="T43" s="28">
        <v>0.62777777777777766</v>
      </c>
      <c r="U43" s="4">
        <f t="shared" si="37"/>
        <v>59.999999999999943</v>
      </c>
      <c r="V43" s="22">
        <f t="shared" si="36"/>
        <v>127.00000000000003</v>
      </c>
      <c r="W43" s="23"/>
      <c r="X43" s="23"/>
      <c r="Y43" s="23"/>
      <c r="Z43" s="23"/>
      <c r="AA43" s="164"/>
      <c r="AB43" s="164"/>
      <c r="AC43" s="25"/>
      <c r="AD43" s="25"/>
      <c r="AE43" s="19">
        <f t="shared" si="28"/>
        <v>-101.57480314960685</v>
      </c>
      <c r="AF43" s="21">
        <f t="shared" si="29"/>
        <v>0.95767716535433045</v>
      </c>
      <c r="AG43" s="172"/>
    </row>
    <row r="44" spans="1:33">
      <c r="A44" s="192" t="s">
        <v>64</v>
      </c>
      <c r="B44" s="37" t="s">
        <v>100</v>
      </c>
      <c r="C44" s="165" t="s">
        <v>106</v>
      </c>
      <c r="D44" s="165"/>
      <c r="E44" s="37">
        <v>26.2</v>
      </c>
      <c r="F44" s="4">
        <v>2951</v>
      </c>
      <c r="G44" s="4">
        <f t="shared" si="34"/>
        <v>77316.2</v>
      </c>
      <c r="H44" s="22" t="s">
        <v>139</v>
      </c>
      <c r="I44" s="16">
        <v>18</v>
      </c>
      <c r="J44" s="18">
        <v>2400</v>
      </c>
      <c r="K44" s="17">
        <f t="shared" si="23"/>
        <v>133.33333333333334</v>
      </c>
      <c r="L44" s="16">
        <v>18</v>
      </c>
      <c r="M44" s="18">
        <f t="shared" si="35"/>
        <v>2299.4805194805181</v>
      </c>
      <c r="N44" s="17">
        <f t="shared" si="24"/>
        <v>127.74891774891768</v>
      </c>
      <c r="O44" s="19">
        <f t="shared" si="25"/>
        <v>0</v>
      </c>
      <c r="P44" s="20">
        <f t="shared" si="26"/>
        <v>-5.584415584415666</v>
      </c>
      <c r="Q44" s="21">
        <f t="shared" si="27"/>
        <v>0.95811688311688248</v>
      </c>
      <c r="R44" s="172"/>
      <c r="S44" s="28">
        <v>0.63124999999999987</v>
      </c>
      <c r="T44" s="28">
        <v>0.68472222222222212</v>
      </c>
      <c r="U44" s="4">
        <f t="shared" si="37"/>
        <v>4.9999999999999822</v>
      </c>
      <c r="V44" s="22">
        <f t="shared" si="36"/>
        <v>77.000000000000043</v>
      </c>
      <c r="W44" s="23"/>
      <c r="X44" s="23"/>
      <c r="Y44" s="26"/>
      <c r="Z44" s="26"/>
      <c r="AA44" s="175"/>
      <c r="AB44" s="176"/>
      <c r="AC44" s="25"/>
      <c r="AD44" s="25"/>
      <c r="AE44" s="19">
        <f t="shared" si="28"/>
        <v>-100.51948051948193</v>
      </c>
      <c r="AF44" s="21">
        <f t="shared" si="29"/>
        <v>0.95811688311688248</v>
      </c>
      <c r="AG44" s="172"/>
    </row>
    <row r="45" spans="1:33">
      <c r="A45" s="192" t="s">
        <v>64</v>
      </c>
      <c r="B45" s="17" t="s">
        <v>48</v>
      </c>
      <c r="C45" s="177"/>
      <c r="D45" s="177"/>
      <c r="E45" s="38"/>
      <c r="F45" s="17"/>
      <c r="G45" s="17"/>
      <c r="H45" s="4"/>
      <c r="I45" s="30">
        <v>18</v>
      </c>
      <c r="J45" s="18">
        <v>2400</v>
      </c>
      <c r="K45" s="17">
        <f t="shared" si="23"/>
        <v>133.33333333333334</v>
      </c>
      <c r="L45" s="30">
        <v>18</v>
      </c>
      <c r="M45" s="18">
        <f>AVERAGE(M38:M44)</f>
        <v>2295.649922937831</v>
      </c>
      <c r="N45" s="17">
        <f t="shared" si="24"/>
        <v>127.5361068298795</v>
      </c>
      <c r="O45" s="19">
        <f t="shared" si="25"/>
        <v>0</v>
      </c>
      <c r="P45" s="20">
        <f t="shared" si="26"/>
        <v>-5.7972265034538424</v>
      </c>
      <c r="Q45" s="21">
        <f t="shared" si="27"/>
        <v>0.95652080122409622</v>
      </c>
      <c r="R45" s="172"/>
      <c r="S45" s="28"/>
      <c r="T45" s="28"/>
      <c r="U45" s="17"/>
      <c r="V45" s="22"/>
      <c r="W45" s="17"/>
      <c r="X45" s="17"/>
      <c r="Y45" s="31">
        <f>SUM(Y38:Y44)</f>
        <v>0</v>
      </c>
      <c r="Z45" s="31">
        <f>SUM(Z38:Z44)</f>
        <v>0</v>
      </c>
      <c r="AA45" s="168"/>
      <c r="AB45" s="168"/>
      <c r="AC45" s="31">
        <f>SUM(AC38:AC44)</f>
        <v>8</v>
      </c>
      <c r="AD45" s="31">
        <f>SUM(AD38:AD44)</f>
        <v>0</v>
      </c>
      <c r="AE45" s="19">
        <f t="shared" si="28"/>
        <v>-104.35007706216902</v>
      </c>
      <c r="AF45" s="21">
        <f t="shared" si="29"/>
        <v>0.95652080122409622</v>
      </c>
      <c r="AG45" s="172"/>
    </row>
    <row r="46" spans="1:33" ht="15.75" customHeight="1">
      <c r="A46" s="184" t="s">
        <v>66</v>
      </c>
      <c r="B46" s="37" t="s">
        <v>111</v>
      </c>
      <c r="C46" s="173" t="s">
        <v>112</v>
      </c>
      <c r="D46" s="174"/>
      <c r="E46" s="37">
        <v>21.13</v>
      </c>
      <c r="F46" s="4">
        <v>3200</v>
      </c>
      <c r="G46" s="4">
        <f t="shared" ref="G46:G54" si="38">E46*F46</f>
        <v>67616</v>
      </c>
      <c r="H46" s="22">
        <v>2</v>
      </c>
      <c r="I46" s="16">
        <v>10</v>
      </c>
      <c r="J46" s="18">
        <v>3000</v>
      </c>
      <c r="K46" s="17">
        <f t="shared" si="23"/>
        <v>300</v>
      </c>
      <c r="L46" s="16">
        <v>10</v>
      </c>
      <c r="M46" s="18">
        <f t="shared" ref="M46:M54" si="39">F46/V46*60</f>
        <v>2865.6716417910466</v>
      </c>
      <c r="N46" s="18">
        <f t="shared" si="24"/>
        <v>286.56716417910468</v>
      </c>
      <c r="O46" s="19">
        <f t="shared" si="25"/>
        <v>0</v>
      </c>
      <c r="P46" s="20">
        <f t="shared" si="26"/>
        <v>-13.43283582089532</v>
      </c>
      <c r="Q46" s="21">
        <f t="shared" si="27"/>
        <v>0.95522388059701557</v>
      </c>
      <c r="R46" s="187">
        <f>Q55</f>
        <v>0.95637313401400414</v>
      </c>
      <c r="S46" s="28">
        <v>0.20833333333333334</v>
      </c>
      <c r="T46" s="28">
        <v>0.25486111111111109</v>
      </c>
      <c r="U46" s="28"/>
      <c r="V46" s="22">
        <f t="shared" ref="V46:V54" si="40">(T46-S46)*24*60</f>
        <v>66.999999999999957</v>
      </c>
      <c r="W46" s="23"/>
      <c r="X46" s="23"/>
      <c r="Y46" s="26"/>
      <c r="Z46" s="26"/>
      <c r="AA46" s="175"/>
      <c r="AB46" s="176"/>
      <c r="AC46" s="25" t="s">
        <v>139</v>
      </c>
      <c r="AD46" s="25"/>
      <c r="AE46" s="19">
        <f t="shared" si="28"/>
        <v>-134.32835820895343</v>
      </c>
      <c r="AF46" s="21">
        <f t="shared" si="29"/>
        <v>0.95522388059701557</v>
      </c>
      <c r="AG46" s="187">
        <f>AF55</f>
        <v>0.95637313401400414</v>
      </c>
    </row>
    <row r="47" spans="1:33" ht="15.75" customHeight="1">
      <c r="A47" s="185" t="s">
        <v>67</v>
      </c>
      <c r="B47" s="37" t="s">
        <v>111</v>
      </c>
      <c r="C47" s="173" t="s">
        <v>113</v>
      </c>
      <c r="D47" s="174"/>
      <c r="E47" s="37">
        <v>27.17</v>
      </c>
      <c r="F47" s="4">
        <v>4200</v>
      </c>
      <c r="G47" s="4">
        <f t="shared" si="38"/>
        <v>114114</v>
      </c>
      <c r="H47" s="22">
        <v>2</v>
      </c>
      <c r="I47" s="16">
        <v>10</v>
      </c>
      <c r="J47" s="18">
        <v>3000</v>
      </c>
      <c r="K47" s="17">
        <f t="shared" si="23"/>
        <v>300</v>
      </c>
      <c r="L47" s="16">
        <v>10</v>
      </c>
      <c r="M47" s="18">
        <f t="shared" si="39"/>
        <v>2863.6363636363635</v>
      </c>
      <c r="N47" s="18">
        <f t="shared" si="24"/>
        <v>286.36363636363637</v>
      </c>
      <c r="O47" s="19">
        <f t="shared" si="25"/>
        <v>0</v>
      </c>
      <c r="P47" s="20">
        <f t="shared" si="26"/>
        <v>-13.636363636363626</v>
      </c>
      <c r="Q47" s="21">
        <f t="shared" si="27"/>
        <v>0.95454545454545459</v>
      </c>
      <c r="R47" s="188"/>
      <c r="S47" s="28">
        <v>0.25902777777777775</v>
      </c>
      <c r="T47" s="28">
        <v>0.32013888888888886</v>
      </c>
      <c r="U47" s="4">
        <f t="shared" ref="U47:U54" si="41">(S47-T46)*24*60</f>
        <v>5.9999999999999787</v>
      </c>
      <c r="V47" s="22">
        <f t="shared" si="40"/>
        <v>88</v>
      </c>
      <c r="W47" s="23"/>
      <c r="X47" s="23"/>
      <c r="Y47" s="26"/>
      <c r="Z47" s="26"/>
      <c r="AA47" s="175"/>
      <c r="AB47" s="176"/>
      <c r="AC47" s="25" t="s">
        <v>139</v>
      </c>
      <c r="AD47" s="25"/>
      <c r="AE47" s="19">
        <f t="shared" si="28"/>
        <v>-136.36363636363649</v>
      </c>
      <c r="AF47" s="21">
        <f t="shared" si="29"/>
        <v>0.95454545454545447</v>
      </c>
      <c r="AG47" s="188"/>
    </row>
    <row r="48" spans="1:33" ht="15.75" customHeight="1">
      <c r="A48" s="185" t="s">
        <v>68</v>
      </c>
      <c r="B48" s="37" t="s">
        <v>111</v>
      </c>
      <c r="C48" s="173" t="s">
        <v>114</v>
      </c>
      <c r="D48" s="174"/>
      <c r="E48" s="37">
        <v>35.119999999999997</v>
      </c>
      <c r="F48" s="4">
        <v>3100</v>
      </c>
      <c r="G48" s="4">
        <f t="shared" si="38"/>
        <v>108871.99999999999</v>
      </c>
      <c r="H48" s="22">
        <v>2</v>
      </c>
      <c r="I48" s="16">
        <v>10</v>
      </c>
      <c r="J48" s="18">
        <v>3000</v>
      </c>
      <c r="K48" s="17">
        <f t="shared" si="23"/>
        <v>300</v>
      </c>
      <c r="L48" s="16">
        <v>10</v>
      </c>
      <c r="M48" s="18">
        <f t="shared" si="39"/>
        <v>2861.538461538461</v>
      </c>
      <c r="N48" s="18">
        <f t="shared" si="24"/>
        <v>286.15384615384608</v>
      </c>
      <c r="O48" s="19">
        <f t="shared" si="25"/>
        <v>0</v>
      </c>
      <c r="P48" s="20">
        <f t="shared" si="26"/>
        <v>-13.846153846153925</v>
      </c>
      <c r="Q48" s="21">
        <f t="shared" si="27"/>
        <v>0.95384615384615357</v>
      </c>
      <c r="R48" s="188"/>
      <c r="S48" s="28">
        <v>0.32361111111111107</v>
      </c>
      <c r="T48" s="28">
        <v>0.36874999999999997</v>
      </c>
      <c r="U48" s="4">
        <f t="shared" si="41"/>
        <v>4.9999999999999822</v>
      </c>
      <c r="V48" s="22">
        <f t="shared" si="40"/>
        <v>65.000000000000014</v>
      </c>
      <c r="W48" s="23"/>
      <c r="X48" s="23"/>
      <c r="Y48" s="26"/>
      <c r="Z48" s="26"/>
      <c r="AA48" s="175"/>
      <c r="AB48" s="176"/>
      <c r="AC48" s="25" t="s">
        <v>139</v>
      </c>
      <c r="AD48" s="25"/>
      <c r="AE48" s="19">
        <f t="shared" si="28"/>
        <v>-138.46153846153902</v>
      </c>
      <c r="AF48" s="21">
        <f t="shared" si="29"/>
        <v>0.95384615384615368</v>
      </c>
      <c r="AG48" s="188"/>
    </row>
    <row r="49" spans="1:33" ht="15.75" customHeight="1">
      <c r="A49" s="185" t="s">
        <v>68</v>
      </c>
      <c r="B49" s="37" t="s">
        <v>111</v>
      </c>
      <c r="C49" s="173" t="s">
        <v>115</v>
      </c>
      <c r="D49" s="174"/>
      <c r="E49" s="37">
        <v>26.78</v>
      </c>
      <c r="F49" s="4">
        <v>2670</v>
      </c>
      <c r="G49" s="4">
        <f t="shared" si="38"/>
        <v>71502.600000000006</v>
      </c>
      <c r="H49" s="22" t="s">
        <v>139</v>
      </c>
      <c r="I49" s="16">
        <v>10</v>
      </c>
      <c r="J49" s="18">
        <v>3000</v>
      </c>
      <c r="K49" s="17">
        <f t="shared" si="23"/>
        <v>300</v>
      </c>
      <c r="L49" s="16">
        <v>10</v>
      </c>
      <c r="M49" s="18">
        <f t="shared" si="39"/>
        <v>2860.7142857142835</v>
      </c>
      <c r="N49" s="18">
        <f t="shared" si="24"/>
        <v>286.07142857142833</v>
      </c>
      <c r="O49" s="19">
        <f t="shared" si="25"/>
        <v>0</v>
      </c>
      <c r="P49" s="20">
        <f t="shared" si="26"/>
        <v>-13.928571428571672</v>
      </c>
      <c r="Q49" s="21">
        <f t="shared" si="27"/>
        <v>0.95357142857142774</v>
      </c>
      <c r="R49" s="188"/>
      <c r="S49" s="28">
        <v>0.37361111111111106</v>
      </c>
      <c r="T49" s="28">
        <v>0.41249999999999998</v>
      </c>
      <c r="U49" s="4">
        <f t="shared" si="41"/>
        <v>6.9999999999999751</v>
      </c>
      <c r="V49" s="22">
        <f t="shared" si="40"/>
        <v>56.000000000000043</v>
      </c>
      <c r="W49" s="23"/>
      <c r="X49" s="23"/>
      <c r="Y49" s="26"/>
      <c r="Z49" s="26"/>
      <c r="AA49" s="175"/>
      <c r="AB49" s="176"/>
      <c r="AC49" s="25" t="s">
        <v>139</v>
      </c>
      <c r="AD49" s="25"/>
      <c r="AE49" s="19">
        <f t="shared" si="28"/>
        <v>-139.28571428571649</v>
      </c>
      <c r="AF49" s="21">
        <f t="shared" si="29"/>
        <v>0.95357142857142785</v>
      </c>
      <c r="AG49" s="188"/>
    </row>
    <row r="50" spans="1:33" ht="15.75" customHeight="1">
      <c r="A50" s="185" t="s">
        <v>68</v>
      </c>
      <c r="B50" s="37" t="s">
        <v>111</v>
      </c>
      <c r="C50" s="173" t="s">
        <v>116</v>
      </c>
      <c r="D50" s="174"/>
      <c r="E50" s="37">
        <v>35.869999999999997</v>
      </c>
      <c r="F50" s="4">
        <v>3428</v>
      </c>
      <c r="G50" s="4">
        <f t="shared" si="38"/>
        <v>122962.35999999999</v>
      </c>
      <c r="H50" s="22" t="s">
        <v>139</v>
      </c>
      <c r="I50" s="16">
        <v>9</v>
      </c>
      <c r="J50" s="18">
        <v>3000</v>
      </c>
      <c r="K50" s="17">
        <f t="shared" si="23"/>
        <v>333.33333333333331</v>
      </c>
      <c r="L50" s="16">
        <v>9</v>
      </c>
      <c r="M50" s="18">
        <f t="shared" si="39"/>
        <v>2856.6666666666674</v>
      </c>
      <c r="N50" s="18">
        <f t="shared" si="24"/>
        <v>317.4074074074075</v>
      </c>
      <c r="O50" s="19">
        <f t="shared" si="25"/>
        <v>0</v>
      </c>
      <c r="P50" s="20">
        <f t="shared" si="26"/>
        <v>-15.92592592592581</v>
      </c>
      <c r="Q50" s="21">
        <f t="shared" si="27"/>
        <v>0.95222222222222253</v>
      </c>
      <c r="R50" s="188"/>
      <c r="S50" s="28">
        <v>0.41597222222222219</v>
      </c>
      <c r="T50" s="28">
        <v>0.46597222222222218</v>
      </c>
      <c r="U50" s="4">
        <f t="shared" si="41"/>
        <v>4.9999999999999822</v>
      </c>
      <c r="V50" s="22">
        <f t="shared" si="40"/>
        <v>71.999999999999986</v>
      </c>
      <c r="W50" s="23"/>
      <c r="X50" s="23"/>
      <c r="Y50" s="26"/>
      <c r="Z50" s="26"/>
      <c r="AA50" s="175"/>
      <c r="AB50" s="176"/>
      <c r="AC50" s="25" t="s">
        <v>139</v>
      </c>
      <c r="AD50" s="25"/>
      <c r="AE50" s="19">
        <f t="shared" si="28"/>
        <v>-143.33333333333258</v>
      </c>
      <c r="AF50" s="21">
        <f t="shared" si="29"/>
        <v>0.95222222222222253</v>
      </c>
      <c r="AG50" s="188"/>
    </row>
    <row r="51" spans="1:33" ht="15.75" customHeight="1">
      <c r="A51" s="185" t="s">
        <v>68</v>
      </c>
      <c r="B51" s="37" t="s">
        <v>111</v>
      </c>
      <c r="C51" s="173" t="s">
        <v>117</v>
      </c>
      <c r="D51" s="174"/>
      <c r="E51" s="37">
        <v>44.03</v>
      </c>
      <c r="F51" s="4">
        <v>1862</v>
      </c>
      <c r="G51" s="4">
        <f t="shared" si="38"/>
        <v>81983.86</v>
      </c>
      <c r="H51" s="22" t="s">
        <v>139</v>
      </c>
      <c r="I51" s="16">
        <v>10</v>
      </c>
      <c r="J51" s="18">
        <v>3000</v>
      </c>
      <c r="K51" s="17">
        <f t="shared" si="23"/>
        <v>300</v>
      </c>
      <c r="L51" s="16">
        <v>10</v>
      </c>
      <c r="M51" s="18">
        <f t="shared" si="39"/>
        <v>2864.6153846153829</v>
      </c>
      <c r="N51" s="18">
        <f t="shared" si="24"/>
        <v>286.46153846153828</v>
      </c>
      <c r="O51" s="19">
        <f t="shared" si="25"/>
        <v>0</v>
      </c>
      <c r="P51" s="20">
        <f t="shared" si="26"/>
        <v>-13.538461538461718</v>
      </c>
      <c r="Q51" s="21">
        <f t="shared" si="27"/>
        <v>0.9548717948717943</v>
      </c>
      <c r="R51" s="188"/>
      <c r="S51" s="28">
        <v>0.47013888888888883</v>
      </c>
      <c r="T51" s="28">
        <v>0.49722222222222218</v>
      </c>
      <c r="U51" s="4">
        <f t="shared" si="41"/>
        <v>5.9999999999999787</v>
      </c>
      <c r="V51" s="22">
        <f t="shared" si="40"/>
        <v>39.000000000000021</v>
      </c>
      <c r="W51" s="23">
        <f>T51</f>
        <v>0.49722222222222218</v>
      </c>
      <c r="X51" s="23">
        <f>S52</f>
        <v>0.53888888888888886</v>
      </c>
      <c r="Y51" s="26"/>
      <c r="Z51" s="26"/>
      <c r="AA51" s="175"/>
      <c r="AB51" s="176"/>
      <c r="AC51" s="25" t="s">
        <v>139</v>
      </c>
      <c r="AD51" s="25"/>
      <c r="AE51" s="19">
        <f t="shared" si="28"/>
        <v>-135.38461538461706</v>
      </c>
      <c r="AF51" s="21">
        <f t="shared" si="29"/>
        <v>0.9548717948717943</v>
      </c>
      <c r="AG51" s="188"/>
    </row>
    <row r="52" spans="1:33" ht="15.75" customHeight="1">
      <c r="A52" s="185" t="s">
        <v>67</v>
      </c>
      <c r="B52" s="37" t="s">
        <v>111</v>
      </c>
      <c r="C52" s="173" t="s">
        <v>112</v>
      </c>
      <c r="D52" s="174"/>
      <c r="E52" s="37">
        <v>21.13</v>
      </c>
      <c r="F52" s="4">
        <v>2417</v>
      </c>
      <c r="G52" s="4">
        <f t="shared" si="38"/>
        <v>51071.21</v>
      </c>
      <c r="H52" s="22" t="s">
        <v>139</v>
      </c>
      <c r="I52" s="16">
        <v>10</v>
      </c>
      <c r="J52" s="18">
        <v>3000</v>
      </c>
      <c r="K52" s="17">
        <f t="shared" si="23"/>
        <v>300</v>
      </c>
      <c r="L52" s="16">
        <v>10</v>
      </c>
      <c r="M52" s="18">
        <f t="shared" si="39"/>
        <v>2900.4000000000005</v>
      </c>
      <c r="N52" s="18">
        <f t="shared" si="24"/>
        <v>290.04000000000008</v>
      </c>
      <c r="O52" s="19">
        <f t="shared" si="25"/>
        <v>0</v>
      </c>
      <c r="P52" s="20">
        <f t="shared" si="26"/>
        <v>-9.9599999999999227</v>
      </c>
      <c r="Q52" s="21">
        <f t="shared" si="27"/>
        <v>0.96680000000000021</v>
      </c>
      <c r="R52" s="188"/>
      <c r="S52" s="28">
        <v>0.53888888888888886</v>
      </c>
      <c r="T52" s="28">
        <v>0.57361111111111107</v>
      </c>
      <c r="U52" s="4">
        <f t="shared" si="41"/>
        <v>60.000000000000028</v>
      </c>
      <c r="V52" s="22">
        <f t="shared" si="40"/>
        <v>49.999999999999986</v>
      </c>
      <c r="W52" s="23"/>
      <c r="X52" s="23"/>
      <c r="Y52" s="26"/>
      <c r="Z52" s="26"/>
      <c r="AA52" s="175"/>
      <c r="AB52" s="176"/>
      <c r="AC52" s="25" t="s">
        <v>139</v>
      </c>
      <c r="AD52" s="25"/>
      <c r="AE52" s="19">
        <f t="shared" si="28"/>
        <v>-99.599999999999454</v>
      </c>
      <c r="AF52" s="21">
        <f t="shared" si="29"/>
        <v>0.96680000000000021</v>
      </c>
      <c r="AG52" s="188"/>
    </row>
    <row r="53" spans="1:33" ht="15.75" customHeight="1">
      <c r="A53" s="185" t="s">
        <v>68</v>
      </c>
      <c r="B53" s="37" t="s">
        <v>111</v>
      </c>
      <c r="C53" s="173" t="s">
        <v>113</v>
      </c>
      <c r="D53" s="174"/>
      <c r="E53" s="37">
        <v>27.17</v>
      </c>
      <c r="F53" s="4">
        <v>3392</v>
      </c>
      <c r="G53" s="4">
        <f t="shared" si="38"/>
        <v>92160.639999999999</v>
      </c>
      <c r="H53" s="22" t="s">
        <v>139</v>
      </c>
      <c r="I53" s="16">
        <v>10</v>
      </c>
      <c r="J53" s="18">
        <v>3000</v>
      </c>
      <c r="K53" s="17">
        <f t="shared" si="23"/>
        <v>300</v>
      </c>
      <c r="L53" s="16">
        <v>10</v>
      </c>
      <c r="M53" s="18">
        <f t="shared" si="39"/>
        <v>2866.4788732394336</v>
      </c>
      <c r="N53" s="18">
        <f t="shared" si="24"/>
        <v>286.64788732394334</v>
      </c>
      <c r="O53" s="19">
        <f t="shared" si="25"/>
        <v>0</v>
      </c>
      <c r="P53" s="20">
        <f t="shared" si="26"/>
        <v>-13.352112676056663</v>
      </c>
      <c r="Q53" s="21">
        <f t="shared" si="27"/>
        <v>0.9554929577464778</v>
      </c>
      <c r="R53" s="188"/>
      <c r="S53" s="28">
        <v>0.57708333333333328</v>
      </c>
      <c r="T53" s="28">
        <v>0.62638888888888888</v>
      </c>
      <c r="U53" s="4">
        <f t="shared" si="41"/>
        <v>4.9999999999999822</v>
      </c>
      <c r="V53" s="22">
        <f t="shared" si="40"/>
        <v>71.000000000000071</v>
      </c>
      <c r="W53" s="23"/>
      <c r="X53" s="23"/>
      <c r="Y53" s="26"/>
      <c r="Z53" s="26"/>
      <c r="AA53" s="175"/>
      <c r="AB53" s="176"/>
      <c r="AC53" s="25" t="s">
        <v>139</v>
      </c>
      <c r="AD53" s="25"/>
      <c r="AE53" s="19">
        <f t="shared" si="28"/>
        <v>-133.5211267605664</v>
      </c>
      <c r="AF53" s="21">
        <f t="shared" si="29"/>
        <v>0.95549295774647791</v>
      </c>
      <c r="AG53" s="188"/>
    </row>
    <row r="54" spans="1:33" ht="15.75" customHeight="1">
      <c r="A54" s="185" t="s">
        <v>66</v>
      </c>
      <c r="B54" s="37" t="s">
        <v>111</v>
      </c>
      <c r="C54" s="173" t="s">
        <v>114</v>
      </c>
      <c r="D54" s="174"/>
      <c r="E54" s="37">
        <v>35.119999999999997</v>
      </c>
      <c r="F54" s="4">
        <v>2450</v>
      </c>
      <c r="G54" s="4">
        <f t="shared" si="38"/>
        <v>86044</v>
      </c>
      <c r="H54" s="22" t="s">
        <v>139</v>
      </c>
      <c r="I54" s="16">
        <v>10</v>
      </c>
      <c r="J54" s="18">
        <v>3000</v>
      </c>
      <c r="K54" s="17">
        <f t="shared" si="23"/>
        <v>300</v>
      </c>
      <c r="L54" s="16">
        <v>10</v>
      </c>
      <c r="M54" s="18">
        <f t="shared" si="39"/>
        <v>2882.3529411764721</v>
      </c>
      <c r="N54" s="18">
        <f t="shared" si="24"/>
        <v>288.23529411764719</v>
      </c>
      <c r="O54" s="19">
        <f t="shared" si="25"/>
        <v>0</v>
      </c>
      <c r="P54" s="20">
        <f t="shared" si="26"/>
        <v>-11.764705882352814</v>
      </c>
      <c r="Q54" s="21">
        <f t="shared" si="27"/>
        <v>0.96078431372549067</v>
      </c>
      <c r="R54" s="188"/>
      <c r="S54" s="28">
        <v>0.62986111111111109</v>
      </c>
      <c r="T54" s="28">
        <v>0.66527777777777775</v>
      </c>
      <c r="U54" s="4">
        <f t="shared" si="41"/>
        <v>4.9999999999999822</v>
      </c>
      <c r="V54" s="22">
        <f t="shared" si="40"/>
        <v>50.999999999999979</v>
      </c>
      <c r="W54" s="23"/>
      <c r="X54" s="23"/>
      <c r="Y54" s="26"/>
      <c r="Z54" s="26"/>
      <c r="AA54" s="175"/>
      <c r="AB54" s="176"/>
      <c r="AC54" s="25" t="s">
        <v>139</v>
      </c>
      <c r="AD54" s="25"/>
      <c r="AE54" s="19">
        <f t="shared" si="28"/>
        <v>-117.64705882352791</v>
      </c>
      <c r="AF54" s="21">
        <f t="shared" si="29"/>
        <v>0.96078431372549067</v>
      </c>
      <c r="AG54" s="188"/>
    </row>
    <row r="55" spans="1:33" ht="15.75" customHeight="1">
      <c r="A55" s="186" t="s">
        <v>67</v>
      </c>
      <c r="B55" s="37" t="s">
        <v>69</v>
      </c>
      <c r="C55" s="166"/>
      <c r="D55" s="167"/>
      <c r="E55" s="41"/>
      <c r="F55" s="4"/>
      <c r="G55" s="4"/>
      <c r="H55" s="4"/>
      <c r="I55" s="30">
        <v>9.8888888888888893</v>
      </c>
      <c r="J55" s="18">
        <v>3000</v>
      </c>
      <c r="K55" s="17">
        <f t="shared" si="23"/>
        <v>303.37078651685391</v>
      </c>
      <c r="L55" s="30">
        <v>9.8888888888888893</v>
      </c>
      <c r="M55" s="18">
        <f>AVERAGE(M46:M54)</f>
        <v>2869.1194020420126</v>
      </c>
      <c r="N55" s="17">
        <f t="shared" si="24"/>
        <v>290.13566986941697</v>
      </c>
      <c r="O55" s="19">
        <f t="shared" si="25"/>
        <v>0</v>
      </c>
      <c r="P55" s="20">
        <f t="shared" si="26"/>
        <v>-13.235116647436939</v>
      </c>
      <c r="Q55" s="21">
        <f t="shared" si="27"/>
        <v>0.95637313401400414</v>
      </c>
      <c r="R55" s="189"/>
      <c r="S55" s="28"/>
      <c r="T55" s="28"/>
      <c r="U55" s="4"/>
      <c r="V55" s="22"/>
      <c r="W55" s="23"/>
      <c r="X55" s="23"/>
      <c r="Y55" s="31">
        <f>SUM(Y46:Y54)</f>
        <v>0</v>
      </c>
      <c r="Z55" s="31">
        <f>SUM(Z46:Z54)</f>
        <v>0</v>
      </c>
      <c r="AA55" s="180"/>
      <c r="AB55" s="181"/>
      <c r="AC55" s="31">
        <f>SUM(AC46:AC54)</f>
        <v>0</v>
      </c>
      <c r="AD55" s="31">
        <f>SUM(AD46:AD54)</f>
        <v>0</v>
      </c>
      <c r="AE55" s="19">
        <f t="shared" si="28"/>
        <v>-130.88059795798745</v>
      </c>
      <c r="AF55" s="21">
        <f t="shared" si="29"/>
        <v>0.95637313401400414</v>
      </c>
      <c r="AG55" s="189"/>
    </row>
    <row r="56" spans="1:33" ht="15.75" customHeight="1">
      <c r="A56" s="182" t="s">
        <v>70</v>
      </c>
      <c r="B56" s="37" t="s">
        <v>84</v>
      </c>
      <c r="C56" s="165" t="s">
        <v>118</v>
      </c>
      <c r="D56" s="165"/>
      <c r="E56" s="37">
        <v>46</v>
      </c>
      <c r="F56" s="42">
        <v>1534</v>
      </c>
      <c r="G56" s="4">
        <f t="shared" ref="G56:G65" si="42">E56*F56</f>
        <v>70564</v>
      </c>
      <c r="H56" s="22" t="s">
        <v>139</v>
      </c>
      <c r="I56" s="16">
        <v>17</v>
      </c>
      <c r="J56" s="18">
        <v>2000</v>
      </c>
      <c r="K56" s="17">
        <f t="shared" si="23"/>
        <v>117.64705882352941</v>
      </c>
      <c r="L56" s="16">
        <v>17</v>
      </c>
      <c r="M56" s="18">
        <f t="shared" ref="M56:M65" si="43">F56/V56*60</f>
        <v>1917.5000000000005</v>
      </c>
      <c r="N56" s="18">
        <f t="shared" si="24"/>
        <v>112.79411764705885</v>
      </c>
      <c r="O56" s="19">
        <f t="shared" si="25"/>
        <v>0</v>
      </c>
      <c r="P56" s="20">
        <f t="shared" si="26"/>
        <v>-4.8529411764705515</v>
      </c>
      <c r="Q56" s="21">
        <f t="shared" si="27"/>
        <v>0.95875000000000032</v>
      </c>
      <c r="R56" s="172">
        <f>Q66</f>
        <v>0.93499930182548241</v>
      </c>
      <c r="S56" s="28">
        <v>0.20833333333333334</v>
      </c>
      <c r="T56" s="28">
        <v>0.24166666666666667</v>
      </c>
      <c r="U56" s="28"/>
      <c r="V56" s="22">
        <f t="shared" ref="V56:V65" si="44">(T56-S56)*24*60</f>
        <v>47.999999999999986</v>
      </c>
      <c r="W56" s="28"/>
      <c r="X56" s="28"/>
      <c r="Y56" s="28"/>
      <c r="Z56" s="28"/>
      <c r="AA56" s="164"/>
      <c r="AB56" s="164"/>
      <c r="AC56" s="25">
        <v>5</v>
      </c>
      <c r="AD56" s="25"/>
      <c r="AE56" s="19">
        <f t="shared" si="28"/>
        <v>-82.499999999999545</v>
      </c>
      <c r="AF56" s="21">
        <f t="shared" si="29"/>
        <v>0.95875000000000021</v>
      </c>
      <c r="AG56" s="172">
        <f>AF66</f>
        <v>0.9349993018254823</v>
      </c>
    </row>
    <row r="57" spans="1:33" ht="15.75" customHeight="1">
      <c r="A57" s="182" t="s">
        <v>70</v>
      </c>
      <c r="B57" s="37" t="s">
        <v>84</v>
      </c>
      <c r="C57" s="165" t="s">
        <v>119</v>
      </c>
      <c r="D57" s="165"/>
      <c r="E57" s="37">
        <v>46</v>
      </c>
      <c r="F57" s="42">
        <v>1600</v>
      </c>
      <c r="G57" s="4">
        <f t="shared" si="42"/>
        <v>73600</v>
      </c>
      <c r="H57" s="22" t="s">
        <v>139</v>
      </c>
      <c r="I57" s="16">
        <v>17</v>
      </c>
      <c r="J57" s="18">
        <v>2000</v>
      </c>
      <c r="K57" s="17">
        <f t="shared" si="23"/>
        <v>117.64705882352941</v>
      </c>
      <c r="L57" s="16">
        <v>17</v>
      </c>
      <c r="M57" s="18">
        <f t="shared" si="43"/>
        <v>1920.0000000000005</v>
      </c>
      <c r="N57" s="18">
        <f t="shared" si="24"/>
        <v>112.94117647058826</v>
      </c>
      <c r="O57" s="19">
        <f t="shared" si="25"/>
        <v>0</v>
      </c>
      <c r="P57" s="20">
        <f t="shared" si="26"/>
        <v>-4.7058823529411455</v>
      </c>
      <c r="Q57" s="21">
        <f t="shared" si="27"/>
        <v>0.9600000000000003</v>
      </c>
      <c r="R57" s="172"/>
      <c r="S57" s="28">
        <v>0.24722222222222223</v>
      </c>
      <c r="T57" s="28">
        <v>0.28194444444444444</v>
      </c>
      <c r="U57" s="4">
        <f t="shared" ref="U57:U65" si="45">IF(S57=TIME(17,0,0),"",(S57-T56)*24*60)</f>
        <v>8.0000000000000107</v>
      </c>
      <c r="V57" s="22">
        <f t="shared" si="44"/>
        <v>49.999999999999986</v>
      </c>
      <c r="W57" s="23"/>
      <c r="X57" s="23"/>
      <c r="Y57" s="23"/>
      <c r="Z57" s="23"/>
      <c r="AA57" s="164"/>
      <c r="AB57" s="164"/>
      <c r="AC57" s="25"/>
      <c r="AD57" s="25"/>
      <c r="AE57" s="19">
        <f t="shared" si="28"/>
        <v>-79.999999999999545</v>
      </c>
      <c r="AF57" s="21">
        <f t="shared" si="29"/>
        <v>0.96000000000000019</v>
      </c>
      <c r="AG57" s="172"/>
    </row>
    <row r="58" spans="1:33" ht="15.75" customHeight="1">
      <c r="A58" s="182" t="s">
        <v>70</v>
      </c>
      <c r="B58" s="37" t="s">
        <v>78</v>
      </c>
      <c r="C58" s="173" t="s">
        <v>120</v>
      </c>
      <c r="D58" s="174"/>
      <c r="E58" s="37">
        <v>56.43</v>
      </c>
      <c r="F58" s="42">
        <v>2098</v>
      </c>
      <c r="G58" s="4">
        <f t="shared" si="42"/>
        <v>118390.14</v>
      </c>
      <c r="H58" s="22" t="s">
        <v>139</v>
      </c>
      <c r="I58" s="16">
        <v>22</v>
      </c>
      <c r="J58" s="18">
        <v>2000</v>
      </c>
      <c r="K58" s="17">
        <f t="shared" ref="K58:K82" si="46">J58/I58</f>
        <v>90.909090909090907</v>
      </c>
      <c r="L58" s="16">
        <v>22</v>
      </c>
      <c r="M58" s="18">
        <f t="shared" si="43"/>
        <v>1724.3835616438359</v>
      </c>
      <c r="N58" s="18">
        <f t="shared" ref="N58:N82" si="47">M58/L58</f>
        <v>78.38107098381073</v>
      </c>
      <c r="O58" s="19">
        <f t="shared" ref="O58:O82" si="48">L58-I58</f>
        <v>0</v>
      </c>
      <c r="P58" s="20">
        <f t="shared" ref="P58:P82" si="49">N58-K58</f>
        <v>-12.528019925280176</v>
      </c>
      <c r="Q58" s="21">
        <f t="shared" ref="Q58:Q82" si="50">N58/K58</f>
        <v>0.86219178082191805</v>
      </c>
      <c r="R58" s="172"/>
      <c r="S58" s="28">
        <v>0.28611111111111109</v>
      </c>
      <c r="T58" s="28">
        <v>0.33680555555555552</v>
      </c>
      <c r="U58" s="4">
        <f t="shared" si="45"/>
        <v>5.9999999999999787</v>
      </c>
      <c r="V58" s="22">
        <f t="shared" si="44"/>
        <v>72.999999999999986</v>
      </c>
      <c r="W58" s="23"/>
      <c r="X58" s="23"/>
      <c r="Y58" s="26"/>
      <c r="Z58" s="26"/>
      <c r="AA58" s="164"/>
      <c r="AB58" s="164"/>
      <c r="AC58" s="25"/>
      <c r="AD58" s="25"/>
      <c r="AE58" s="19">
        <f t="shared" ref="AE58:AE65" si="51">M58-J58</f>
        <v>-275.61643835616405</v>
      </c>
      <c r="AF58" s="21">
        <f t="shared" ref="AF58:AF82" si="52">M58/J58</f>
        <v>0.86219178082191794</v>
      </c>
      <c r="AG58" s="172"/>
    </row>
    <row r="59" spans="1:33" ht="15.75" customHeight="1">
      <c r="A59" s="182" t="s">
        <v>71</v>
      </c>
      <c r="B59" s="37" t="s">
        <v>78</v>
      </c>
      <c r="C59" s="43" t="s">
        <v>121</v>
      </c>
      <c r="D59" s="44"/>
      <c r="E59" s="37">
        <v>51.75</v>
      </c>
      <c r="F59" s="42">
        <v>2074</v>
      </c>
      <c r="G59" s="4">
        <f t="shared" si="42"/>
        <v>107329.5</v>
      </c>
      <c r="H59" s="22" t="s">
        <v>139</v>
      </c>
      <c r="I59" s="16">
        <v>25</v>
      </c>
      <c r="J59" s="18">
        <v>2000</v>
      </c>
      <c r="K59" s="17">
        <f t="shared" si="46"/>
        <v>80</v>
      </c>
      <c r="L59" s="16">
        <v>25</v>
      </c>
      <c r="M59" s="18">
        <f t="shared" si="43"/>
        <v>1681.6216216216224</v>
      </c>
      <c r="N59" s="18">
        <f t="shared" si="47"/>
        <v>67.26486486486489</v>
      </c>
      <c r="O59" s="19">
        <f t="shared" si="48"/>
        <v>0</v>
      </c>
      <c r="P59" s="20">
        <f t="shared" si="49"/>
        <v>-12.73513513513511</v>
      </c>
      <c r="Q59" s="21">
        <f t="shared" si="50"/>
        <v>0.8408108108108111</v>
      </c>
      <c r="R59" s="172"/>
      <c r="S59" s="28">
        <v>0.34027777777777773</v>
      </c>
      <c r="T59" s="28">
        <v>0.39166666666666661</v>
      </c>
      <c r="U59" s="4">
        <f t="shared" si="45"/>
        <v>4.9999999999999822</v>
      </c>
      <c r="V59" s="22">
        <f t="shared" si="44"/>
        <v>73.999999999999972</v>
      </c>
      <c r="W59" s="23"/>
      <c r="X59" s="23"/>
      <c r="Y59" s="26"/>
      <c r="Z59" s="26"/>
      <c r="AA59" s="164"/>
      <c r="AB59" s="164"/>
      <c r="AC59" s="25"/>
      <c r="AD59" s="25"/>
      <c r="AE59" s="19">
        <f t="shared" si="51"/>
        <v>-318.37837837837765</v>
      </c>
      <c r="AF59" s="21">
        <f t="shared" si="52"/>
        <v>0.84081081081081122</v>
      </c>
      <c r="AG59" s="172"/>
    </row>
    <row r="60" spans="1:33" ht="15.75" customHeight="1">
      <c r="A60" s="182" t="s">
        <v>70</v>
      </c>
      <c r="B60" s="37" t="s">
        <v>78</v>
      </c>
      <c r="C60" s="43" t="s">
        <v>122</v>
      </c>
      <c r="D60" s="44"/>
      <c r="E60" s="37">
        <v>54.09</v>
      </c>
      <c r="F60" s="42">
        <v>2042</v>
      </c>
      <c r="G60" s="4">
        <f t="shared" si="42"/>
        <v>110451.78000000001</v>
      </c>
      <c r="H60" s="22" t="s">
        <v>139</v>
      </c>
      <c r="I60" s="16">
        <v>19</v>
      </c>
      <c r="J60" s="18">
        <v>2000</v>
      </c>
      <c r="K60" s="17">
        <f t="shared" si="46"/>
        <v>105.26315789473684</v>
      </c>
      <c r="L60" s="16">
        <v>19</v>
      </c>
      <c r="M60" s="18">
        <f t="shared" si="43"/>
        <v>1775.6521739130435</v>
      </c>
      <c r="N60" s="18">
        <f t="shared" si="47"/>
        <v>93.455377574370715</v>
      </c>
      <c r="O60" s="19">
        <f t="shared" si="48"/>
        <v>0</v>
      </c>
      <c r="P60" s="20">
        <f t="shared" si="49"/>
        <v>-11.80778032036612</v>
      </c>
      <c r="Q60" s="21">
        <f t="shared" si="50"/>
        <v>0.88782608695652188</v>
      </c>
      <c r="R60" s="172"/>
      <c r="S60" s="28">
        <v>0.3965277777777777</v>
      </c>
      <c r="T60" s="28">
        <v>0.44444444444444436</v>
      </c>
      <c r="U60" s="4">
        <f t="shared" si="45"/>
        <v>6.9999999999999751</v>
      </c>
      <c r="V60" s="22">
        <f t="shared" si="44"/>
        <v>69</v>
      </c>
      <c r="W60" s="23"/>
      <c r="X60" s="23"/>
      <c r="Y60" s="26"/>
      <c r="Z60" s="26"/>
      <c r="AA60" s="164"/>
      <c r="AB60" s="164"/>
      <c r="AC60" s="25"/>
      <c r="AD60" s="25"/>
      <c r="AE60" s="19">
        <f t="shared" si="51"/>
        <v>-224.3478260869565</v>
      </c>
      <c r="AF60" s="21">
        <f t="shared" si="52"/>
        <v>0.88782608695652177</v>
      </c>
      <c r="AG60" s="172"/>
    </row>
    <row r="61" spans="1:33" ht="15.75" customHeight="1">
      <c r="A61" s="182" t="s">
        <v>70</v>
      </c>
      <c r="B61" s="37" t="s">
        <v>78</v>
      </c>
      <c r="C61" s="173" t="s">
        <v>123</v>
      </c>
      <c r="D61" s="174"/>
      <c r="E61" s="37">
        <v>55.56</v>
      </c>
      <c r="F61" s="42">
        <v>2098</v>
      </c>
      <c r="G61" s="4">
        <f t="shared" si="42"/>
        <v>116564.88</v>
      </c>
      <c r="H61" s="22" t="s">
        <v>139</v>
      </c>
      <c r="I61" s="16">
        <v>17</v>
      </c>
      <c r="J61" s="18">
        <v>2000</v>
      </c>
      <c r="K61" s="17">
        <f t="shared" si="46"/>
        <v>117.64705882352941</v>
      </c>
      <c r="L61" s="16">
        <v>17</v>
      </c>
      <c r="M61" s="18">
        <f t="shared" si="43"/>
        <v>1907.2727272727293</v>
      </c>
      <c r="N61" s="18">
        <f t="shared" si="47"/>
        <v>112.19251336898408</v>
      </c>
      <c r="O61" s="19">
        <f t="shared" si="48"/>
        <v>0</v>
      </c>
      <c r="P61" s="20">
        <f t="shared" si="49"/>
        <v>-5.4545454545453254</v>
      </c>
      <c r="Q61" s="21">
        <f t="shared" si="50"/>
        <v>0.95363636363636473</v>
      </c>
      <c r="R61" s="172"/>
      <c r="S61" s="28">
        <v>0.70833333333333337</v>
      </c>
      <c r="T61" s="28">
        <v>0.75416666666666665</v>
      </c>
      <c r="U61" s="4" t="str">
        <f t="shared" si="45"/>
        <v/>
      </c>
      <c r="V61" s="22">
        <f t="shared" si="44"/>
        <v>65.999999999999929</v>
      </c>
      <c r="W61" s="23"/>
      <c r="X61" s="23"/>
      <c r="Y61" s="26"/>
      <c r="Z61" s="26"/>
      <c r="AA61" s="175"/>
      <c r="AB61" s="176"/>
      <c r="AC61" s="25"/>
      <c r="AD61" s="25"/>
      <c r="AE61" s="19">
        <f t="shared" si="51"/>
        <v>-92.727272727270702</v>
      </c>
      <c r="AF61" s="21">
        <f t="shared" si="52"/>
        <v>0.95363636363636461</v>
      </c>
      <c r="AG61" s="172"/>
    </row>
    <row r="62" spans="1:33" ht="15.75" customHeight="1">
      <c r="A62" s="182" t="s">
        <v>70</v>
      </c>
      <c r="B62" s="37" t="s">
        <v>78</v>
      </c>
      <c r="C62" s="173" t="s">
        <v>124</v>
      </c>
      <c r="D62" s="174"/>
      <c r="E62" s="37">
        <v>55.32</v>
      </c>
      <c r="F62" s="42">
        <v>1520</v>
      </c>
      <c r="G62" s="4">
        <f t="shared" si="42"/>
        <v>84086.399999999994</v>
      </c>
      <c r="H62" s="22" t="s">
        <v>139</v>
      </c>
      <c r="I62" s="16">
        <v>15</v>
      </c>
      <c r="J62" s="18">
        <v>2000</v>
      </c>
      <c r="K62" s="17">
        <f t="shared" si="46"/>
        <v>133.33333333333334</v>
      </c>
      <c r="L62" s="16">
        <v>15</v>
      </c>
      <c r="M62" s="18">
        <f t="shared" si="43"/>
        <v>1940.4255319148938</v>
      </c>
      <c r="N62" s="18">
        <f t="shared" si="47"/>
        <v>129.36170212765958</v>
      </c>
      <c r="O62" s="19">
        <f t="shared" si="48"/>
        <v>0</v>
      </c>
      <c r="P62" s="20">
        <f t="shared" si="49"/>
        <v>-3.9716312056737593</v>
      </c>
      <c r="Q62" s="21">
        <f t="shared" si="50"/>
        <v>0.97021276595744677</v>
      </c>
      <c r="R62" s="172"/>
      <c r="S62" s="28">
        <v>0.7583333333333333</v>
      </c>
      <c r="T62" s="28">
        <v>0.79097222222222219</v>
      </c>
      <c r="U62" s="4">
        <f t="shared" si="45"/>
        <v>5.9999999999999787</v>
      </c>
      <c r="V62" s="22">
        <f t="shared" si="44"/>
        <v>46.999999999999993</v>
      </c>
      <c r="W62" s="23"/>
      <c r="X62" s="23"/>
      <c r="Y62" s="26"/>
      <c r="Z62" s="26"/>
      <c r="AA62" s="175"/>
      <c r="AB62" s="176"/>
      <c r="AC62" s="25"/>
      <c r="AD62" s="25"/>
      <c r="AE62" s="19">
        <f t="shared" si="51"/>
        <v>-59.574468085106218</v>
      </c>
      <c r="AF62" s="21">
        <f t="shared" si="52"/>
        <v>0.97021276595744688</v>
      </c>
      <c r="AG62" s="172"/>
    </row>
    <row r="63" spans="1:33" ht="15.75" customHeight="1">
      <c r="A63" s="182" t="s">
        <v>70</v>
      </c>
      <c r="B63" s="37" t="s">
        <v>78</v>
      </c>
      <c r="C63" s="173" t="s">
        <v>125</v>
      </c>
      <c r="D63" s="174"/>
      <c r="E63" s="37">
        <v>54.29</v>
      </c>
      <c r="F63" s="42">
        <v>600</v>
      </c>
      <c r="G63" s="4">
        <f t="shared" si="42"/>
        <v>32574</v>
      </c>
      <c r="H63" s="22">
        <v>2</v>
      </c>
      <c r="I63" s="16">
        <v>20</v>
      </c>
      <c r="J63" s="18">
        <v>2000</v>
      </c>
      <c r="K63" s="17">
        <f t="shared" si="46"/>
        <v>100</v>
      </c>
      <c r="L63" s="16">
        <v>20</v>
      </c>
      <c r="M63" s="18">
        <f t="shared" si="43"/>
        <v>2000.000000000007</v>
      </c>
      <c r="N63" s="18">
        <f t="shared" si="47"/>
        <v>100.00000000000036</v>
      </c>
      <c r="O63" s="19">
        <f t="shared" si="48"/>
        <v>0</v>
      </c>
      <c r="P63" s="20">
        <f t="shared" si="49"/>
        <v>3.5527136788005009E-13</v>
      </c>
      <c r="Q63" s="21">
        <f t="shared" si="50"/>
        <v>1.0000000000000036</v>
      </c>
      <c r="R63" s="172"/>
      <c r="S63" s="28">
        <v>0.79513888888888884</v>
      </c>
      <c r="T63" s="28">
        <v>0.8076388888888888</v>
      </c>
      <c r="U63" s="4">
        <f t="shared" si="45"/>
        <v>5.9999999999999787</v>
      </c>
      <c r="V63" s="22">
        <f t="shared" si="44"/>
        <v>17.999999999999936</v>
      </c>
      <c r="W63" s="23"/>
      <c r="X63" s="23"/>
      <c r="Y63" s="26"/>
      <c r="Z63" s="26"/>
      <c r="AA63" s="175"/>
      <c r="AB63" s="176"/>
      <c r="AC63" s="25"/>
      <c r="AD63" s="25"/>
      <c r="AE63" s="19">
        <f t="shared" si="51"/>
        <v>7.0485839387401938E-12</v>
      </c>
      <c r="AF63" s="21">
        <f t="shared" si="52"/>
        <v>1.0000000000000036</v>
      </c>
      <c r="AG63" s="172"/>
    </row>
    <row r="64" spans="1:33">
      <c r="A64" s="182" t="s">
        <v>70</v>
      </c>
      <c r="B64" s="37" t="s">
        <v>78</v>
      </c>
      <c r="C64" s="173" t="s">
        <v>126</v>
      </c>
      <c r="D64" s="174"/>
      <c r="E64" s="37">
        <v>57.73</v>
      </c>
      <c r="F64" s="42">
        <v>1256</v>
      </c>
      <c r="G64" s="4">
        <f t="shared" si="42"/>
        <v>72508.87999999999</v>
      </c>
      <c r="H64" s="22" t="s">
        <v>139</v>
      </c>
      <c r="I64" s="16">
        <v>16</v>
      </c>
      <c r="J64" s="18">
        <v>1500</v>
      </c>
      <c r="K64" s="17">
        <f t="shared" si="46"/>
        <v>93.75</v>
      </c>
      <c r="L64" s="16">
        <v>16</v>
      </c>
      <c r="M64" s="18">
        <f t="shared" si="43"/>
        <v>1449.23076923077</v>
      </c>
      <c r="N64" s="18">
        <f t="shared" si="47"/>
        <v>90.576923076923123</v>
      </c>
      <c r="O64" s="19">
        <f t="shared" si="48"/>
        <v>0</v>
      </c>
      <c r="P64" s="20">
        <f t="shared" si="49"/>
        <v>-3.1730769230768772</v>
      </c>
      <c r="Q64" s="21">
        <f t="shared" si="50"/>
        <v>0.9661538461538467</v>
      </c>
      <c r="R64" s="172"/>
      <c r="S64" s="28">
        <v>0.81249999999999989</v>
      </c>
      <c r="T64" s="28">
        <v>0.84861111111111098</v>
      </c>
      <c r="U64" s="4">
        <f t="shared" si="45"/>
        <v>6.9999999999999751</v>
      </c>
      <c r="V64" s="22">
        <f t="shared" si="44"/>
        <v>51.999999999999972</v>
      </c>
      <c r="W64" s="23">
        <f>T64</f>
        <v>0.84861111111111098</v>
      </c>
      <c r="X64" s="23">
        <f>S65</f>
        <v>0.88888888888888873</v>
      </c>
      <c r="Y64" s="26"/>
      <c r="Z64" s="26"/>
      <c r="AA64" s="175"/>
      <c r="AB64" s="176"/>
      <c r="AC64" s="25"/>
      <c r="AD64" s="25"/>
      <c r="AE64" s="19">
        <f t="shared" si="51"/>
        <v>-50.769230769230035</v>
      </c>
      <c r="AF64" s="21">
        <f t="shared" si="52"/>
        <v>0.9661538461538467</v>
      </c>
      <c r="AG64" s="172"/>
    </row>
    <row r="65" spans="1:33">
      <c r="A65" s="182" t="s">
        <v>70</v>
      </c>
      <c r="B65" s="37" t="s">
        <v>78</v>
      </c>
      <c r="C65" s="173" t="s">
        <v>125</v>
      </c>
      <c r="D65" s="174"/>
      <c r="E65" s="37">
        <v>54.29</v>
      </c>
      <c r="F65" s="42">
        <v>1597</v>
      </c>
      <c r="G65" s="4">
        <f t="shared" si="42"/>
        <v>86701.13</v>
      </c>
      <c r="H65" s="22" t="s">
        <v>139</v>
      </c>
      <c r="I65" s="16">
        <v>20</v>
      </c>
      <c r="J65" s="18">
        <v>2000</v>
      </c>
      <c r="K65" s="17">
        <f t="shared" si="46"/>
        <v>100</v>
      </c>
      <c r="L65" s="16">
        <v>20</v>
      </c>
      <c r="M65" s="18">
        <f t="shared" si="43"/>
        <v>1916.4000000000005</v>
      </c>
      <c r="N65" s="18">
        <f t="shared" si="47"/>
        <v>95.820000000000022</v>
      </c>
      <c r="O65" s="19">
        <f t="shared" si="48"/>
        <v>0</v>
      </c>
      <c r="P65" s="20">
        <f t="shared" si="49"/>
        <v>-4.1799999999999784</v>
      </c>
      <c r="Q65" s="21">
        <f t="shared" si="50"/>
        <v>0.95820000000000016</v>
      </c>
      <c r="R65" s="172"/>
      <c r="S65" s="28">
        <v>0.88888888888888873</v>
      </c>
      <c r="T65" s="28">
        <v>0.92361111111111094</v>
      </c>
      <c r="U65" s="4">
        <f t="shared" si="45"/>
        <v>57.999999999999957</v>
      </c>
      <c r="V65" s="22">
        <f t="shared" si="44"/>
        <v>49.999999999999986</v>
      </c>
      <c r="W65" s="23"/>
      <c r="X65" s="23"/>
      <c r="Y65" s="26"/>
      <c r="Z65" s="26"/>
      <c r="AA65" s="175"/>
      <c r="AB65" s="176"/>
      <c r="AC65" s="25"/>
      <c r="AD65" s="25"/>
      <c r="AE65" s="19">
        <f t="shared" si="51"/>
        <v>-83.599999999999454</v>
      </c>
      <c r="AF65" s="21">
        <f t="shared" si="52"/>
        <v>0.95820000000000027</v>
      </c>
      <c r="AG65" s="172"/>
    </row>
    <row r="66" spans="1:33">
      <c r="A66" s="183" t="s">
        <v>72</v>
      </c>
      <c r="B66" s="37" t="s">
        <v>48</v>
      </c>
      <c r="C66" s="177"/>
      <c r="D66" s="177"/>
      <c r="E66" s="38"/>
      <c r="F66" s="17"/>
      <c r="G66" s="17"/>
      <c r="H66" s="4"/>
      <c r="I66" s="30">
        <v>18.8</v>
      </c>
      <c r="J66" s="18">
        <v>1950</v>
      </c>
      <c r="K66" s="17">
        <f t="shared" si="46"/>
        <v>103.72340425531914</v>
      </c>
      <c r="L66" s="30">
        <v>18.8</v>
      </c>
      <c r="M66" s="18">
        <f>AVERAGE(M56:M65)</f>
        <v>1823.2486385596906</v>
      </c>
      <c r="N66" s="17">
        <f t="shared" si="47"/>
        <v>96.98131056168566</v>
      </c>
      <c r="O66" s="19">
        <f t="shared" si="48"/>
        <v>0</v>
      </c>
      <c r="P66" s="20">
        <f t="shared" si="49"/>
        <v>-6.7420936936334783</v>
      </c>
      <c r="Q66" s="21">
        <f t="shared" si="50"/>
        <v>0.93499930182548241</v>
      </c>
      <c r="R66" s="172"/>
      <c r="S66" s="28"/>
      <c r="T66" s="28"/>
      <c r="U66" s="4"/>
      <c r="V66" s="22"/>
      <c r="W66" s="17"/>
      <c r="X66" s="17"/>
      <c r="Y66" s="31">
        <f>SUM(Y56:Y65)</f>
        <v>0</v>
      </c>
      <c r="Z66" s="31">
        <f>SUM(Z56:Z65)</f>
        <v>0</v>
      </c>
      <c r="AA66" s="168"/>
      <c r="AB66" s="168"/>
      <c r="AC66" s="31">
        <f>SUM(AC56:AC65)</f>
        <v>5</v>
      </c>
      <c r="AD66" s="31">
        <f>SUM(AD56:AD65)</f>
        <v>0</v>
      </c>
      <c r="AE66" s="19">
        <f>M66-J66</f>
        <v>-126.75136144030944</v>
      </c>
      <c r="AF66" s="21">
        <f t="shared" si="52"/>
        <v>0.9349993018254823</v>
      </c>
      <c r="AG66" s="172"/>
    </row>
    <row r="67" spans="1:33" ht="15.75" customHeight="1">
      <c r="A67" s="178" t="s">
        <v>73</v>
      </c>
      <c r="B67" s="4" t="s">
        <v>84</v>
      </c>
      <c r="C67" s="165" t="s">
        <v>127</v>
      </c>
      <c r="D67" s="165"/>
      <c r="E67" s="37">
        <v>26.97</v>
      </c>
      <c r="F67" s="42">
        <v>2342</v>
      </c>
      <c r="G67" s="4">
        <f t="shared" ref="G67:G72" si="53">E67*F67</f>
        <v>63163.74</v>
      </c>
      <c r="H67" s="22" t="s">
        <v>139</v>
      </c>
      <c r="I67" s="16">
        <v>8</v>
      </c>
      <c r="J67" s="18">
        <v>1500</v>
      </c>
      <c r="K67" s="17">
        <f t="shared" si="46"/>
        <v>187.5</v>
      </c>
      <c r="L67" s="16">
        <v>8</v>
      </c>
      <c r="M67" s="18">
        <f t="shared" ref="M67:M72" si="54">F67/V67*60</f>
        <v>1433.8775510204077</v>
      </c>
      <c r="N67" s="17">
        <f t="shared" si="47"/>
        <v>179.23469387755097</v>
      </c>
      <c r="O67" s="19">
        <f t="shared" si="48"/>
        <v>0</v>
      </c>
      <c r="P67" s="20">
        <f t="shared" si="49"/>
        <v>-8.265306122449033</v>
      </c>
      <c r="Q67" s="21">
        <f t="shared" si="50"/>
        <v>0.95591836734693847</v>
      </c>
      <c r="R67" s="172">
        <f>Q73</f>
        <v>0.95456184558603618</v>
      </c>
      <c r="S67" s="28">
        <v>0.20833333333333334</v>
      </c>
      <c r="T67" s="28">
        <v>0.27638888888888891</v>
      </c>
      <c r="U67" s="4"/>
      <c r="V67" s="22">
        <f t="shared" ref="V67:V72" si="55">(T67-S67)*24*60</f>
        <v>98.000000000000014</v>
      </c>
      <c r="W67" s="28"/>
      <c r="X67" s="28"/>
      <c r="Y67" s="28"/>
      <c r="Z67" s="28"/>
      <c r="AA67" s="164"/>
      <c r="AB67" s="164"/>
      <c r="AC67" s="25">
        <v>1</v>
      </c>
      <c r="AD67" s="25"/>
      <c r="AE67" s="19">
        <f t="shared" ref="AE67:AE82" si="56">M67-J67</f>
        <v>-66.122448979592264</v>
      </c>
      <c r="AF67" s="21">
        <f t="shared" si="52"/>
        <v>0.95591836734693847</v>
      </c>
      <c r="AG67" s="172">
        <f>AF73</f>
        <v>0.95456184558603618</v>
      </c>
    </row>
    <row r="68" spans="1:33" ht="15.75" customHeight="1">
      <c r="A68" s="178" t="s">
        <v>73</v>
      </c>
      <c r="B68" s="4" t="s">
        <v>84</v>
      </c>
      <c r="C68" s="165" t="s">
        <v>128</v>
      </c>
      <c r="D68" s="165"/>
      <c r="E68" s="37">
        <v>27.4</v>
      </c>
      <c r="F68" s="42">
        <v>1668</v>
      </c>
      <c r="G68" s="4">
        <f t="shared" si="53"/>
        <v>45703.199999999997</v>
      </c>
      <c r="H68" s="22" t="s">
        <v>139</v>
      </c>
      <c r="I68" s="16">
        <v>10</v>
      </c>
      <c r="J68" s="18">
        <v>1500</v>
      </c>
      <c r="K68" s="17">
        <f t="shared" si="46"/>
        <v>150</v>
      </c>
      <c r="L68" s="16">
        <v>10</v>
      </c>
      <c r="M68" s="18">
        <f t="shared" si="54"/>
        <v>1429.714285714286</v>
      </c>
      <c r="N68" s="17">
        <f t="shared" si="47"/>
        <v>142.97142857142859</v>
      </c>
      <c r="O68" s="19">
        <f t="shared" si="48"/>
        <v>0</v>
      </c>
      <c r="P68" s="20">
        <f t="shared" si="49"/>
        <v>-7.0285714285714107</v>
      </c>
      <c r="Q68" s="21">
        <f t="shared" si="50"/>
        <v>0.95314285714285729</v>
      </c>
      <c r="R68" s="172"/>
      <c r="S68" s="28">
        <v>0.28055555555555556</v>
      </c>
      <c r="T68" s="28">
        <v>0.32916666666666666</v>
      </c>
      <c r="U68" s="4">
        <f t="shared" ref="U68:U72" si="57">(S68-T67)*24*60</f>
        <v>5.9999999999999787</v>
      </c>
      <c r="V68" s="22">
        <f t="shared" si="55"/>
        <v>69.999999999999986</v>
      </c>
      <c r="W68" s="4"/>
      <c r="X68" s="4"/>
      <c r="Y68" s="4"/>
      <c r="Z68" s="4"/>
      <c r="AA68" s="164"/>
      <c r="AB68" s="164"/>
      <c r="AC68" s="25"/>
      <c r="AD68" s="25"/>
      <c r="AE68" s="19">
        <f t="shared" si="56"/>
        <v>-70.285714285713993</v>
      </c>
      <c r="AF68" s="21">
        <f t="shared" si="52"/>
        <v>0.95314285714285729</v>
      </c>
      <c r="AG68" s="172"/>
    </row>
    <row r="69" spans="1:33" ht="15.75" customHeight="1">
      <c r="A69" s="178" t="s">
        <v>73</v>
      </c>
      <c r="B69" s="4" t="s">
        <v>111</v>
      </c>
      <c r="C69" s="165" t="s">
        <v>129</v>
      </c>
      <c r="D69" s="165"/>
      <c r="E69" s="37">
        <v>31</v>
      </c>
      <c r="F69" s="42">
        <v>701</v>
      </c>
      <c r="G69" s="4">
        <f t="shared" si="53"/>
        <v>21731</v>
      </c>
      <c r="H69" s="22" t="s">
        <v>139</v>
      </c>
      <c r="I69" s="16">
        <v>13</v>
      </c>
      <c r="J69" s="18">
        <v>2000</v>
      </c>
      <c r="K69" s="17">
        <f t="shared" si="46"/>
        <v>153.84615384615384</v>
      </c>
      <c r="L69" s="16">
        <v>13</v>
      </c>
      <c r="M69" s="18">
        <f t="shared" si="54"/>
        <v>1911.8181818181818</v>
      </c>
      <c r="N69" s="17">
        <f t="shared" si="47"/>
        <v>147.06293706293707</v>
      </c>
      <c r="O69" s="19">
        <f t="shared" si="48"/>
        <v>0</v>
      </c>
      <c r="P69" s="20">
        <f t="shared" si="49"/>
        <v>-6.7832167832167727</v>
      </c>
      <c r="Q69" s="21">
        <f t="shared" si="50"/>
        <v>0.95590909090909093</v>
      </c>
      <c r="R69" s="172"/>
      <c r="S69" s="28">
        <v>0.33333333333333331</v>
      </c>
      <c r="T69" s="28">
        <v>0.34861111111111109</v>
      </c>
      <c r="U69" s="4">
        <f t="shared" si="57"/>
        <v>5.9999999999999787</v>
      </c>
      <c r="V69" s="22">
        <f t="shared" si="55"/>
        <v>22</v>
      </c>
      <c r="W69" s="4"/>
      <c r="X69" s="4"/>
      <c r="Y69" s="4"/>
      <c r="Z69" s="4"/>
      <c r="AA69" s="164"/>
      <c r="AB69" s="164"/>
      <c r="AC69" s="25" t="s">
        <v>139</v>
      </c>
      <c r="AD69" s="25"/>
      <c r="AE69" s="19">
        <f t="shared" si="56"/>
        <v>-88.181818181818244</v>
      </c>
      <c r="AF69" s="21">
        <f t="shared" si="52"/>
        <v>0.95590909090909093</v>
      </c>
      <c r="AG69" s="172"/>
    </row>
    <row r="70" spans="1:33" ht="15.75" customHeight="1">
      <c r="A70" s="178" t="s">
        <v>73</v>
      </c>
      <c r="B70" s="4" t="s">
        <v>111</v>
      </c>
      <c r="C70" s="165" t="s">
        <v>130</v>
      </c>
      <c r="D70" s="165"/>
      <c r="E70" s="37">
        <v>37.85</v>
      </c>
      <c r="F70" s="42">
        <v>2938</v>
      </c>
      <c r="G70" s="4">
        <f t="shared" si="53"/>
        <v>111203.3</v>
      </c>
      <c r="H70" s="22" t="s">
        <v>139</v>
      </c>
      <c r="I70" s="16">
        <v>12</v>
      </c>
      <c r="J70" s="18">
        <v>2000</v>
      </c>
      <c r="K70" s="17">
        <f t="shared" si="46"/>
        <v>166.66666666666666</v>
      </c>
      <c r="L70" s="16">
        <v>12</v>
      </c>
      <c r="M70" s="18">
        <f t="shared" si="54"/>
        <v>1916.0869565217392</v>
      </c>
      <c r="N70" s="17">
        <f t="shared" si="47"/>
        <v>159.67391304347828</v>
      </c>
      <c r="O70" s="19">
        <f t="shared" si="48"/>
        <v>0</v>
      </c>
      <c r="P70" s="20">
        <f t="shared" si="49"/>
        <v>-6.9927536231883778</v>
      </c>
      <c r="Q70" s="21">
        <f t="shared" si="50"/>
        <v>0.95804347826086977</v>
      </c>
      <c r="R70" s="172"/>
      <c r="S70" s="28">
        <v>0.35347222222222219</v>
      </c>
      <c r="T70" s="28">
        <v>0.41736111111111107</v>
      </c>
      <c r="U70" s="4">
        <f t="shared" si="57"/>
        <v>6.9999999999999751</v>
      </c>
      <c r="V70" s="22">
        <f t="shared" si="55"/>
        <v>92</v>
      </c>
      <c r="W70" s="4"/>
      <c r="X70" s="4"/>
      <c r="Y70" s="4"/>
      <c r="Z70" s="4"/>
      <c r="AA70" s="164"/>
      <c r="AB70" s="164"/>
      <c r="AC70" s="25" t="s">
        <v>139</v>
      </c>
      <c r="AD70" s="25"/>
      <c r="AE70" s="19">
        <f t="shared" si="56"/>
        <v>-83.913043478260761</v>
      </c>
      <c r="AF70" s="21">
        <f t="shared" si="52"/>
        <v>0.95804347826086966</v>
      </c>
      <c r="AG70" s="172"/>
    </row>
    <row r="71" spans="1:33">
      <c r="A71" s="179" t="s">
        <v>73</v>
      </c>
      <c r="B71" s="4" t="s">
        <v>111</v>
      </c>
      <c r="C71" s="165" t="s">
        <v>131</v>
      </c>
      <c r="D71" s="165"/>
      <c r="E71" s="37">
        <v>34.36</v>
      </c>
      <c r="F71" s="42">
        <v>1715</v>
      </c>
      <c r="G71" s="4">
        <f t="shared" si="53"/>
        <v>58927.4</v>
      </c>
      <c r="H71" s="22" t="s">
        <v>139</v>
      </c>
      <c r="I71" s="16">
        <v>10</v>
      </c>
      <c r="J71" s="18">
        <v>3000</v>
      </c>
      <c r="K71" s="17">
        <f t="shared" si="46"/>
        <v>300</v>
      </c>
      <c r="L71" s="16">
        <v>10</v>
      </c>
      <c r="M71" s="18">
        <f t="shared" si="54"/>
        <v>2858.3333333333312</v>
      </c>
      <c r="N71" s="17">
        <f t="shared" si="47"/>
        <v>285.83333333333314</v>
      </c>
      <c r="O71" s="19">
        <f t="shared" si="48"/>
        <v>0</v>
      </c>
      <c r="P71" s="20">
        <f t="shared" si="49"/>
        <v>-14.166666666666856</v>
      </c>
      <c r="Q71" s="21">
        <f t="shared" si="50"/>
        <v>0.95277777777777717</v>
      </c>
      <c r="R71" s="172"/>
      <c r="S71" s="28">
        <v>0.42291666666666661</v>
      </c>
      <c r="T71" s="28">
        <v>0.44791666666666663</v>
      </c>
      <c r="U71" s="4">
        <f t="shared" si="57"/>
        <v>7.9999999999999716</v>
      </c>
      <c r="V71" s="22">
        <f t="shared" si="55"/>
        <v>36.000000000000028</v>
      </c>
      <c r="W71" s="23"/>
      <c r="X71" s="23"/>
      <c r="Y71" s="23"/>
      <c r="Z71" s="23"/>
      <c r="AA71" s="164"/>
      <c r="AB71" s="164"/>
      <c r="AC71" s="25" t="s">
        <v>139</v>
      </c>
      <c r="AD71" s="25"/>
      <c r="AE71" s="19">
        <f t="shared" si="56"/>
        <v>-141.66666666666879</v>
      </c>
      <c r="AF71" s="21">
        <f t="shared" si="52"/>
        <v>0.95277777777777706</v>
      </c>
      <c r="AG71" s="172"/>
    </row>
    <row r="72" spans="1:33" ht="15" customHeight="1">
      <c r="A72" s="179" t="s">
        <v>74</v>
      </c>
      <c r="B72" s="4" t="s">
        <v>111</v>
      </c>
      <c r="C72" s="173" t="s">
        <v>132</v>
      </c>
      <c r="D72" s="174"/>
      <c r="E72" s="37">
        <v>32.020000000000003</v>
      </c>
      <c r="F72" s="42">
        <v>1811</v>
      </c>
      <c r="G72" s="4">
        <f t="shared" si="53"/>
        <v>57988.220000000008</v>
      </c>
      <c r="H72" s="22" t="s">
        <v>139</v>
      </c>
      <c r="I72" s="16">
        <v>11</v>
      </c>
      <c r="J72" s="18">
        <v>3000</v>
      </c>
      <c r="K72" s="17">
        <f t="shared" si="46"/>
        <v>272.72727272727275</v>
      </c>
      <c r="L72" s="16">
        <v>11</v>
      </c>
      <c r="M72" s="18">
        <f t="shared" si="54"/>
        <v>2859.473684210524</v>
      </c>
      <c r="N72" s="17">
        <f t="shared" si="47"/>
        <v>259.95215311004762</v>
      </c>
      <c r="O72" s="19">
        <f t="shared" si="48"/>
        <v>0</v>
      </c>
      <c r="P72" s="20">
        <f t="shared" si="49"/>
        <v>-12.77511961722513</v>
      </c>
      <c r="Q72" s="21">
        <f t="shared" si="50"/>
        <v>0.9531578947368412</v>
      </c>
      <c r="R72" s="172"/>
      <c r="S72" s="28">
        <v>0.45138888888888884</v>
      </c>
      <c r="T72" s="28">
        <v>0.47777777777777775</v>
      </c>
      <c r="U72" s="4">
        <f t="shared" si="57"/>
        <v>4.9999999999999822</v>
      </c>
      <c r="V72" s="22">
        <f t="shared" si="55"/>
        <v>38.000000000000028</v>
      </c>
      <c r="W72" s="4"/>
      <c r="X72" s="4"/>
      <c r="Y72" s="32"/>
      <c r="Z72" s="32"/>
      <c r="AA72" s="175"/>
      <c r="AB72" s="176"/>
      <c r="AC72" s="25" t="s">
        <v>139</v>
      </c>
      <c r="AD72" s="25"/>
      <c r="AE72" s="19">
        <f t="shared" si="56"/>
        <v>-140.52631578947603</v>
      </c>
      <c r="AF72" s="21">
        <f t="shared" si="52"/>
        <v>0.95315789473684132</v>
      </c>
      <c r="AG72" s="172"/>
    </row>
    <row r="73" spans="1:33">
      <c r="A73" s="179" t="s">
        <v>73</v>
      </c>
      <c r="B73" s="37" t="s">
        <v>48</v>
      </c>
      <c r="C73" s="177"/>
      <c r="D73" s="177"/>
      <c r="E73" s="38"/>
      <c r="F73" s="17"/>
      <c r="G73" s="17"/>
      <c r="H73" s="4"/>
      <c r="I73" s="30">
        <v>10.666666666666666</v>
      </c>
      <c r="J73" s="18">
        <v>2166.6666666666665</v>
      </c>
      <c r="K73" s="17">
        <f t="shared" si="46"/>
        <v>203.125</v>
      </c>
      <c r="L73" s="30">
        <v>10.666666666666666</v>
      </c>
      <c r="M73" s="18">
        <f>AVERAGE(M67:M72)</f>
        <v>2068.2173321030782</v>
      </c>
      <c r="N73" s="17">
        <f t="shared" si="47"/>
        <v>193.8953748846636</v>
      </c>
      <c r="O73" s="19">
        <f t="shared" si="48"/>
        <v>0</v>
      </c>
      <c r="P73" s="20">
        <f t="shared" si="49"/>
        <v>-9.229625115336404</v>
      </c>
      <c r="Q73" s="21">
        <f t="shared" si="50"/>
        <v>0.95456184558603618</v>
      </c>
      <c r="R73" s="172"/>
      <c r="S73" s="28"/>
      <c r="T73" s="28"/>
      <c r="U73" s="17"/>
      <c r="V73" s="22"/>
      <c r="W73" s="17"/>
      <c r="X73" s="17"/>
      <c r="Y73" s="31">
        <f>SUM(Y67:Y72)</f>
        <v>0</v>
      </c>
      <c r="Z73" s="31">
        <f>SUM(Z67:Z72)</f>
        <v>0</v>
      </c>
      <c r="AA73" s="168"/>
      <c r="AB73" s="168"/>
      <c r="AC73" s="31">
        <f>SUM(AC67:AC72)</f>
        <v>1</v>
      </c>
      <c r="AD73" s="31">
        <f>SUM(AD67:AD72)</f>
        <v>0</v>
      </c>
      <c r="AE73" s="19">
        <f t="shared" si="56"/>
        <v>-98.449334563588309</v>
      </c>
      <c r="AF73" s="21">
        <f t="shared" si="52"/>
        <v>0.95456184558603618</v>
      </c>
      <c r="AG73" s="172"/>
    </row>
    <row r="74" spans="1:33" ht="15.75" customHeight="1">
      <c r="A74" s="169" t="s">
        <v>75</v>
      </c>
      <c r="B74" s="4" t="s">
        <v>100</v>
      </c>
      <c r="C74" s="165" t="s">
        <v>133</v>
      </c>
      <c r="D74" s="165"/>
      <c r="E74" s="37">
        <v>20.2</v>
      </c>
      <c r="F74" s="4">
        <v>2224</v>
      </c>
      <c r="G74" s="4">
        <f t="shared" ref="G74:G81" si="58">E74*F74</f>
        <v>44924.799999999996</v>
      </c>
      <c r="H74" s="22" t="s">
        <v>139</v>
      </c>
      <c r="I74" s="16">
        <v>19</v>
      </c>
      <c r="J74" s="18">
        <v>2400</v>
      </c>
      <c r="K74" s="17">
        <f t="shared" si="46"/>
        <v>126.31578947368421</v>
      </c>
      <c r="L74" s="16">
        <v>19</v>
      </c>
      <c r="M74" s="18">
        <f t="shared" ref="M74:M81" si="59">F74/V74*60</f>
        <v>2300.6896551724144</v>
      </c>
      <c r="N74" s="17">
        <f t="shared" si="47"/>
        <v>121.08892921960076</v>
      </c>
      <c r="O74" s="19">
        <f t="shared" si="48"/>
        <v>0</v>
      </c>
      <c r="P74" s="20">
        <f t="shared" si="49"/>
        <v>-5.2268602540834479</v>
      </c>
      <c r="Q74" s="21">
        <f t="shared" si="50"/>
        <v>0.95862068965517266</v>
      </c>
      <c r="R74" s="172">
        <f>Q82</f>
        <v>0.95881698175493779</v>
      </c>
      <c r="S74" s="28">
        <v>0.125</v>
      </c>
      <c r="T74" s="28">
        <v>0.16527777777777777</v>
      </c>
      <c r="U74" s="28"/>
      <c r="V74" s="22">
        <f t="shared" ref="V74:V81" si="60">(T74-S74)*24*60</f>
        <v>57.999999999999993</v>
      </c>
      <c r="W74" s="23">
        <f>T74</f>
        <v>0.16527777777777777</v>
      </c>
      <c r="X74" s="23">
        <f>S75</f>
        <v>0.18541666666666667</v>
      </c>
      <c r="Y74" s="23"/>
      <c r="Z74" s="23"/>
      <c r="AA74" s="164"/>
      <c r="AB74" s="164"/>
      <c r="AC74" s="25">
        <v>8</v>
      </c>
      <c r="AD74" s="25"/>
      <c r="AE74" s="19">
        <f t="shared" si="56"/>
        <v>-99.310344827585595</v>
      </c>
      <c r="AF74" s="21">
        <f t="shared" si="52"/>
        <v>0.95862068965517266</v>
      </c>
      <c r="AG74" s="172">
        <f>AF82</f>
        <v>0.95881698175493779</v>
      </c>
    </row>
    <row r="75" spans="1:33" ht="15.75" customHeight="1">
      <c r="A75" s="170" t="s">
        <v>75</v>
      </c>
      <c r="B75" s="4" t="s">
        <v>100</v>
      </c>
      <c r="C75" s="165" t="s">
        <v>134</v>
      </c>
      <c r="D75" s="165"/>
      <c r="E75" s="37">
        <v>20.52</v>
      </c>
      <c r="F75" s="4">
        <v>3037</v>
      </c>
      <c r="G75" s="4">
        <f t="shared" si="58"/>
        <v>62319.24</v>
      </c>
      <c r="H75" s="22" t="s">
        <v>139</v>
      </c>
      <c r="I75" s="16">
        <v>18</v>
      </c>
      <c r="J75" s="18">
        <v>2400</v>
      </c>
      <c r="K75" s="17">
        <f t="shared" si="46"/>
        <v>133.33333333333334</v>
      </c>
      <c r="L75" s="16">
        <v>18</v>
      </c>
      <c r="M75" s="18">
        <f t="shared" si="59"/>
        <v>2306.5822784810125</v>
      </c>
      <c r="N75" s="17">
        <f t="shared" si="47"/>
        <v>128.1434599156118</v>
      </c>
      <c r="O75" s="19">
        <f t="shared" si="48"/>
        <v>0</v>
      </c>
      <c r="P75" s="20">
        <f t="shared" si="49"/>
        <v>-5.1898734177215431</v>
      </c>
      <c r="Q75" s="21">
        <f t="shared" si="50"/>
        <v>0.9610759493670884</v>
      </c>
      <c r="R75" s="172"/>
      <c r="S75" s="28">
        <v>0.18541666666666667</v>
      </c>
      <c r="T75" s="28">
        <v>0.24027777777777778</v>
      </c>
      <c r="U75" s="4">
        <f t="shared" ref="U75:U81" si="61">(S75-T74)*24*60</f>
        <v>29.000000000000018</v>
      </c>
      <c r="V75" s="22">
        <f t="shared" si="60"/>
        <v>79</v>
      </c>
      <c r="W75" s="23"/>
      <c r="X75" s="23"/>
      <c r="Y75" s="23"/>
      <c r="Z75" s="23"/>
      <c r="AA75" s="164"/>
      <c r="AB75" s="164"/>
      <c r="AC75" s="25"/>
      <c r="AD75" s="25"/>
      <c r="AE75" s="19">
        <f t="shared" si="56"/>
        <v>-93.417721518987491</v>
      </c>
      <c r="AF75" s="21">
        <f t="shared" si="52"/>
        <v>0.96107594936708851</v>
      </c>
      <c r="AG75" s="172"/>
    </row>
    <row r="76" spans="1:33" ht="15.75" customHeight="1">
      <c r="A76" s="170" t="s">
        <v>75</v>
      </c>
      <c r="B76" s="4" t="s">
        <v>100</v>
      </c>
      <c r="C76" s="165" t="s">
        <v>135</v>
      </c>
      <c r="D76" s="165"/>
      <c r="E76" s="37">
        <v>19.02</v>
      </c>
      <c r="F76" s="4">
        <v>5400</v>
      </c>
      <c r="G76" s="4">
        <f t="shared" si="58"/>
        <v>102708</v>
      </c>
      <c r="H76" s="22">
        <v>2</v>
      </c>
      <c r="I76" s="16">
        <v>15</v>
      </c>
      <c r="J76" s="18">
        <v>2400</v>
      </c>
      <c r="K76" s="17">
        <f t="shared" si="46"/>
        <v>160</v>
      </c>
      <c r="L76" s="16">
        <v>15</v>
      </c>
      <c r="M76" s="18">
        <f t="shared" si="59"/>
        <v>2297.8723404255315</v>
      </c>
      <c r="N76" s="17">
        <f t="shared" si="47"/>
        <v>153.19148936170211</v>
      </c>
      <c r="O76" s="19">
        <f t="shared" si="48"/>
        <v>0</v>
      </c>
      <c r="P76" s="20">
        <f t="shared" si="49"/>
        <v>-6.8085106382978893</v>
      </c>
      <c r="Q76" s="21">
        <f t="shared" si="50"/>
        <v>0.95744680851063824</v>
      </c>
      <c r="R76" s="172"/>
      <c r="S76" s="28">
        <v>0.24374999999999999</v>
      </c>
      <c r="T76" s="28">
        <v>0.34166666666666667</v>
      </c>
      <c r="U76" s="4">
        <f t="shared" si="61"/>
        <v>4.9999999999999822</v>
      </c>
      <c r="V76" s="22">
        <f t="shared" si="60"/>
        <v>141.00000000000003</v>
      </c>
      <c r="W76" s="23"/>
      <c r="X76" s="23"/>
      <c r="Y76" s="23"/>
      <c r="Z76" s="23"/>
      <c r="AA76" s="164"/>
      <c r="AB76" s="164"/>
      <c r="AC76" s="25"/>
      <c r="AD76" s="25"/>
      <c r="AE76" s="19">
        <f t="shared" si="56"/>
        <v>-102.12765957446845</v>
      </c>
      <c r="AF76" s="21">
        <f t="shared" si="52"/>
        <v>0.95744680851063813</v>
      </c>
      <c r="AG76" s="172"/>
    </row>
    <row r="77" spans="1:33" ht="15.75" customHeight="1">
      <c r="A77" s="170" t="s">
        <v>75</v>
      </c>
      <c r="B77" s="4" t="s">
        <v>100</v>
      </c>
      <c r="C77" s="165" t="s">
        <v>136</v>
      </c>
      <c r="D77" s="165"/>
      <c r="E77" s="37">
        <v>24.43</v>
      </c>
      <c r="F77" s="4">
        <v>3600</v>
      </c>
      <c r="G77" s="4">
        <f t="shared" si="58"/>
        <v>87948</v>
      </c>
      <c r="H77" s="22">
        <v>2</v>
      </c>
      <c r="I77" s="16">
        <v>14</v>
      </c>
      <c r="J77" s="18">
        <v>2400</v>
      </c>
      <c r="K77" s="17">
        <f t="shared" si="46"/>
        <v>171.42857142857142</v>
      </c>
      <c r="L77" s="16">
        <v>14</v>
      </c>
      <c r="M77" s="18">
        <f t="shared" si="59"/>
        <v>2297.872340425532</v>
      </c>
      <c r="N77" s="17">
        <f t="shared" si="47"/>
        <v>164.13373860182372</v>
      </c>
      <c r="O77" s="19">
        <f t="shared" si="48"/>
        <v>0</v>
      </c>
      <c r="P77" s="20">
        <f t="shared" si="49"/>
        <v>-7.2948328267476938</v>
      </c>
      <c r="Q77" s="21">
        <f t="shared" si="50"/>
        <v>0.95744680851063846</v>
      </c>
      <c r="R77" s="172"/>
      <c r="S77" s="28">
        <v>0.34652777777777777</v>
      </c>
      <c r="T77" s="28">
        <v>0.41180555555555554</v>
      </c>
      <c r="U77" s="4">
        <f t="shared" si="61"/>
        <v>6.9999999999999751</v>
      </c>
      <c r="V77" s="22">
        <f t="shared" si="60"/>
        <v>93.999999999999986</v>
      </c>
      <c r="W77" s="23"/>
      <c r="X77" s="23"/>
      <c r="Y77" s="23"/>
      <c r="Z77" s="23"/>
      <c r="AA77" s="164"/>
      <c r="AB77" s="164"/>
      <c r="AC77" s="25"/>
      <c r="AD77" s="25"/>
      <c r="AE77" s="19">
        <f t="shared" si="56"/>
        <v>-102.127659574468</v>
      </c>
      <c r="AF77" s="21">
        <f t="shared" si="52"/>
        <v>0.95744680851063835</v>
      </c>
      <c r="AG77" s="172"/>
    </row>
    <row r="78" spans="1:33" ht="15.75" customHeight="1">
      <c r="A78" s="170" t="s">
        <v>75</v>
      </c>
      <c r="B78" s="4" t="s">
        <v>100</v>
      </c>
      <c r="C78" s="165" t="s">
        <v>137</v>
      </c>
      <c r="D78" s="165"/>
      <c r="E78" s="37">
        <v>20.21</v>
      </c>
      <c r="F78" s="4">
        <v>3399</v>
      </c>
      <c r="G78" s="4">
        <f t="shared" si="58"/>
        <v>68693.790000000008</v>
      </c>
      <c r="H78" s="22" t="s">
        <v>139</v>
      </c>
      <c r="I78" s="16">
        <v>16</v>
      </c>
      <c r="J78" s="18">
        <v>2400</v>
      </c>
      <c r="K78" s="17">
        <f t="shared" si="46"/>
        <v>150</v>
      </c>
      <c r="L78" s="16">
        <v>16</v>
      </c>
      <c r="M78" s="18">
        <f t="shared" si="59"/>
        <v>2291.4606741573034</v>
      </c>
      <c r="N78" s="17">
        <f t="shared" si="47"/>
        <v>143.21629213483146</v>
      </c>
      <c r="O78" s="19">
        <f t="shared" si="48"/>
        <v>0</v>
      </c>
      <c r="P78" s="20">
        <f t="shared" si="49"/>
        <v>-6.7837078651685374</v>
      </c>
      <c r="Q78" s="21">
        <f t="shared" si="50"/>
        <v>0.95477528089887642</v>
      </c>
      <c r="R78" s="172"/>
      <c r="S78" s="28">
        <v>0.41736111111111107</v>
      </c>
      <c r="T78" s="28">
        <v>0.47916666666666663</v>
      </c>
      <c r="U78" s="4">
        <f t="shared" si="61"/>
        <v>7.9999999999999716</v>
      </c>
      <c r="V78" s="22">
        <f t="shared" si="60"/>
        <v>89</v>
      </c>
      <c r="W78" s="23"/>
      <c r="X78" s="23"/>
      <c r="Y78" s="23"/>
      <c r="Z78" s="23"/>
      <c r="AA78" s="164"/>
      <c r="AB78" s="164"/>
      <c r="AC78" s="25"/>
      <c r="AD78" s="25"/>
      <c r="AE78" s="19">
        <f t="shared" si="56"/>
        <v>-108.5393258426966</v>
      </c>
      <c r="AF78" s="21">
        <f t="shared" si="52"/>
        <v>0.95477528089887642</v>
      </c>
      <c r="AG78" s="172"/>
    </row>
    <row r="79" spans="1:33" ht="15.75" customHeight="1">
      <c r="A79" s="170" t="s">
        <v>75</v>
      </c>
      <c r="B79" s="4" t="s">
        <v>100</v>
      </c>
      <c r="C79" s="165" t="s">
        <v>138</v>
      </c>
      <c r="D79" s="165"/>
      <c r="E79" s="37">
        <v>22.69</v>
      </c>
      <c r="F79" s="4">
        <v>1347</v>
      </c>
      <c r="G79" s="4">
        <f t="shared" si="58"/>
        <v>30563.43</v>
      </c>
      <c r="H79" s="22" t="s">
        <v>139</v>
      </c>
      <c r="I79" s="16">
        <v>15</v>
      </c>
      <c r="J79" s="18">
        <v>2400</v>
      </c>
      <c r="K79" s="17">
        <f t="shared" si="46"/>
        <v>160</v>
      </c>
      <c r="L79" s="16">
        <v>15</v>
      </c>
      <c r="M79" s="18">
        <f t="shared" si="59"/>
        <v>2309.1428571428546</v>
      </c>
      <c r="N79" s="17">
        <f t="shared" si="47"/>
        <v>153.94285714285698</v>
      </c>
      <c r="O79" s="19">
        <f t="shared" si="48"/>
        <v>0</v>
      </c>
      <c r="P79" s="20">
        <f t="shared" si="49"/>
        <v>-6.0571428571430204</v>
      </c>
      <c r="Q79" s="21">
        <f t="shared" si="50"/>
        <v>0.96214285714285608</v>
      </c>
      <c r="R79" s="172"/>
      <c r="S79" s="28">
        <v>0.48263888888888884</v>
      </c>
      <c r="T79" s="28">
        <v>0.50694444444444442</v>
      </c>
      <c r="U79" s="4">
        <f t="shared" si="61"/>
        <v>4.9999999999999822</v>
      </c>
      <c r="V79" s="22">
        <f t="shared" si="60"/>
        <v>35.000000000000036</v>
      </c>
      <c r="W79" s="23">
        <f>T79</f>
        <v>0.50694444444444442</v>
      </c>
      <c r="X79" s="23">
        <f>S80</f>
        <v>0.54652777777777772</v>
      </c>
      <c r="Y79" s="23"/>
      <c r="Z79" s="23"/>
      <c r="AA79" s="164"/>
      <c r="AB79" s="164"/>
      <c r="AC79" s="25"/>
      <c r="AD79" s="25"/>
      <c r="AE79" s="19">
        <f t="shared" si="56"/>
        <v>-90.857142857145391</v>
      </c>
      <c r="AF79" s="21">
        <f t="shared" si="52"/>
        <v>0.96214285714285608</v>
      </c>
      <c r="AG79" s="172"/>
    </row>
    <row r="80" spans="1:33" ht="15.75" customHeight="1">
      <c r="A80" s="170" t="s">
        <v>75</v>
      </c>
      <c r="B80" s="4" t="s">
        <v>100</v>
      </c>
      <c r="C80" s="165" t="s">
        <v>136</v>
      </c>
      <c r="D80" s="165"/>
      <c r="E80" s="37">
        <v>24.43</v>
      </c>
      <c r="F80" s="4">
        <v>2928</v>
      </c>
      <c r="G80" s="4">
        <f t="shared" si="58"/>
        <v>71531.039999999994</v>
      </c>
      <c r="H80" s="22" t="s">
        <v>139</v>
      </c>
      <c r="I80" s="16">
        <v>14</v>
      </c>
      <c r="J80" s="18">
        <v>2400</v>
      </c>
      <c r="K80" s="17">
        <f t="shared" si="46"/>
        <v>171.42857142857142</v>
      </c>
      <c r="L80" s="16">
        <v>14</v>
      </c>
      <c r="M80" s="18">
        <f t="shared" si="59"/>
        <v>2311.5789473684194</v>
      </c>
      <c r="N80" s="17">
        <f t="shared" si="47"/>
        <v>165.11278195488711</v>
      </c>
      <c r="O80" s="19">
        <f t="shared" si="48"/>
        <v>0</v>
      </c>
      <c r="P80" s="20">
        <f t="shared" si="49"/>
        <v>-6.3157894736843048</v>
      </c>
      <c r="Q80" s="21">
        <f t="shared" si="50"/>
        <v>0.96315789473684155</v>
      </c>
      <c r="R80" s="172"/>
      <c r="S80" s="28">
        <v>0.54652777777777772</v>
      </c>
      <c r="T80" s="28">
        <v>0.59930555555555554</v>
      </c>
      <c r="U80" s="4">
        <f t="shared" si="61"/>
        <v>56.999999999999957</v>
      </c>
      <c r="V80" s="22">
        <f t="shared" si="60"/>
        <v>76.000000000000057</v>
      </c>
      <c r="W80" s="23"/>
      <c r="X80" s="23"/>
      <c r="Y80" s="26"/>
      <c r="Z80" s="26"/>
      <c r="AA80" s="175"/>
      <c r="AB80" s="176"/>
      <c r="AC80" s="25"/>
      <c r="AD80" s="25"/>
      <c r="AE80" s="19">
        <f t="shared" si="56"/>
        <v>-88.421052631580551</v>
      </c>
      <c r="AF80" s="21">
        <f t="shared" si="52"/>
        <v>0.96315789473684144</v>
      </c>
      <c r="AG80" s="172"/>
    </row>
    <row r="81" spans="1:33" ht="15.75" customHeight="1">
      <c r="A81" s="170" t="s">
        <v>75</v>
      </c>
      <c r="B81" s="4" t="s">
        <v>100</v>
      </c>
      <c r="C81" s="165" t="s">
        <v>135</v>
      </c>
      <c r="D81" s="165"/>
      <c r="E81" s="37">
        <v>19.02</v>
      </c>
      <c r="F81" s="4">
        <v>4397</v>
      </c>
      <c r="G81" s="4">
        <f t="shared" si="58"/>
        <v>83630.94</v>
      </c>
      <c r="H81" s="22" t="s">
        <v>139</v>
      </c>
      <c r="I81" s="16">
        <v>15</v>
      </c>
      <c r="J81" s="18">
        <v>2400</v>
      </c>
      <c r="K81" s="17">
        <f t="shared" si="46"/>
        <v>160</v>
      </c>
      <c r="L81" s="16">
        <v>15</v>
      </c>
      <c r="M81" s="18">
        <f t="shared" si="59"/>
        <v>2294.0869565217381</v>
      </c>
      <c r="N81" s="17">
        <f t="shared" si="47"/>
        <v>152.93913043478253</v>
      </c>
      <c r="O81" s="19">
        <f t="shared" si="48"/>
        <v>0</v>
      </c>
      <c r="P81" s="20">
        <f t="shared" si="49"/>
        <v>-7.0608695652174731</v>
      </c>
      <c r="Q81" s="21">
        <f t="shared" si="50"/>
        <v>0.95586956521739075</v>
      </c>
      <c r="R81" s="172"/>
      <c r="S81" s="28">
        <v>0.60416666666666663</v>
      </c>
      <c r="T81" s="28">
        <v>0.68402777777777779</v>
      </c>
      <c r="U81" s="4">
        <f t="shared" si="61"/>
        <v>6.9999999999999751</v>
      </c>
      <c r="V81" s="22">
        <f t="shared" si="60"/>
        <v>115.00000000000007</v>
      </c>
      <c r="W81" s="23"/>
      <c r="X81" s="23"/>
      <c r="Y81" s="26"/>
      <c r="Z81" s="26"/>
      <c r="AA81" s="175"/>
      <c r="AB81" s="176"/>
      <c r="AC81" s="25"/>
      <c r="AD81" s="25"/>
      <c r="AE81" s="19">
        <f t="shared" si="56"/>
        <v>-105.9130434782619</v>
      </c>
      <c r="AF81" s="21">
        <f t="shared" si="52"/>
        <v>0.95586956521739086</v>
      </c>
      <c r="AG81" s="172"/>
    </row>
    <row r="82" spans="1:33" ht="16.5" customHeight="1">
      <c r="A82" s="171" t="s">
        <v>76</v>
      </c>
      <c r="B82" s="37" t="s">
        <v>48</v>
      </c>
      <c r="C82" s="166"/>
      <c r="D82" s="167"/>
      <c r="E82" s="38"/>
      <c r="F82" s="17"/>
      <c r="G82" s="17"/>
      <c r="H82" s="4"/>
      <c r="I82" s="30">
        <v>15.75</v>
      </c>
      <c r="J82" s="18">
        <v>2400</v>
      </c>
      <c r="K82" s="17">
        <f t="shared" si="46"/>
        <v>152.38095238095238</v>
      </c>
      <c r="L82" s="30">
        <v>15.75</v>
      </c>
      <c r="M82" s="18">
        <f>AVERAGE(M74:M81)</f>
        <v>2301.1607562118506</v>
      </c>
      <c r="N82" s="17">
        <f t="shared" si="47"/>
        <v>146.10544483884766</v>
      </c>
      <c r="O82" s="19">
        <f t="shared" si="48"/>
        <v>0</v>
      </c>
      <c r="P82" s="20">
        <f t="shared" si="49"/>
        <v>-6.2755075421047195</v>
      </c>
      <c r="Q82" s="21">
        <f t="shared" si="50"/>
        <v>0.95881698175493779</v>
      </c>
      <c r="R82" s="172"/>
      <c r="S82" s="28"/>
      <c r="T82" s="28"/>
      <c r="U82" s="17"/>
      <c r="V82" s="22"/>
      <c r="W82" s="17"/>
      <c r="X82" s="17"/>
      <c r="Y82" s="31">
        <f>SUM(Y74:Y81)</f>
        <v>0</v>
      </c>
      <c r="Z82" s="31">
        <f>SUM(Z74:Z81)</f>
        <v>0</v>
      </c>
      <c r="AA82" s="168"/>
      <c r="AB82" s="168"/>
      <c r="AC82" s="31">
        <f>SUM(AC74:AC81)</f>
        <v>8</v>
      </c>
      <c r="AD82" s="31">
        <f>SUM(AD74:AD81)</f>
        <v>0</v>
      </c>
      <c r="AE82" s="19">
        <f t="shared" si="56"/>
        <v>-98.839243788149361</v>
      </c>
      <c r="AF82" s="21">
        <f t="shared" si="52"/>
        <v>0.95881698175493779</v>
      </c>
      <c r="AG82" s="172"/>
    </row>
    <row r="83" spans="1:33">
      <c r="D83" s="33"/>
      <c r="E83" s="33"/>
    </row>
  </sheetData>
  <mergeCells count="216">
    <mergeCell ref="AG74:AG82"/>
    <mergeCell ref="C75:D75"/>
    <mergeCell ref="AA75:AB75"/>
    <mergeCell ref="C76:D76"/>
    <mergeCell ref="AA76:AB76"/>
    <mergeCell ref="C77:D77"/>
    <mergeCell ref="AA77:AB77"/>
    <mergeCell ref="C78:D78"/>
    <mergeCell ref="AA78:AB78"/>
    <mergeCell ref="C79:D79"/>
    <mergeCell ref="AA73:AB73"/>
    <mergeCell ref="A74:A82"/>
    <mergeCell ref="C74:D74"/>
    <mergeCell ref="R74:R82"/>
    <mergeCell ref="AA74:AB74"/>
    <mergeCell ref="AA79:AB79"/>
    <mergeCell ref="C80:D80"/>
    <mergeCell ref="AA70:AB70"/>
    <mergeCell ref="C71:D71"/>
    <mergeCell ref="AA71:AB71"/>
    <mergeCell ref="C72:D72"/>
    <mergeCell ref="AA72:AB72"/>
    <mergeCell ref="A67:A73"/>
    <mergeCell ref="C67:D67"/>
    <mergeCell ref="R67:R73"/>
    <mergeCell ref="AA67:AB67"/>
    <mergeCell ref="C82:D82"/>
    <mergeCell ref="AA82:AB82"/>
    <mergeCell ref="AA80:AB80"/>
    <mergeCell ref="C81:D81"/>
    <mergeCell ref="AA81:AB81"/>
    <mergeCell ref="AG67:AG73"/>
    <mergeCell ref="C68:D68"/>
    <mergeCell ref="AA68:AB68"/>
    <mergeCell ref="C69:D69"/>
    <mergeCell ref="AA69:AB69"/>
    <mergeCell ref="C70:D70"/>
    <mergeCell ref="C66:D66"/>
    <mergeCell ref="AA66:AB66"/>
    <mergeCell ref="AA63:AB63"/>
    <mergeCell ref="C64:D64"/>
    <mergeCell ref="AA64:AB64"/>
    <mergeCell ref="C65:D65"/>
    <mergeCell ref="AA65:AB65"/>
    <mergeCell ref="AG56:AG66"/>
    <mergeCell ref="C57:D57"/>
    <mergeCell ref="AA57:AB57"/>
    <mergeCell ref="C58:D58"/>
    <mergeCell ref="AA58:AB58"/>
    <mergeCell ref="AA59:AB59"/>
    <mergeCell ref="AA60:AB60"/>
    <mergeCell ref="C61:D61"/>
    <mergeCell ref="AA61:AB61"/>
    <mergeCell ref="C62:D62"/>
    <mergeCell ref="C73:D73"/>
    <mergeCell ref="A56:A66"/>
    <mergeCell ref="C56:D56"/>
    <mergeCell ref="R56:R66"/>
    <mergeCell ref="AA56:AB56"/>
    <mergeCell ref="AA62:AB62"/>
    <mergeCell ref="C63:D63"/>
    <mergeCell ref="AA53:AB53"/>
    <mergeCell ref="C54:D54"/>
    <mergeCell ref="AA54:AB54"/>
    <mergeCell ref="AG46:AG55"/>
    <mergeCell ref="C47:D47"/>
    <mergeCell ref="AA47:AB47"/>
    <mergeCell ref="C48:D48"/>
    <mergeCell ref="AA48:AB48"/>
    <mergeCell ref="C49:D49"/>
    <mergeCell ref="AA49:AB49"/>
    <mergeCell ref="C50:D50"/>
    <mergeCell ref="AA50:AB50"/>
    <mergeCell ref="C51:D51"/>
    <mergeCell ref="C55:D55"/>
    <mergeCell ref="AA55:AB55"/>
    <mergeCell ref="AA45:AB45"/>
    <mergeCell ref="A46:A55"/>
    <mergeCell ref="C46:D46"/>
    <mergeCell ref="R46:R55"/>
    <mergeCell ref="AA46:AB46"/>
    <mergeCell ref="AA51:AB51"/>
    <mergeCell ref="C52:D52"/>
    <mergeCell ref="AA52:AB52"/>
    <mergeCell ref="C53:D53"/>
    <mergeCell ref="A38:A45"/>
    <mergeCell ref="C38:D38"/>
    <mergeCell ref="R38:R45"/>
    <mergeCell ref="AA38:AB38"/>
    <mergeCell ref="AA43:AB43"/>
    <mergeCell ref="C44:D44"/>
    <mergeCell ref="AA44:AB44"/>
    <mergeCell ref="AG38:AG45"/>
    <mergeCell ref="C39:D39"/>
    <mergeCell ref="AA39:AB39"/>
    <mergeCell ref="C40:D40"/>
    <mergeCell ref="AA40:AB40"/>
    <mergeCell ref="C41:D41"/>
    <mergeCell ref="AA41:AB41"/>
    <mergeCell ref="C28:D28"/>
    <mergeCell ref="C29:D29"/>
    <mergeCell ref="AA29:AB29"/>
    <mergeCell ref="AG30:AG37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C42:D42"/>
    <mergeCell ref="AA42:AB42"/>
    <mergeCell ref="C43:D43"/>
    <mergeCell ref="C45:D45"/>
    <mergeCell ref="A30:A37"/>
    <mergeCell ref="C30:D30"/>
    <mergeCell ref="R30:R37"/>
    <mergeCell ref="AA30:AB30"/>
    <mergeCell ref="AA35:AB35"/>
    <mergeCell ref="C36:D36"/>
    <mergeCell ref="AA36:AB36"/>
    <mergeCell ref="C37:D37"/>
    <mergeCell ref="AA37:AB37"/>
    <mergeCell ref="A23:A29"/>
    <mergeCell ref="C23:D23"/>
    <mergeCell ref="R23:R29"/>
    <mergeCell ref="AA23:AB23"/>
    <mergeCell ref="AA28:AB28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0:D20"/>
    <mergeCell ref="AG23:AG29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A15:A22"/>
    <mergeCell ref="C15:D15"/>
    <mergeCell ref="R15:R22"/>
    <mergeCell ref="AA15:AB15"/>
    <mergeCell ref="AA20:AB20"/>
    <mergeCell ref="AA21:AB21"/>
    <mergeCell ref="A12:A14"/>
    <mergeCell ref="C12:D12"/>
    <mergeCell ref="R12:R14"/>
    <mergeCell ref="AA12:AB12"/>
    <mergeCell ref="C22:D22"/>
    <mergeCell ref="AA22:AB22"/>
    <mergeCell ref="AG12:AG14"/>
    <mergeCell ref="C13:D13"/>
    <mergeCell ref="AA13:AB13"/>
    <mergeCell ref="C11:D11"/>
    <mergeCell ref="AA11:AB11"/>
    <mergeCell ref="C10:D10"/>
    <mergeCell ref="AA10:AB10"/>
    <mergeCell ref="C7:D7"/>
    <mergeCell ref="AA7:AB7"/>
    <mergeCell ref="C8:D8"/>
    <mergeCell ref="AA8:AB8"/>
    <mergeCell ref="C9:D9"/>
    <mergeCell ref="AA9:AB9"/>
    <mergeCell ref="C14:D14"/>
    <mergeCell ref="AA14:AB14"/>
    <mergeCell ref="A5:A11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82">
    <cfRule type="cellIs" dxfId="8" priority="36" operator="greaterThan">
      <formula>0</formula>
    </cfRule>
  </conditionalFormatting>
  <conditionalFormatting sqref="P5:P82">
    <cfRule type="cellIs" dxfId="7" priority="39" operator="lessThan">
      <formula>0</formula>
    </cfRule>
  </conditionalFormatting>
  <conditionalFormatting sqref="Q5:Q82">
    <cfRule type="cellIs" dxfId="6" priority="37" operator="greaterThan">
      <formula>1</formula>
    </cfRule>
    <cfRule type="cellIs" dxfId="5" priority="38" operator="lessThan">
      <formula>0.8</formula>
    </cfRule>
  </conditionalFormatting>
  <conditionalFormatting sqref="R5:R12 AG5:AG12">
    <cfRule type="cellIs" dxfId="4" priority="252" operator="lessThan">
      <formula>0.8</formula>
    </cfRule>
  </conditionalFormatting>
  <conditionalFormatting sqref="AE5:AE82">
    <cfRule type="cellIs" dxfId="3" priority="118" operator="lessThan">
      <formula>0</formula>
    </cfRule>
  </conditionalFormatting>
  <conditionalFormatting sqref="AF5:AF82">
    <cfRule type="cellIs" dxfId="2" priority="116" operator="greaterThan">
      <formula>1</formula>
    </cfRule>
    <cfRule type="cellIs" dxfId="1" priority="117" operator="lessThan">
      <formula>0.8</formula>
    </cfRule>
  </conditionalFormatting>
  <conditionalFormatting sqref="AG15:AG70 R15:R82">
    <cfRule type="cellIs" dxfId="0" priority="40" operator="lessThan">
      <formula>0.8</formula>
    </cfRule>
  </conditionalFormatting>
  <dataValidations count="1">
    <dataValidation type="list" allowBlank="1" showInputMessage="1" showErrorMessage="1" sqref="AA5:AB9 AB10:AB11 AB71:AB72 AA10:AA72 AB13:AB67 AA73:AB82" xr:uid="{00000000-0002-0000-3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932B1D-DFEE-4D14-999B-D36175F7041D}"/>
</file>

<file path=customXml/itemProps2.xml><?xml version="1.0" encoding="utf-8"?>
<ds:datastoreItem xmlns:ds="http://schemas.openxmlformats.org/officeDocument/2006/customXml" ds:itemID="{8A6582AD-65F2-4753-8A39-2D8FE7CD87F5}"/>
</file>

<file path=customXml/itemProps3.xml><?xml version="1.0" encoding="utf-8"?>
<ds:datastoreItem xmlns:ds="http://schemas.openxmlformats.org/officeDocument/2006/customXml" ds:itemID="{DC636DF1-EAE2-454D-8B63-4A702AD3F4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0228</vt:lpstr>
      <vt:lpstr>0228 4度C</vt:lpstr>
      <vt:lpstr>0227</vt:lpstr>
      <vt:lpstr>0227 4度C</vt:lpstr>
      <vt:lpstr>0226</vt:lpstr>
      <vt:lpstr>0226 4度C</vt:lpstr>
      <vt:lpstr>0225</vt:lpstr>
      <vt:lpstr>0225 4度C</vt:lpstr>
      <vt:lpstr>0224</vt:lpstr>
      <vt:lpstr>0224 4度C</vt:lpstr>
      <vt:lpstr>0223</vt:lpstr>
      <vt:lpstr>0223 4度C</vt:lpstr>
      <vt:lpstr>0222</vt:lpstr>
      <vt:lpstr>0222 4度C</vt:lpstr>
      <vt:lpstr>0221</vt:lpstr>
      <vt:lpstr>0221 4度C</vt:lpstr>
      <vt:lpstr>0220</vt:lpstr>
      <vt:lpstr>0220 4度C</vt:lpstr>
      <vt:lpstr>0219</vt:lpstr>
      <vt:lpstr>0219 4度C</vt:lpstr>
      <vt:lpstr>0218</vt:lpstr>
      <vt:lpstr>0218 4度C</vt:lpstr>
      <vt:lpstr>0217</vt:lpstr>
      <vt:lpstr>0217 4度C</vt:lpstr>
      <vt:lpstr>0216</vt:lpstr>
      <vt:lpstr>0216 4度C</vt:lpstr>
      <vt:lpstr>0215</vt:lpstr>
      <vt:lpstr>0215 4度C</vt:lpstr>
      <vt:lpstr>0214</vt:lpstr>
      <vt:lpstr>0214 4度C</vt:lpstr>
      <vt:lpstr>0213</vt:lpstr>
      <vt:lpstr>0213 4度C</vt:lpstr>
      <vt:lpstr>0212</vt:lpstr>
      <vt:lpstr>0212 4度C</vt:lpstr>
      <vt:lpstr>0211</vt:lpstr>
      <vt:lpstr>0211 4度C</vt:lpstr>
      <vt:lpstr>0210</vt:lpstr>
      <vt:lpstr>0210 4度C</vt:lpstr>
      <vt:lpstr>0209</vt:lpstr>
      <vt:lpstr>0209 4度C</vt:lpstr>
      <vt:lpstr>0208</vt:lpstr>
      <vt:lpstr>0208 4度C</vt:lpstr>
      <vt:lpstr>0207</vt:lpstr>
      <vt:lpstr>0207 4度C</vt:lpstr>
      <vt:lpstr>0206</vt:lpstr>
      <vt:lpstr>0206 4度C</vt:lpstr>
      <vt:lpstr>0205</vt:lpstr>
      <vt:lpstr>0205 4度C</vt:lpstr>
      <vt:lpstr>0204</vt:lpstr>
      <vt:lpstr>0204 4度C</vt:lpstr>
      <vt:lpstr>0203</vt:lpstr>
      <vt:lpstr>0203 4度C</vt:lpstr>
      <vt:lpstr>0202</vt:lpstr>
      <vt:lpstr>0202 4度C</vt:lpstr>
      <vt:lpstr>0201</vt:lpstr>
      <vt:lpstr>0201 4度C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新豐生管02</dc:creator>
  <cp:lastModifiedBy>食品 屏榮</cp:lastModifiedBy>
  <dcterms:created xsi:type="dcterms:W3CDTF">2026-02-02T01:23:22Z</dcterms:created>
  <dcterms:modified xsi:type="dcterms:W3CDTF">2026-03-03T01:28:29Z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